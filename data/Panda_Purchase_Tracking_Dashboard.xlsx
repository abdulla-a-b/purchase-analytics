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12.png" ContentType="image/png"/>
  <Override PartName="/xl/media/image3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2.png" ContentType="image/png"/>
  <Override PartName="/xl/media/image11.png" ContentType="image/png"/>
  <Override PartName="/xl/media/image1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ction_Tracker" sheetId="2" state="visible" r:id="rId4"/>
    <sheet name="Purchase_Register" sheetId="3" state="visible" r:id="rId5"/>
    <sheet name="Supplier_Scorecard" sheetId="4" state="visible" r:id="rId6"/>
    <sheet name="Spend_Analysis" sheetId="5" state="visible" r:id="rId7"/>
    <sheet name="Budget_Control" sheetId="6" state="visible" r:id="rId8"/>
    <sheet name="Payables_Aging" sheetId="7" state="visible" r:id="rId9"/>
    <sheet name="Cash_Forecast" sheetId="8" state="visible" r:id="rId10"/>
    <sheet name="Settings" sheetId="9" state="visible" r:id="rId11"/>
    <sheet name="Lists" sheetId="10" state="visible" r:id="rId12"/>
    <sheet name="Guide" sheetId="11" state="visible" r:id="rId13"/>
    <sheet name="Deliveries" sheetId="12" state="visible" r:id="rId14"/>
    <sheet name="Payments" sheetId="13" state="visible" r:id="rId15"/>
    <sheet name="Quotations" sheetId="14" state="visible" r:id="rId16"/>
    <sheet name="Invoices" sheetId="15" state="visible" r:id="rId17"/>
  </sheets>
  <definedNames>
    <definedName function="false" hidden="true" localSheetId="1" name="_xlnm._FilterDatabase" vbProcedure="false">Action_Tracker!$A$6:$L$206</definedName>
    <definedName function="false" hidden="true" localSheetId="11" name="_xlnm._FilterDatabase" vbProcedure="false">Deliveries!$A$1:$K$400</definedName>
    <definedName function="false" hidden="true" localSheetId="14" name="_xlnm._FilterDatabase" vbProcedure="false">Invoices!$A$1:$L$400</definedName>
    <definedName function="false" hidden="true" localSheetId="12" name="_xlnm._FilterDatabase" vbProcedure="false">Payments!$A$1:$N$400</definedName>
    <definedName function="false" hidden="true" localSheetId="2" name="_xlnm._FilterDatabase" vbProcedure="false">Purchase_Register!$A$5:$BN$205</definedName>
    <definedName function="false" hidden="true" localSheetId="13" name="_xlnm._FilterDatabase" vbProcedure="false">Quotations!$A$1:$M$400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5" authorId="0">
      <text>
        <r>
          <rPr>
            <sz val="10"/>
            <rFont val="Arial"/>
            <family val="2"/>
          </rPr>
          <t xml:space="preserve">Unit price (BDT) on the most recent earlier PO for the same Item name. Keep item names identical so price history links up.</t>
        </r>
      </text>
    </comment>
    <comment ref="Z5" authorId="0">
      <text>
        <r>
          <rPr>
            <sz val="10"/>
            <rFont val="Arial"/>
            <family val="2"/>
          </rPr>
          <t xml:space="preserve">Positive = this PO is dearer than the last time we bought the same item. Red when above the price alert threshold (Settings).</t>
        </r>
      </text>
    </comment>
    <comment ref="AA5" authorId="0">
      <text>
        <r>
          <rPr>
            <sz val="10"/>
            <rFont val="Arial"/>
            <family val="2"/>
          </rPr>
          <t xml:space="preserve">Positive = paid more than budget/standard price (unfavourable). Negative = saving.</t>
        </r>
      </text>
    </comment>
    <comment ref="AL5" authorId="0">
      <text>
        <r>
          <rPr>
            <sz val="10"/>
            <rFont val="Arial"/>
            <family val="2"/>
          </rPr>
          <t xml:space="preserve">Money paid for goods not yet received (advance exposure). On short-closed lines this is the amount to recover from the supplier.</t>
        </r>
      </text>
    </comment>
    <comment ref="AM5" authorId="0">
      <text>
        <r>
          <rPr>
            <sz val="10"/>
            <rFont val="Arial"/>
            <family val="2"/>
          </rPr>
          <t xml:space="preserve">Automatic: No PO Yet → Not Paid → Initial / Advance Paid → Partially Paid → Fully Paid.</t>
        </r>
      </text>
    </comment>
    <comment ref="AQ5" authorId="0">
      <text>
        <r>
          <rPr>
            <sz val="10"/>
            <rFont val="Arial"/>
            <family val="2"/>
          </rPr>
          <t xml:space="preserve">Ages the outstanding payable against Next Payment Due Date and Settings report date.</t>
        </r>
      </text>
    </comment>
    <comment ref="BE5" authorId="0">
      <text>
        <r>
          <rPr>
            <sz val="10"/>
            <rFont val="Arial"/>
            <family val="2"/>
          </rPr>
          <t xml:space="preserve">On-Time In-Full: closed on/before committed date AND received ≥ OTIF tolerance (Settings).</t>
        </r>
      </text>
    </comment>
    <comment ref="BG5" authorId="0">
      <text>
        <r>
          <rPr>
            <sz val="10"/>
            <rFont val="Arial"/>
            <family val="2"/>
          </rPr>
          <t xml:space="preserve">Path or SharePoint / Google Drive link to the approved-sample photo or signed swatch card.</t>
        </r>
      </text>
    </comment>
    <comment ref="BH5" authorId="0">
      <text>
        <r>
          <rPr>
            <sz val="10"/>
            <rFont val="Arial"/>
            <family val="2"/>
          </rPr>
          <t xml:space="preserve">Paste the approved-sample photo here: Excel 365 → Insert ▸ Pictures ▸ Place in Cell (stays with the row when filtering/sorting). Sample swatches shown are placeholders.</t>
        </r>
      </text>
    </comment>
    <comment ref="BI5" authorId="0">
      <text>
        <r>
          <rPr>
            <sz val="10"/>
            <rFont val="Arial"/>
            <family val="2"/>
          </rPr>
          <t xml:space="preserve">Automatic lifecycle stage driven by approval, PO, in-house and payment fields.</t>
        </r>
      </text>
    </comment>
    <comment ref="BK5" authorId="0">
      <text>
        <r>
          <rPr>
            <sz val="10"/>
            <rFont val="Arial"/>
            <family val="2"/>
          </rPr>
          <t xml:space="preserve">Automatic to-do: overdue payment, late delivery, approval or PO beyond SLA, price above budget before PO, short closed, QC rejected, advance at risk, data errors. Listed on Action_Tracker.</t>
        </r>
      </text>
    </comment>
    <comment ref="BL5" authorId="0">
      <text>
        <r>
          <rPr>
            <sz val="10"/>
            <rFont val="Arial"/>
            <family val="2"/>
          </rPr>
          <t xml:space="preserve">High: payment &gt;30 days overdue, open delivery &gt;15 days late, QC rejected, money at risk. Medium: other overdue/late (&gt;7 days) or short closed. Low: everything else.</t>
        </r>
      </text>
    </comment>
  </commentList>
</comments>
</file>

<file path=xl/sharedStrings.xml><?xml version="1.0" encoding="utf-8"?>
<sst xmlns="http://schemas.openxmlformats.org/spreadsheetml/2006/main" count="3224" uniqueCount="994">
  <si>
    <t xml:space="preserve">PANDA SHOES INDUSTRY LTD — PURCHASE &amp; PROCUREMENT PERFORMANCE DASHBOARD</t>
  </si>
  <si>
    <t xml:space="preserve">PRs Raised</t>
  </si>
  <si>
    <t xml:space="preserve">POs Issued</t>
  </si>
  <si>
    <t xml:space="preserve">Committed Spend</t>
  </si>
  <si>
    <t xml:space="preserve">Paid to Suppliers</t>
  </si>
  <si>
    <t xml:space="preserve">Outstanding Payable</t>
  </si>
  <si>
    <t xml:space="preserve">Overdue Payable</t>
  </si>
  <si>
    <t xml:space="preserve">% Paid</t>
  </si>
  <si>
    <t xml:space="preserve">OPEX Committed</t>
  </si>
  <si>
    <t xml:space="preserve">CAPEX Committed</t>
  </si>
  <si>
    <t xml:space="preserve">Budget Utilisation</t>
  </si>
  <si>
    <t xml:space="preserve">Net Price Variance vs Budget</t>
  </si>
  <si>
    <t xml:space="preserve">OTIF Delivery</t>
  </si>
  <si>
    <t xml:space="preserve">Avg Days PR → Approval</t>
  </si>
  <si>
    <t xml:space="preserve">Avg Days Approval → PO</t>
  </si>
  <si>
    <t xml:space="preserve">Avg Lead Time PO → In-house</t>
  </si>
  <si>
    <t xml:space="preserve">Avg Full Cycle PR → Close</t>
  </si>
  <si>
    <t xml:space="preserve">Awaiting Approval</t>
  </si>
  <si>
    <t xml:space="preserve">Open POs (not in-house)</t>
  </si>
  <si>
    <t xml:space="preserve">Late Deliveries (open + closed)</t>
  </si>
  <si>
    <t xml:space="preserve">PO without Approval (control breach)</t>
  </si>
  <si>
    <t xml:space="preserve">Savings vs Budget Price</t>
  </si>
  <si>
    <t xml:space="preserve">Pending In-house Value</t>
  </si>
  <si>
    <t xml:space="preserve">Paid Ahead of Receipt (risk)</t>
  </si>
  <si>
    <t xml:space="preserve">In-Full Delivery Rate</t>
  </si>
  <si>
    <t xml:space="preserve">High-Priority Actions</t>
  </si>
  <si>
    <t xml:space="preserve">MANAGEMENT HIGHLIGHTS — written automatically from the latest data</t>
  </si>
  <si>
    <t xml:space="preserve">CHART DATA (auto-calculated — feeds the charts above)</t>
  </si>
  <si>
    <t xml:space="preserve">Category</t>
  </si>
  <si>
    <t xml:space="preserve">Committed (Lakh)</t>
  </si>
  <si>
    <t xml:space="preserve">Paid (Lakh)</t>
  </si>
  <si>
    <t xml:space="preserve">Outstanding (Lakh)</t>
  </si>
  <si>
    <t xml:space="preserve">Spend Type</t>
  </si>
  <si>
    <t xml:space="preserve">Finance Status</t>
  </si>
  <si>
    <t xml:space="preserve">PO Lines</t>
  </si>
  <si>
    <t xml:space="preserve">Value (Lakh)</t>
  </si>
  <si>
    <t xml:space="preserve">Month</t>
  </si>
  <si>
    <t xml:space="preserve">PO Value (Lakh)</t>
  </si>
  <si>
    <t xml:space="preserve">Due (Lakh)</t>
  </si>
  <si>
    <t xml:space="preserve">Supplier (top 10 by spend)</t>
  </si>
  <si>
    <t xml:space="preserve">Spend (Lakh)</t>
  </si>
  <si>
    <t xml:space="preserve">OTIF %</t>
  </si>
  <si>
    <t xml:space="preserve">Score</t>
  </si>
  <si>
    <t xml:space="preserve">OPEX</t>
  </si>
  <si>
    <t xml:space="preserve">Not Paid</t>
  </si>
  <si>
    <t xml:space="preserve">CAPEX</t>
  </si>
  <si>
    <t xml:space="preserve">Initial / Advance Paid</t>
  </si>
  <si>
    <t xml:space="preserve">Partially Paid</t>
  </si>
  <si>
    <t xml:space="preserve">Stage</t>
  </si>
  <si>
    <t xml:space="preserve">Lines</t>
  </si>
  <si>
    <t xml:space="preserve">Fully Paid</t>
  </si>
  <si>
    <t xml:space="preserve">Approved - PO Pending</t>
  </si>
  <si>
    <t xml:space="preserve">Aging Bucket</t>
  </si>
  <si>
    <t xml:space="preserve">PO Issued - Awaiting Delivery</t>
  </si>
  <si>
    <t xml:space="preserve">Not Yet Due</t>
  </si>
  <si>
    <t xml:space="preserve">Receiving In-house</t>
  </si>
  <si>
    <t xml:space="preserve">1-30 Days</t>
  </si>
  <si>
    <t xml:space="preserve">In-house Closed - Payment Due</t>
  </si>
  <si>
    <t xml:space="preserve">31-60 Days</t>
  </si>
  <si>
    <t xml:space="preserve">Closed</t>
  </si>
  <si>
    <t xml:space="preserve">61-90 Days</t>
  </si>
  <si>
    <t xml:space="preserve">Rejected</t>
  </si>
  <si>
    <t xml:space="preserve">90+ Days</t>
  </si>
  <si>
    <t xml:space="preserve">No Due Date</t>
  </si>
  <si>
    <t xml:space="preserve">Department</t>
  </si>
  <si>
    <t xml:space="preserve">Budget (Lakh)</t>
  </si>
  <si>
    <t xml:space="preserve">Utilisation</t>
  </si>
  <si>
    <t xml:space="preserve">Action Tracker — what needs attention today</t>
  </si>
  <si>
    <t xml:space="preserve">Automatic list from the Purchase Register, sorted High → Medium → Low priority. Fix the cause in the register and the line drops off this list.</t>
  </si>
  <si>
    <t xml:space="preserve">High priority</t>
  </si>
  <si>
    <t xml:space="preserve">Medium priority</t>
  </si>
  <si>
    <t xml:space="preserve">Low priority</t>
  </si>
  <si>
    <t xml:space="preserve">Overdue payable (BDT)</t>
  </si>
  <si>
    <t xml:space="preserve">Paid ahead of receipt (BDT)</t>
  </si>
  <si>
    <t xml:space="preserve">Late open POs</t>
  </si>
  <si>
    <t xml:space="preserve">#</t>
  </si>
  <si>
    <t xml:space="preserve">Reg. row</t>
  </si>
  <si>
    <t xml:space="preserve">Priority</t>
  </si>
  <si>
    <t xml:space="preserve">PR No</t>
  </si>
  <si>
    <t xml:space="preserve">Item / Material</t>
  </si>
  <si>
    <t xml:space="preserve">Supplier</t>
  </si>
  <si>
    <t xml:space="preserve">Current Stage</t>
  </si>
  <si>
    <t xml:space="preserve">Pending Material Status</t>
  </si>
  <si>
    <t xml:space="preserve">Outstanding Payable (BDT)</t>
  </si>
  <si>
    <t xml:space="preserve">Paid Ahead of Receipt (BDT)</t>
  </si>
  <si>
    <t xml:space="preserve">Action Required</t>
  </si>
  <si>
    <t xml:space="preserve">PANDA SHOES INDUSTRY LTD — PURCHASE TRACKING REGISTER (PR → Approval → PO → In-house → Payment)</t>
  </si>
  <si>
    <t xml:space="preserve">BLACK cells with WHITE text = data entry (only these can be typed in).  ORANGE = required input missing for this stage.  GREY = automatic formula (locked).  Check the 'Data Check' column — every line should read OK.  Capacity: rows 6–205.</t>
  </si>
  <si>
    <t xml:space="preserve">✎ INPUT</t>
  </si>
  <si>
    <t xml:space="preserve">AUTO</t>
  </si>
  <si>
    <t xml:space="preserve">1 · REQUISITION &amp; OPEX/CAPEX APPROVAL</t>
  </si>
  <si>
    <t xml:space="preserve">2 · PURCHASE ORDER &amp; VALUE</t>
  </si>
  <si>
    <t xml:space="preserve">3 · FINANCE STATUS &amp; PAYABLES</t>
  </si>
  <si>
    <t xml:space="preserve">4 · IN-HOUSE RECEIVING &amp; CYCLE TIME</t>
  </si>
  <si>
    <t xml:space="preserve">5 · MATERIAL APPROVAL &amp; STAGE</t>
  </si>
  <si>
    <t xml:space="preserve">PR Received Date</t>
  </si>
  <si>
    <t xml:space="preserve">Requested By</t>
  </si>
  <si>
    <t xml:space="preserve">Item / Material Purchased</t>
  </si>
  <si>
    <t xml:space="preserve">Spec / Size / Colour</t>
  </si>
  <si>
    <t xml:space="preserve">Spend Type (OPEX / CAPEX)</t>
  </si>
  <si>
    <t xml:space="preserve">OPEX / CAPEX Approval Ref</t>
  </si>
  <si>
    <t xml:space="preserve">Approval Date</t>
  </si>
  <si>
    <t xml:space="preserve">Approval Status</t>
  </si>
  <si>
    <t xml:space="preserve">Approved By</t>
  </si>
  <si>
    <t xml:space="preserve">Local / Import</t>
  </si>
  <si>
    <t xml:space="preserve">PO No</t>
  </si>
  <si>
    <t xml:space="preserve">PO Date</t>
  </si>
  <si>
    <t xml:space="preserve">Order Quantity</t>
  </si>
  <si>
    <t xml:space="preserve">UOM</t>
  </si>
  <si>
    <t xml:space="preserve">Unit Price (PO Currency)</t>
  </si>
  <si>
    <t xml:space="preserve">Currency</t>
  </si>
  <si>
    <t xml:space="preserve">FX Rate to BDT</t>
  </si>
  <si>
    <t xml:space="preserve">Budget / Standard Unit Price (BDT)</t>
  </si>
  <si>
    <t xml:space="preserve">PO Value (BDT)</t>
  </si>
  <si>
    <t xml:space="preserve">Unit Price (BDT)</t>
  </si>
  <si>
    <t xml:space="preserve">Previous PO Unit Price — Same Item (BDT)</t>
  </si>
  <si>
    <t xml:space="preserve">Price Change vs Previous PO %</t>
  </si>
  <si>
    <t xml:space="preserve">Price Variance vs Budget (BDT)</t>
  </si>
  <si>
    <t xml:space="preserve">Price Variance %</t>
  </si>
  <si>
    <t xml:space="preserve">VAT / AIT / Duty %</t>
  </si>
  <si>
    <t xml:space="preserve">Total Price incl. Tax (BDT)</t>
  </si>
  <si>
    <t xml:space="preserve">Payment Terms</t>
  </si>
  <si>
    <t xml:space="preserve">Initial / Advance Paid (BDT)</t>
  </si>
  <si>
    <t xml:space="preserve">Interim Payment (BDT)</t>
  </si>
  <si>
    <t xml:space="preserve">Closing Payment (BDT)</t>
  </si>
  <si>
    <t xml:space="preserve">Total Paid (BDT)</t>
  </si>
  <si>
    <t xml:space="preserve">% of Payment</t>
  </si>
  <si>
    <t xml:space="preserve">Last Payment Date</t>
  </si>
  <si>
    <t xml:space="preserve">Next Payment Due Date</t>
  </si>
  <si>
    <t xml:space="preserve">Days Payment Overdue</t>
  </si>
  <si>
    <t xml:space="preserve">Payable Aging Bucket</t>
  </si>
  <si>
    <t xml:space="preserve">Supplier Committed Delivery Date</t>
  </si>
  <si>
    <t xml:space="preserve">Starting to In-house Date</t>
  </si>
  <si>
    <t xml:space="preserve">Qty Received In-house</t>
  </si>
  <si>
    <t xml:space="preserve">Received %</t>
  </si>
  <si>
    <t xml:space="preserve">Pending Qty to In-house</t>
  </si>
  <si>
    <t xml:space="preserve">Pending In-house Value (BDT)</t>
  </si>
  <si>
    <t xml:space="preserve">Final In-house Closing Date</t>
  </si>
  <si>
    <t xml:space="preserve">Days PR → Approval</t>
  </si>
  <si>
    <t xml:space="preserve">Days Approval → PO</t>
  </si>
  <si>
    <t xml:space="preserve">Lead Time PO → In-house Close (days)</t>
  </si>
  <si>
    <t xml:space="preserve">Total Cycle PR → Close (days)</t>
  </si>
  <si>
    <t xml:space="preserve">Delivery Delay (days)</t>
  </si>
  <si>
    <t xml:space="preserve">OTIF</t>
  </si>
  <si>
    <t xml:space="preserve">QC / Material Approval</t>
  </si>
  <si>
    <t xml:space="preserve">Approved Material Photo — File / Link</t>
  </si>
  <si>
    <t xml:space="preserve">Approved Material Picture</t>
  </si>
  <si>
    <t xml:space="preserve">Data Check (auto)</t>
  </si>
  <si>
    <t xml:space="preserve">Action Required (auto)</t>
  </si>
  <si>
    <t xml:space="preserve">Action Priority</t>
  </si>
  <si>
    <t xml:space="preserve">Action Sort Key</t>
  </si>
  <si>
    <t xml:space="preserve">Remarks</t>
  </si>
  <si>
    <t xml:space="preserve">PSIL-PR-2026-0001</t>
  </si>
  <si>
    <t xml:space="preserve">Cutting</t>
  </si>
  <si>
    <t xml:space="preserve">Cutting Manager</t>
  </si>
  <si>
    <t xml:space="preserve">Cow Nappa Upper Leather</t>
  </si>
  <si>
    <t xml:space="preserve">Leather &amp; Upper</t>
  </si>
  <si>
    <t xml:space="preserve">1.2–1.4 mm, Black</t>
  </si>
  <si>
    <t xml:space="preserve">OPX-2026-101</t>
  </si>
  <si>
    <t xml:space="preserve">Approved</t>
  </si>
  <si>
    <t xml:space="preserve">GM Operations</t>
  </si>
  <si>
    <t xml:space="preserve">Savar Leather Works Ltd</t>
  </si>
  <si>
    <t xml:space="preserve">Local</t>
  </si>
  <si>
    <t xml:space="preserve">PSIL-PO-2026-0001</t>
  </si>
  <si>
    <t xml:space="preserve">sqft</t>
  </si>
  <si>
    <t xml:space="preserve">USD</t>
  </si>
  <si>
    <t xml:space="preserve">30% Advance / 70% after In-house</t>
  </si>
  <si>
    <t xml:space="preserve">Photos\PSIL-PR-2026-0001.jpg</t>
  </si>
  <si>
    <t xml:space="preserve">PSIL-PR-2026-0002</t>
  </si>
  <si>
    <t xml:space="preserve">Suede Split Leather</t>
  </si>
  <si>
    <t xml:space="preserve">1.6 mm, Taupe</t>
  </si>
  <si>
    <t xml:space="preserve">OPX-2026-102</t>
  </si>
  <si>
    <t xml:space="preserve">CFO</t>
  </si>
  <si>
    <t xml:space="preserve">PSIL-PO-2026-0002</t>
  </si>
  <si>
    <t xml:space="preserve">100% Advance</t>
  </si>
  <si>
    <t xml:space="preserve">PSIL-PR-2026-0003</t>
  </si>
  <si>
    <t xml:space="preserve">Pig Lining Leather</t>
  </si>
  <si>
    <t xml:space="preserve">0.8 mm, Natural</t>
  </si>
  <si>
    <t xml:space="preserve">OPX-2026-103</t>
  </si>
  <si>
    <t xml:space="preserve">PSIL-PO-2026-0003</t>
  </si>
  <si>
    <t xml:space="preserve">BDT</t>
  </si>
  <si>
    <t xml:space="preserve">Credit 30 Days</t>
  </si>
  <si>
    <t xml:space="preserve">Photos\PSIL-PR-2026-0003.jpg</t>
  </si>
  <si>
    <t xml:space="preserve">PSIL-PR-2026-0004</t>
  </si>
  <si>
    <t xml:space="preserve">PU Synthetic Leather</t>
  </si>
  <si>
    <t xml:space="preserve">Synthetic &amp; Textile</t>
  </si>
  <si>
    <t xml:space="preserve">1.0 mm, White, 54"</t>
  </si>
  <si>
    <t xml:space="preserve">OPX-2026-104</t>
  </si>
  <si>
    <t xml:space="preserve">Dongguan Sole Tech Co.</t>
  </si>
  <si>
    <t xml:space="preserve">Import</t>
  </si>
  <si>
    <t xml:space="preserve">PSIL-PO-2026-0004</t>
  </si>
  <si>
    <t xml:space="preserve">meter</t>
  </si>
  <si>
    <t xml:space="preserve">LC at Sight</t>
  </si>
  <si>
    <t xml:space="preserve">Photos\PSIL-PR-2026-0004.jpg</t>
  </si>
  <si>
    <t xml:space="preserve">PSIL-PR-2026-0005</t>
  </si>
  <si>
    <t xml:space="preserve">Lasting &amp; Assembly</t>
  </si>
  <si>
    <t xml:space="preserve">Lasting Manager</t>
  </si>
  <si>
    <t xml:space="preserve">Rubber Outsole – Men's Derby</t>
  </si>
  <si>
    <t xml:space="preserve">Sole &amp; Bottom</t>
  </si>
  <si>
    <t xml:space="preserve">Size 39–45, Black</t>
  </si>
  <si>
    <t xml:space="preserve">OPX-2026-105</t>
  </si>
  <si>
    <t xml:space="preserve">Bengal Sole Industries</t>
  </si>
  <si>
    <t xml:space="preserve">PSIL-PO-2026-0005</t>
  </si>
  <si>
    <t xml:space="preserve">pair</t>
  </si>
  <si>
    <t xml:space="preserve">Photos\PSIL-PR-2026-0005.jpg</t>
  </si>
  <si>
    <t xml:space="preserve">Price above budget — CFO note on file</t>
  </si>
  <si>
    <t xml:space="preserve">PSIL-PR-2026-0006</t>
  </si>
  <si>
    <t xml:space="preserve">TPR Outsole – Ladies Casual</t>
  </si>
  <si>
    <t xml:space="preserve">Size 35–41, Beige</t>
  </si>
  <si>
    <t xml:space="preserve">OPX-2026-106</t>
  </si>
  <si>
    <t xml:space="preserve">PSIL-PO-2026-0006</t>
  </si>
  <si>
    <t xml:space="preserve">Photos\PSIL-PR-2026-0006.jpg</t>
  </si>
  <si>
    <t xml:space="preserve">PSIL-PR-2026-0007</t>
  </si>
  <si>
    <t xml:space="preserve">EVA Midsole Sheet</t>
  </si>
  <si>
    <t xml:space="preserve">6 mm, Shore 45A</t>
  </si>
  <si>
    <t xml:space="preserve">OPX-2026-107</t>
  </si>
  <si>
    <t xml:space="preserve">PSIL-PO-2026-0007</t>
  </si>
  <si>
    <t xml:space="preserve">sheet</t>
  </si>
  <si>
    <t xml:space="preserve">CNY</t>
  </si>
  <si>
    <t xml:space="preserve">Photos\PSIL-PR-2026-0007.jpg</t>
  </si>
  <si>
    <t xml:space="preserve">PSIL-PR-2026-0008</t>
  </si>
  <si>
    <t xml:space="preserve">PU Adhesive (Solvent Based)</t>
  </si>
  <si>
    <t xml:space="preserve">Chemicals &amp; Adhesives</t>
  </si>
  <si>
    <t xml:space="preserve">15 kg drum</t>
  </si>
  <si>
    <t xml:space="preserve">OPX-2026-108</t>
  </si>
  <si>
    <t xml:space="preserve">Gazipur Chem Trade</t>
  </si>
  <si>
    <t xml:space="preserve">PSIL-PO-2026-0008</t>
  </si>
  <si>
    <t xml:space="preserve">kg</t>
  </si>
  <si>
    <t xml:space="preserve">PSIL-PR-2026-0009</t>
  </si>
  <si>
    <t xml:space="preserve">Primer &amp; Halogenating Agent</t>
  </si>
  <si>
    <t xml:space="preserve">Rubber sole primer</t>
  </si>
  <si>
    <t xml:space="preserve">OPX-2026-109</t>
  </si>
  <si>
    <t xml:space="preserve">PSIL-PO-2026-0009</t>
  </si>
  <si>
    <t xml:space="preserve">Photos\PSIL-PR-2026-0009.jpg</t>
  </si>
  <si>
    <t xml:space="preserve">PSIL-PR-2026-0010</t>
  </si>
  <si>
    <t xml:space="preserve">Stitching</t>
  </si>
  <si>
    <t xml:space="preserve">Stitching Manager</t>
  </si>
  <si>
    <t xml:space="preserve">Bonded Nylon Thread</t>
  </si>
  <si>
    <t xml:space="preserve">Trims &amp; Accessories</t>
  </si>
  <si>
    <t xml:space="preserve">Tex 70, Black</t>
  </si>
  <si>
    <t xml:space="preserve">OPX-2026-110</t>
  </si>
  <si>
    <t xml:space="preserve">Delta Thread &amp; Trims</t>
  </si>
  <si>
    <t xml:space="preserve">PSIL-PO-2026-0010</t>
  </si>
  <si>
    <t xml:space="preserve">cone</t>
  </si>
  <si>
    <t xml:space="preserve">Photos\PSIL-PR-2026-0010.jpg</t>
  </si>
  <si>
    <t xml:space="preserve">PSIL-PR-2026-0011</t>
  </si>
  <si>
    <t xml:space="preserve">Metal Eyelets &amp; Hooks</t>
  </si>
  <si>
    <t xml:space="preserve">Antique brass, 5 mm</t>
  </si>
  <si>
    <t xml:space="preserve">OPX-2026-111</t>
  </si>
  <si>
    <t xml:space="preserve">PSIL-PO-2026-0011</t>
  </si>
  <si>
    <t xml:space="preserve">gross</t>
  </si>
  <si>
    <t xml:space="preserve">Photos\PSIL-PR-2026-0011.jpg</t>
  </si>
  <si>
    <t xml:space="preserve">PSIL-PR-2026-0012</t>
  </si>
  <si>
    <t xml:space="preserve">Waxed Cotton Laces</t>
  </si>
  <si>
    <t xml:space="preserve">120 cm, Brown</t>
  </si>
  <si>
    <t xml:space="preserve">OPX-2026-112</t>
  </si>
  <si>
    <t xml:space="preserve">PSIL-PO-2026-0012</t>
  </si>
  <si>
    <t xml:space="preserve">PSIL-PR-2026-0013</t>
  </si>
  <si>
    <t xml:space="preserve">Cellulose Insole Board</t>
  </si>
  <si>
    <t xml:space="preserve">2.0 mm, 1x1.5 m</t>
  </si>
  <si>
    <t xml:space="preserve">OPX-2026-113</t>
  </si>
  <si>
    <t xml:space="preserve">Narayanganj Board Mills</t>
  </si>
  <si>
    <t xml:space="preserve">PSIL-PO-2026-0013</t>
  </si>
  <si>
    <t xml:space="preserve">Photos\PSIL-PR-2026-0013.jpg</t>
  </si>
  <si>
    <t xml:space="preserve">PSIL-PR-2026-0014</t>
  </si>
  <si>
    <t xml:space="preserve">Toe Puff &amp; Counter Sheet</t>
  </si>
  <si>
    <t xml:space="preserve">Thermoplastic 1.2 mm</t>
  </si>
  <si>
    <t xml:space="preserve">OPX-2026-114</t>
  </si>
  <si>
    <t xml:space="preserve">PSIL-PO-2026-0014</t>
  </si>
  <si>
    <t xml:space="preserve">Photos\PSIL-PR-2026-0014.jpg</t>
  </si>
  <si>
    <t xml:space="preserve">PSIL-PR-2026-0015</t>
  </si>
  <si>
    <t xml:space="preserve">Finishing &amp; Packing</t>
  </si>
  <si>
    <t xml:space="preserve">Finishing Manager</t>
  </si>
  <si>
    <t xml:space="preserve">Shoe Box – Printed</t>
  </si>
  <si>
    <t xml:space="preserve">Packaging</t>
  </si>
  <si>
    <t xml:space="preserve">Kraft, 3-ply, branded</t>
  </si>
  <si>
    <t xml:space="preserve">OPX-2026-115</t>
  </si>
  <si>
    <t xml:space="preserve">Chattogram Packaging Ltd</t>
  </si>
  <si>
    <t xml:space="preserve">PSIL-PO-2026-0015</t>
  </si>
  <si>
    <t xml:space="preserve">pcs</t>
  </si>
  <si>
    <t xml:space="preserve">Photos\PSIL-PR-2026-0015.jpg</t>
  </si>
  <si>
    <t xml:space="preserve">PSIL-PR-2026-0016</t>
  </si>
  <si>
    <t xml:space="preserve">Export Carton – 5 Ply</t>
  </si>
  <si>
    <t xml:space="preserve">12 pair master</t>
  </si>
  <si>
    <t xml:space="preserve">OPX-2026-116</t>
  </si>
  <si>
    <t xml:space="preserve">PSIL-PO-2026-0016</t>
  </si>
  <si>
    <t xml:space="preserve">Photos\PSIL-PR-2026-0016.jpg</t>
  </si>
  <si>
    <t xml:space="preserve">PSIL-PR-2026-0017</t>
  </si>
  <si>
    <t xml:space="preserve">Maintenance</t>
  </si>
  <si>
    <t xml:space="preserve">Maintenance Manager</t>
  </si>
  <si>
    <t xml:space="preserve">Sewing Machine Needles &amp; Spares</t>
  </si>
  <si>
    <t xml:space="preserve">Spare Parts</t>
  </si>
  <si>
    <t xml:space="preserve">Post-bed, assorted</t>
  </si>
  <si>
    <t xml:space="preserve">OPX-2026-117</t>
  </si>
  <si>
    <t xml:space="preserve">Dhaka Spares &amp; Tools</t>
  </si>
  <si>
    <t xml:space="preserve">PSIL-PO-2026-0017</t>
  </si>
  <si>
    <t xml:space="preserve">set</t>
  </si>
  <si>
    <t xml:space="preserve">PSIL-PR-2026-0018</t>
  </si>
  <si>
    <t xml:space="preserve">Compliance &amp; HSE</t>
  </si>
  <si>
    <t xml:space="preserve">HSE Officer</t>
  </si>
  <si>
    <t xml:space="preserve">Safety PPE (Masks, Gloves, Goggles)</t>
  </si>
  <si>
    <t xml:space="preserve">Safety &amp; Facility</t>
  </si>
  <si>
    <t xml:space="preserve">Chemical area kit</t>
  </si>
  <si>
    <t xml:space="preserve">OPX-2026-118</t>
  </si>
  <si>
    <t xml:space="preserve">PSIL-PO-2026-0018</t>
  </si>
  <si>
    <t xml:space="preserve">Approved with Deviation</t>
  </si>
  <si>
    <t xml:space="preserve">PSIL-PR-2026-0019</t>
  </si>
  <si>
    <t xml:space="preserve">Computerised Post-bed Sewing Machine</t>
  </si>
  <si>
    <t xml:space="preserve">Machinery &amp; Equipment</t>
  </si>
  <si>
    <t xml:space="preserve">Single needle, servo</t>
  </si>
  <si>
    <t xml:space="preserve">CPX-2026-119</t>
  </si>
  <si>
    <t xml:space="preserve">MD</t>
  </si>
  <si>
    <t xml:space="preserve">Jiangsu Footwear Machinery Co.</t>
  </si>
  <si>
    <t xml:space="preserve">PSIL-PO-2026-0019</t>
  </si>
  <si>
    <t xml:space="preserve">unit</t>
  </si>
  <si>
    <t xml:space="preserve">50% Advance / 50% after Installation</t>
  </si>
  <si>
    <t xml:space="preserve">PSIL-PR-2026-0020</t>
  </si>
  <si>
    <t xml:space="preserve">Leather Skiving Machine</t>
  </si>
  <si>
    <t xml:space="preserve">Bell-knife type</t>
  </si>
  <si>
    <t xml:space="preserve">CPX-2026-120</t>
  </si>
  <si>
    <t xml:space="preserve">PSIL-PO-2026-0020</t>
  </si>
  <si>
    <t xml:space="preserve">PSIL-PR-2026-0021</t>
  </si>
  <si>
    <t xml:space="preserve">Hydraulic Sole Pressing Machine</t>
  </si>
  <si>
    <t xml:space="preserve">Twin station</t>
  </si>
  <si>
    <t xml:space="preserve">CPX-2026-121</t>
  </si>
  <si>
    <t xml:space="preserve">PSIL-PO-2026-0021</t>
  </si>
  <si>
    <t xml:space="preserve">PSIL-PR-2026-0022</t>
  </si>
  <si>
    <t xml:space="preserve">Screw Air Compressor 30 HP</t>
  </si>
  <si>
    <t xml:space="preserve">With dryer &amp; tank</t>
  </si>
  <si>
    <t xml:space="preserve">CPX-2026-122</t>
  </si>
  <si>
    <t xml:space="preserve">PSIL-PO-2026-0022</t>
  </si>
  <si>
    <t xml:space="preserve">PSIL-PR-2026-0023</t>
  </si>
  <si>
    <t xml:space="preserve">IT</t>
  </si>
  <si>
    <t xml:space="preserve">IT Manager</t>
  </si>
  <si>
    <t xml:space="preserve">Laptop for PPC &amp; Costing Team</t>
  </si>
  <si>
    <t xml:space="preserve">IT Equipment</t>
  </si>
  <si>
    <t xml:space="preserve">i7, 16 GB, 512 GB SSD</t>
  </si>
  <si>
    <t xml:space="preserve">CPX-2026-123</t>
  </si>
  <si>
    <t xml:space="preserve">Tech Point BD</t>
  </si>
  <si>
    <t xml:space="preserve">PSIL-PO-2026-0023</t>
  </si>
  <si>
    <t xml:space="preserve">PSIL-PR-2026-0024</t>
  </si>
  <si>
    <t xml:space="preserve">OPX-2026-124</t>
  </si>
  <si>
    <t xml:space="preserve">PSIL-PO-2026-0024</t>
  </si>
  <si>
    <t xml:space="preserve">PSIL-PR-2026-0025</t>
  </si>
  <si>
    <t xml:space="preserve">OPX-2026-125</t>
  </si>
  <si>
    <t xml:space="preserve">PSIL-PO-2026-0025</t>
  </si>
  <si>
    <t xml:space="preserve">PSIL-PR-2026-0026</t>
  </si>
  <si>
    <t xml:space="preserve">OPX-2026-126</t>
  </si>
  <si>
    <t xml:space="preserve">PSIL-PO-2026-0026</t>
  </si>
  <si>
    <t xml:space="preserve">Photos\PSIL-PR-2026-0026.jpg</t>
  </si>
  <si>
    <t xml:space="preserve">PSIL-PR-2026-0027</t>
  </si>
  <si>
    <t xml:space="preserve">OPX-2026-127</t>
  </si>
  <si>
    <t xml:space="preserve">PSIL-PO-2026-0027</t>
  </si>
  <si>
    <t xml:space="preserve">PSIL-PR-2026-0028</t>
  </si>
  <si>
    <t xml:space="preserve">OPX-2026-128</t>
  </si>
  <si>
    <t xml:space="preserve">PSIL-PR-2026-0029</t>
  </si>
  <si>
    <t xml:space="preserve">OPX-2026-129</t>
  </si>
  <si>
    <t xml:space="preserve">PSIL-PO-2026-0029</t>
  </si>
  <si>
    <t xml:space="preserve">PSIL-PR-2026-0030</t>
  </si>
  <si>
    <t xml:space="preserve">OPX-2026-130</t>
  </si>
  <si>
    <t xml:space="preserve">PSIL-PO-2026-0030</t>
  </si>
  <si>
    <t xml:space="preserve">PSIL-PR-2026-0031</t>
  </si>
  <si>
    <t xml:space="preserve">OPX-2026-131</t>
  </si>
  <si>
    <t xml:space="preserve">PSIL-PO-2026-0031</t>
  </si>
  <si>
    <t xml:space="preserve">Photos\PSIL-PR-2026-0031.jpg</t>
  </si>
  <si>
    <t xml:space="preserve">PSIL-PR-2026-0032</t>
  </si>
  <si>
    <t xml:space="preserve">OPX-2026-132</t>
  </si>
  <si>
    <t xml:space="preserve">PSIL-PO-2026-0032</t>
  </si>
  <si>
    <t xml:space="preserve">Photos\PSIL-PR-2026-0032.jpg</t>
  </si>
  <si>
    <t xml:space="preserve">PSIL-PR-2026-0033</t>
  </si>
  <si>
    <t xml:space="preserve">OPX-2026-133</t>
  </si>
  <si>
    <t xml:space="preserve">PSIL-PO-2026-0033</t>
  </si>
  <si>
    <t xml:space="preserve">Photos\PSIL-PR-2026-0033.jpg</t>
  </si>
  <si>
    <t xml:space="preserve">PSIL-PR-2026-0034</t>
  </si>
  <si>
    <t xml:space="preserve">OPX-2026-134</t>
  </si>
  <si>
    <t xml:space="preserve">PSIL-PO-2026-0034</t>
  </si>
  <si>
    <t xml:space="preserve">PSIL-PR-2026-0035</t>
  </si>
  <si>
    <t xml:space="preserve">OPX-2026-135</t>
  </si>
  <si>
    <t xml:space="preserve">PSIL-PO-2026-0035</t>
  </si>
  <si>
    <t xml:space="preserve">Photos\PSIL-PR-2026-0035.jpg</t>
  </si>
  <si>
    <t xml:space="preserve">PSIL-PR-2026-0036</t>
  </si>
  <si>
    <t xml:space="preserve">OPX-2026-136</t>
  </si>
  <si>
    <t xml:space="preserve">PSIL-PO-2026-0036</t>
  </si>
  <si>
    <t xml:space="preserve">Photos\PSIL-PR-2026-0036.jpg</t>
  </si>
  <si>
    <t xml:space="preserve">PSIL-PR-2026-0037</t>
  </si>
  <si>
    <t xml:space="preserve">OPX-2026-137</t>
  </si>
  <si>
    <t xml:space="preserve">PSIL-PO-2026-0037</t>
  </si>
  <si>
    <t xml:space="preserve">PSIL-PR-2026-0038</t>
  </si>
  <si>
    <t xml:space="preserve">OPX-2026-138</t>
  </si>
  <si>
    <t xml:space="preserve">PSIL-PO-2026-0038</t>
  </si>
  <si>
    <t xml:space="preserve">Pending</t>
  </si>
  <si>
    <t xml:space="preserve">PSIL-PR-2026-0039</t>
  </si>
  <si>
    <t xml:space="preserve">OPX-2026-139</t>
  </si>
  <si>
    <t xml:space="preserve">PSIL-PR-2026-0040</t>
  </si>
  <si>
    <t xml:space="preserve">OPX-2026-140</t>
  </si>
  <si>
    <t xml:space="preserve">PSIL-PO-2026-0040</t>
  </si>
  <si>
    <t xml:space="preserve">PSIL-PR-2026-0041</t>
  </si>
  <si>
    <t xml:space="preserve">OPX-2026-141</t>
  </si>
  <si>
    <t xml:space="preserve">PSIL-PR-2026-0042</t>
  </si>
  <si>
    <t xml:space="preserve">OPX-2026-142</t>
  </si>
  <si>
    <t xml:space="preserve">PSIL-PO-2026-0042</t>
  </si>
  <si>
    <t xml:space="preserve">PSIL-PR-2026-0043</t>
  </si>
  <si>
    <t xml:space="preserve">OPX-2026-143</t>
  </si>
  <si>
    <t xml:space="preserve">PSIL-PR-2026-0044</t>
  </si>
  <si>
    <t xml:space="preserve">OPX-2026-144</t>
  </si>
  <si>
    <t xml:space="preserve">PSIL-PR-2026-0045</t>
  </si>
  <si>
    <t xml:space="preserve">Heel Counter Stiffener (demo: incomplete entry)</t>
  </si>
  <si>
    <t xml:space="preserve">Demo line — orange cells show what is still required</t>
  </si>
  <si>
    <t xml:space="preserve">Supplier Scorecard, Performance Rating &amp; Spend Concentration</t>
  </si>
  <si>
    <t xml:space="preserve">Score (0–100) = 40% OTIF + 20% In-Full + 25% QC acceptance + 15% price discipline (no above-budget variance = full marks; ≥10% over budget = zero).  A ≥ 80 · B 60–79 · C &lt; 60.</t>
  </si>
  <si>
    <t xml:space="preserve">POs</t>
  </si>
  <si>
    <t xml:space="preserve">Spend incl. Tax (BDT)</t>
  </si>
  <si>
    <t xml:space="preserve">Share of Spend</t>
  </si>
  <si>
    <t xml:space="preserve">Paid (BDT)</t>
  </si>
  <si>
    <t xml:space="preserve">Outstanding (BDT)</t>
  </si>
  <si>
    <t xml:space="preserve">Closed Deliveries</t>
  </si>
  <si>
    <t xml:space="preserve">In-Full %</t>
  </si>
  <si>
    <t xml:space="preserve">Avg Lead Time (days)</t>
  </si>
  <si>
    <t xml:space="preserve">Avg Delay (days)</t>
  </si>
  <si>
    <t xml:space="preserve">Late Open POs</t>
  </si>
  <si>
    <t xml:space="preserve">Short-Closed Lines</t>
  </si>
  <si>
    <t xml:space="preserve">Pending In-house (BDT)</t>
  </si>
  <si>
    <t xml:space="preserve">QC Acceptance %</t>
  </si>
  <si>
    <t xml:space="preserve">Avg Price Variance %</t>
  </si>
  <si>
    <t xml:space="preserve">Rating</t>
  </si>
  <si>
    <t xml:space="preserve">Sort key</t>
  </si>
  <si>
    <t xml:space="preserve">TOTAL / OVERALL</t>
  </si>
  <si>
    <t xml:space="preserve">SPEND CONCENTRATION — one supplier above 30% of spend is a supply-continuity risk worth a second source.</t>
  </si>
  <si>
    <t xml:space="preserve">Largest supplier</t>
  </si>
  <si>
    <t xml:space="preserve">Largest supplier share</t>
  </si>
  <si>
    <t xml:space="preserve">Herfindahl index (HHI, 0–10,000)</t>
  </si>
  <si>
    <t xml:space="preserve">Concentration reading</t>
  </si>
  <si>
    <t xml:space="preserve">Spend Analysis — ABC / Pareto, Savings, Payment Terms &amp; Sourcing Mix</t>
  </si>
  <si>
    <t xml:space="preserve">Categories ranked by spend (largest first). ABC: A = categories making up the first 80% of spend, B = next 15%, C = the rest (cut-offs in Settings).</t>
  </si>
  <si>
    <t xml:space="preserve">Savings vs budget price</t>
  </si>
  <si>
    <t xml:space="preserve">Overspend vs budget price</t>
  </si>
  <si>
    <t xml:space="preserve">Net price variance</t>
  </si>
  <si>
    <t xml:space="preserve">A-class categories</t>
  </si>
  <si>
    <t xml:space="preserve">Items dearer than last PO</t>
  </si>
  <si>
    <t xml:space="preserve">Rank</t>
  </si>
  <si>
    <t xml:space="preserve">Spend (BDT Lakh)</t>
  </si>
  <si>
    <t xml:space="preserve">Cumulative Share</t>
  </si>
  <si>
    <t xml:space="preserve">ABC Class</t>
  </si>
  <si>
    <t xml:space="preserve">Savings vs Budget (BDT)</t>
  </si>
  <si>
    <t xml:space="preserve">Overspend vs Budget (BDT)</t>
  </si>
  <si>
    <t xml:space="preserve">TOTAL</t>
  </si>
  <si>
    <t xml:space="preserve">PAYMENT TERMS MIX — working-capital view (advance terms tie up cash before goods arrive)</t>
  </si>
  <si>
    <t xml:space="preserve">Share of Value</t>
  </si>
  <si>
    <t xml:space="preserve">SOURCING MIX — Local vs Import</t>
  </si>
  <si>
    <t xml:space="preserve">Origin</t>
  </si>
  <si>
    <t xml:space="preserve">Budget Control — OPEX &amp; CAPEX by Department (BDT)</t>
  </si>
  <si>
    <t xml:space="preserve">Department names come from Lists. Enter annual budgets in the BLACK cells. Committed = approved PO value incl. tax. Over Budget &gt; 100%, Watch ≥ threshold in Settings.</t>
  </si>
  <si>
    <t xml:space="preserve">OPEX Budget</t>
  </si>
  <si>
    <t xml:space="preserve">OPEX Utilisation %</t>
  </si>
  <si>
    <t xml:space="preserve">CAPEX Budget</t>
  </si>
  <si>
    <t xml:space="preserve">CAPEX Utilisation %</t>
  </si>
  <si>
    <t xml:space="preserve">Total Budget</t>
  </si>
  <si>
    <t xml:space="preserve">Total Committed</t>
  </si>
  <si>
    <t xml:space="preserve">Total Paid</t>
  </si>
  <si>
    <t xml:space="preserve">Remaining Budget</t>
  </si>
  <si>
    <t xml:space="preserve">Utilisation %</t>
  </si>
  <si>
    <t xml:space="preserve">Status</t>
  </si>
  <si>
    <t xml:space="preserve">Budget figures are illustrative placeholders — replace with the approved FY 2026-27 budget. Add departments at the bottom of the Lists sheet; budgets stay on the same row as the department.</t>
  </si>
  <si>
    <t xml:space="preserve">Accounts Payable Aging — by Supplier (BDT)</t>
  </si>
  <si>
    <t xml:space="preserve">Outstanding payable from the register, aged against Next Payment Due Date and the Settings report date. Suppliers come from Lists.</t>
  </si>
  <si>
    <t xml:space="preserve">Total Outstanding</t>
  </si>
  <si>
    <t xml:space="preserve">Overdue Total</t>
  </si>
  <si>
    <t xml:space="preserve">% Overdue</t>
  </si>
  <si>
    <t xml:space="preserve">Max Days Overdue</t>
  </si>
  <si>
    <t xml:space="preserve">Monthly Procurement Cash View — FY 2026-27 (BDT)</t>
  </si>
  <si>
    <t xml:space="preserve">PO commitments by PO month, payments by last payment month, and the outstanding payable falling due each month (cash requirement).</t>
  </si>
  <si>
    <t xml:space="preserve">Month Start</t>
  </si>
  <si>
    <t xml:space="preserve">Month End</t>
  </si>
  <si>
    <t xml:space="preserve">PO Value incl. Tax</t>
  </si>
  <si>
    <t xml:space="preserve">OPEX PO Value</t>
  </si>
  <si>
    <t xml:space="preserve">CAPEX PO Value</t>
  </si>
  <si>
    <t xml:space="preserve">Cash Paid (by last payment date)</t>
  </si>
  <si>
    <t xml:space="preserve">Payable Falling Due</t>
  </si>
  <si>
    <t xml:space="preserve">Cumulative PO Value</t>
  </si>
  <si>
    <t xml:space="preserve">Cumulative Due</t>
  </si>
  <si>
    <t xml:space="preserve">Overdue before FY</t>
  </si>
  <si>
    <t xml:space="preserve">Note: 'Cash Paid' is booked in the month of the row's Last Payment Date. For exact split by instalment, record each instalment as its own line.</t>
  </si>
  <si>
    <t xml:space="preserve">Settings &amp; Assumptions</t>
  </si>
  <si>
    <t xml:space="preserve">BLACK cells (white text) are inputs. Every formula in the workbook reads from here.</t>
  </si>
  <si>
    <t xml:space="preserve">Report Date (=TODAY by default; overwrite to freeze a month-end view)</t>
  </si>
  <si>
    <t xml:space="preserve">Company</t>
  </si>
  <si>
    <t xml:space="preserve">Panda Shoes Industry Ltd</t>
  </si>
  <si>
    <t xml:space="preserve">OTIF quantity tolerance (received ÷ ordered)</t>
  </si>
  <si>
    <t xml:space="preserve">Price variance alert threshold</t>
  </si>
  <si>
    <t xml:space="preserve">Budget 'Watch' threshold (utilisation)</t>
  </si>
  <si>
    <t xml:space="preserve">Financial year start (Bangladesh FY Jul–Jun)</t>
  </si>
  <si>
    <t xml:space="preserve">Rate to BDT</t>
  </si>
  <si>
    <t xml:space="preserve">Note</t>
  </si>
  <si>
    <t xml:space="preserve">Base currency</t>
  </si>
  <si>
    <t xml:space="preserve">Sample rate — replace with bank rate on PO date</t>
  </si>
  <si>
    <t xml:space="preserve">EUR</t>
  </si>
  <si>
    <t xml:space="preserve">INR</t>
  </si>
  <si>
    <t xml:space="preserve">Service levels &amp; analysis thresholds</t>
  </si>
  <si>
    <t xml:space="preserve">Value</t>
  </si>
  <si>
    <t xml:space="preserve">Approval SLA — max days PR → approval before it is flagged</t>
  </si>
  <si>
    <t xml:space="preserve">PO issue SLA — max days approval → PO before it is flagged</t>
  </si>
  <si>
    <t xml:space="preserve">ABC class A cut-off (cumulative share of spend)</t>
  </si>
  <si>
    <t xml:space="preserve">ABC class B cut-off (cumulative share of spend)</t>
  </si>
  <si>
    <t xml:space="preserve">Quotations required (count) for a competitive purchase</t>
  </si>
  <si>
    <t xml:space="preserve">Quotation threshold — PO value (BDT) from which quotations are required</t>
  </si>
  <si>
    <t xml:space="preserve">Invoice price tolerance vs PO price</t>
  </si>
  <si>
    <t xml:space="preserve">Credit 60 Days</t>
  </si>
  <si>
    <t xml:space="preserve">Product Development</t>
  </si>
  <si>
    <t xml:space="preserve">Store &amp; Warehouse</t>
  </si>
  <si>
    <t xml:space="preserve">Admin</t>
  </si>
  <si>
    <t xml:space="preserve">Add new values at the bottom of a column; dropdowns read 40 rows per list. Departments (first 20), Categories (first 20), Payment Terms (first 10) and Suppliers (first 30) feed the analysis sheets automatically.</t>
  </si>
  <si>
    <t xml:space="preserve">How to use this workbook</t>
  </si>
  <si>
    <t xml:space="preserve">Purchase tracking for Panda Shoes Industry Ltd — built for Supply Chain, Finance and Management review.</t>
  </si>
  <si>
    <t xml:space="preserve">WORKFLOW</t>
  </si>
  <si>
    <t xml:space="preserve">1. PR received</t>
  </si>
  <si>
    <t xml:space="preserve">Enter PR No, PR Received Date, Department, Requested By, Item, Category, Spec, Spend Type (OPEX / CAPEX).</t>
  </si>
  <si>
    <t xml:space="preserve">2. OPEX / CAPEX approval</t>
  </si>
  <si>
    <t xml:space="preserve">Enter Approval Ref, Approval Date, Approval Status, Approved By. Stage moves from 'Awaiting Approval' to 'Approved - PO Pending'.</t>
  </si>
  <si>
    <t xml:space="preserve">3. PO order</t>
  </si>
  <si>
    <t xml:space="preserve">Enter Supplier, Local/Import, PO No, PO Date, Order Quantity, UOM, Unit Price, Currency, Budget/Standard price and VAT/AIT %. Total Price, FX and price variance calculate automatically.</t>
  </si>
  <si>
    <t xml:space="preserve">4. Finance</t>
  </si>
  <si>
    <t xml:space="preserve">Enter Payment Terms, then amounts as they are paid: Initial/Advance, Interim, Closing. % of Payment, Outstanding, Finance Status and Aging calculate. Keep Next Payment Due Date and Last Payment Date current.</t>
  </si>
  <si>
    <t xml:space="preserve">5. In-house</t>
  </si>
  <si>
    <t xml:space="preserve">Enter Supplier Committed Delivery Date, Starting to In-house Date (first receipt), Qty Received (cumulative) and Final In-house Closing Date. Pending Qty, Pending Value and Pending Material Status (All In-house / Pending X / Not Started / Short Closed) calculate, with lead time, delay and OTIF.</t>
  </si>
  <si>
    <t xml:space="preserve">6. Material approval</t>
  </si>
  <si>
    <t xml:space="preserve">Set QC / Material Approval. Put the approved-sample picture in 'Approved Material Picture' (Excel 365: Insert ▸ Pictures ▸ Place in Cell) and the file path / Drive link in the column beside it.</t>
  </si>
  <si>
    <t xml:space="preserve">COLOUR CODE</t>
  </si>
  <si>
    <t xml:space="preserve">Black cell, white text (✎ INPUT)</t>
  </si>
  <si>
    <t xml:space="preserve">Data-entry cell — the only cells that can be typed in. Dropdown, date and number rules stop wrong entries.</t>
  </si>
  <si>
    <t xml:space="preserve">Orange cell</t>
  </si>
  <si>
    <t xml:space="preserve">Required input still empty for the stage this line has reached (e.g. PO No entered but PO Date blank).</t>
  </si>
  <si>
    <t xml:space="preserve">Grey cell (AUTO)</t>
  </si>
  <si>
    <t xml:space="preserve">Formula — locked. Sheets are protected without a password: Review ▸ Unprotect Sheet to change structure, then protect again.</t>
  </si>
  <si>
    <t xml:space="preserve">Data Check column</t>
  </si>
  <si>
    <t xml:space="preserve">Reads OK when the line is complete and consistent; otherwise lists what to fix (missing fields, dates out of order, overpaid, received &gt; ordered, PO without approval).</t>
  </si>
  <si>
    <t xml:space="preserve">Green text</t>
  </si>
  <si>
    <t xml:space="preserve">Pulls from another sheet.</t>
  </si>
  <si>
    <t xml:space="preserve">Everything else</t>
  </si>
  <si>
    <t xml:space="preserve">Automatic — do not type over it. Only black cells take data entry.</t>
  </si>
  <si>
    <t xml:space="preserve">SHEETS — WHAT EACH ONE ANSWERS</t>
  </si>
  <si>
    <t xml:space="preserve">Dashboard</t>
  </si>
  <si>
    <t xml:space="preserve">25 KPIs, auto-written management highlights and 9 charts. Numbers are in BDT Lakh and shown on every chart.</t>
  </si>
  <si>
    <t xml:space="preserve">Action_Tracker</t>
  </si>
  <si>
    <t xml:space="preserve">Today's to-do list: every line needing action, sorted High → Medium → Low. Overdue payment, late delivery, approval / PO beyond SLA, price above budget before PO, short closed, QC rejected, advance at risk, data errors.</t>
  </si>
  <si>
    <t xml:space="preserve">Purchase_Register</t>
  </si>
  <si>
    <t xml:space="preserve">The only place data is entered (black cells). One row per PR line, from PR to final payment.</t>
  </si>
  <si>
    <t xml:space="preserve">Supplier_Scorecard</t>
  </si>
  <si>
    <t xml:space="preserve">Score 0–100 = 40% OTIF + 20% In-Full + 25% QC acceptance + 15% price discipline. A ≥ 80 Preferred, B 60–79 Approved, C &lt; 60 Review. Also late open POs, short-closed lines, pending value and spend concentration (HHI).</t>
  </si>
  <si>
    <t xml:space="preserve">Spend_Analysis</t>
  </si>
  <si>
    <t xml:space="preserve">ABC / Pareto of categories (A = first 80% of spend), savings and overspend vs budget price, payment-terms mix (working capital), local vs import.</t>
  </si>
  <si>
    <t xml:space="preserve">Budget_Control</t>
  </si>
  <si>
    <t xml:space="preserve">OPEX and CAPEX committed vs annual budget by department, with Over Budget / Watch flags.</t>
  </si>
  <si>
    <t xml:space="preserve">Payables_Aging</t>
  </si>
  <si>
    <t xml:space="preserve">Outstanding payable by supplier: Not Yet Due, 1-30, 31-60, 61-90, 90+ days.</t>
  </si>
  <si>
    <t xml:space="preserve">Cash_Forecast</t>
  </si>
  <si>
    <t xml:space="preserve">Month-by-month PO commitments, cash paid and payables falling due, for treasury planning.</t>
  </si>
  <si>
    <t xml:space="preserve">Settings / Lists</t>
  </si>
  <si>
    <t xml:space="preserve">Report date, thresholds, SLAs, ABC cut-offs, FX rates; dropdown lists. New departments, categories and suppliers added at the bottom of Lists flow into every analysis sheet.</t>
  </si>
  <si>
    <t xml:space="preserve">KEY METRICS EXPLAINED</t>
  </si>
  <si>
    <t xml:space="preserve">On Time In Full: closed on or before the supplier's committed date AND at least 98% of the quantity received (tolerance in Settings).</t>
  </si>
  <si>
    <t xml:space="preserve">In-Full rate</t>
  </si>
  <si>
    <t xml:space="preserve">Share of closed deliveries where the full quantity came in (no short closing).</t>
  </si>
  <si>
    <t xml:space="preserve">Price variance vs budget</t>
  </si>
  <si>
    <t xml:space="preserve">PO price compared to the budget / standard cost. Negative = saving, positive = overspend.</t>
  </si>
  <si>
    <t xml:space="preserve">Price change vs previous PO</t>
  </si>
  <si>
    <t xml:space="preserve">Unit price in BDT compared with the most recent earlier PO for the same item name — shows price creep. Keep item names identical.</t>
  </si>
  <si>
    <t xml:space="preserve">Paid ahead of receipt</t>
  </si>
  <si>
    <t xml:space="preserve">Money paid for goods not yet received — the cash at risk if the supplier fails. On short-closed lines it is the amount to recover.</t>
  </si>
  <si>
    <t xml:space="preserve">Cycle-time KPIs</t>
  </si>
  <si>
    <t xml:space="preserve">Days PR → Approval, Approval → PO, PO → In-house close and the full cycle — shows where the process waits.</t>
  </si>
  <si>
    <t xml:space="preserve">Control breach</t>
  </si>
  <si>
    <t xml:space="preserve">Any PO issued without an approved OPEX / CAPEX — an internal-control red flag for audit.</t>
  </si>
  <si>
    <t xml:space="preserve">SAMPLE DATA</t>
  </si>
  <si>
    <t xml:space="preserve">The 45 sample rows (PR-0045 is a deliberately incomplete demo line), supplier names, budgets and FX rates are illustrative. Before going live, clear the black input cells in Purchase_Register rows 6–50, delete the sample pictures, and enter your real budgets, FX rates and lists.</t>
  </si>
  <si>
    <t xml:space="preserve">Prepared by</t>
  </si>
  <si>
    <t xml:space="preserve">Abdulla, Manufacturing Resilience, Sustainability &amp; Transformation Division</t>
  </si>
  <si>
    <t xml:space="preserve">ID</t>
  </si>
  <si>
    <t xml:space="preserve">Receipt Date</t>
  </si>
  <si>
    <t xml:space="preserve">Qty Received</t>
  </si>
  <si>
    <t xml:space="preserve">Qty Accepted at QC</t>
  </si>
  <si>
    <t xml:space="preserve">Delivery Challan No</t>
  </si>
  <si>
    <t xml:space="preserve">Entered By</t>
  </si>
  <si>
    <t xml:space="preserve">Entered At</t>
  </si>
  <si>
    <t xml:space="preserve">GRN-0001</t>
  </si>
  <si>
    <t xml:space="preserve">DC-9656</t>
  </si>
  <si>
    <t xml:space="preserve">Sample data</t>
  </si>
  <si>
    <t xml:space="preserve">GRN-0002</t>
  </si>
  <si>
    <t xml:space="preserve">DC-2768</t>
  </si>
  <si>
    <t xml:space="preserve">GRN-0003</t>
  </si>
  <si>
    <t xml:space="preserve">DC-7560</t>
  </si>
  <si>
    <t xml:space="preserve">GRN-0004</t>
  </si>
  <si>
    <t xml:space="preserve">DC-1248</t>
  </si>
  <si>
    <t xml:space="preserve">GRN-0005</t>
  </si>
  <si>
    <t xml:space="preserve">DC-2643</t>
  </si>
  <si>
    <t xml:space="preserve">GRN-0006</t>
  </si>
  <si>
    <t xml:space="preserve">DC-1689</t>
  </si>
  <si>
    <t xml:space="preserve">GRN-0007</t>
  </si>
  <si>
    <t xml:space="preserve">DC-4220</t>
  </si>
  <si>
    <t xml:space="preserve">GRN-0008</t>
  </si>
  <si>
    <t xml:space="preserve">DC-7360</t>
  </si>
  <si>
    <t xml:space="preserve">GRN-0009</t>
  </si>
  <si>
    <t xml:space="preserve">DC-5591</t>
  </si>
  <si>
    <t xml:space="preserve">GRN-0010</t>
  </si>
  <si>
    <t xml:space="preserve">DC-8779</t>
  </si>
  <si>
    <t xml:space="preserve">GRN-0011</t>
  </si>
  <si>
    <t xml:space="preserve">DC-6856</t>
  </si>
  <si>
    <t xml:space="preserve">GRN-0012</t>
  </si>
  <si>
    <t xml:space="preserve">DC-2272</t>
  </si>
  <si>
    <t xml:space="preserve">GRN-0013</t>
  </si>
  <si>
    <t xml:space="preserve">DC-7834</t>
  </si>
  <si>
    <t xml:space="preserve">GRN-0014</t>
  </si>
  <si>
    <t xml:space="preserve">DC-8499</t>
  </si>
  <si>
    <t xml:space="preserve">GRN-0015</t>
  </si>
  <si>
    <t xml:space="preserve">DC-8217</t>
  </si>
  <si>
    <t xml:space="preserve">GRN-0016</t>
  </si>
  <si>
    <t xml:space="preserve">DC-4252</t>
  </si>
  <si>
    <t xml:space="preserve">GRN-0017</t>
  </si>
  <si>
    <t xml:space="preserve">DC-8059</t>
  </si>
  <si>
    <t xml:space="preserve">GRN-0018</t>
  </si>
  <si>
    <t xml:space="preserve">DC-4281</t>
  </si>
  <si>
    <t xml:space="preserve">GRN-0019</t>
  </si>
  <si>
    <t xml:space="preserve">DC-1515</t>
  </si>
  <si>
    <t xml:space="preserve">GRN-0020</t>
  </si>
  <si>
    <t xml:space="preserve">DC-5364</t>
  </si>
  <si>
    <t xml:space="preserve">GRN-0021</t>
  </si>
  <si>
    <t xml:space="preserve">DC-9842</t>
  </si>
  <si>
    <t xml:space="preserve">GRN-0022</t>
  </si>
  <si>
    <t xml:space="preserve">DC-6249</t>
  </si>
  <si>
    <t xml:space="preserve">GRN-0023</t>
  </si>
  <si>
    <t xml:space="preserve">DC-5290</t>
  </si>
  <si>
    <t xml:space="preserve">GRN-0024</t>
  </si>
  <si>
    <t xml:space="preserve">DC-1256</t>
  </si>
  <si>
    <t xml:space="preserve">GRN-0025</t>
  </si>
  <si>
    <t xml:space="preserve">DC-5754</t>
  </si>
  <si>
    <t xml:space="preserve">GRN-0026</t>
  </si>
  <si>
    <t xml:space="preserve">DC-3692</t>
  </si>
  <si>
    <t xml:space="preserve">GRN-0027</t>
  </si>
  <si>
    <t xml:space="preserve">DC-9565</t>
  </si>
  <si>
    <t xml:space="preserve">GRN-0028</t>
  </si>
  <si>
    <t xml:space="preserve">DC-2872</t>
  </si>
  <si>
    <t xml:space="preserve">GRN-0029</t>
  </si>
  <si>
    <t xml:space="preserve">DC-8752</t>
  </si>
  <si>
    <t xml:space="preserve">GRN-0030</t>
  </si>
  <si>
    <t xml:space="preserve">DC-9077</t>
  </si>
  <si>
    <t xml:space="preserve">GRN-0031</t>
  </si>
  <si>
    <t xml:space="preserve">DC-9363</t>
  </si>
  <si>
    <t xml:space="preserve">GRN-0032</t>
  </si>
  <si>
    <t xml:space="preserve">DC-6695</t>
  </si>
  <si>
    <t xml:space="preserve">GRN-0033</t>
  </si>
  <si>
    <t xml:space="preserve">DC-3967</t>
  </si>
  <si>
    <t xml:space="preserve">GRN-0034</t>
  </si>
  <si>
    <t xml:space="preserve">DC-8898</t>
  </si>
  <si>
    <t xml:space="preserve">GRN-0035</t>
  </si>
  <si>
    <t xml:space="preserve">DC-2739</t>
  </si>
  <si>
    <t xml:space="preserve">GRN-0036</t>
  </si>
  <si>
    <t xml:space="preserve">DC-1669</t>
  </si>
  <si>
    <t xml:space="preserve">GRN-0037</t>
  </si>
  <si>
    <t xml:space="preserve">GRN-0038</t>
  </si>
  <si>
    <t xml:space="preserve">DC-3622</t>
  </si>
  <si>
    <t xml:space="preserve">GRN-0039</t>
  </si>
  <si>
    <t xml:space="preserve">DC-8681</t>
  </si>
  <si>
    <t xml:space="preserve">GRN-0040</t>
  </si>
  <si>
    <t xml:space="preserve">DC-1826</t>
  </si>
  <si>
    <t xml:space="preserve">GRN-0041</t>
  </si>
  <si>
    <t xml:space="preserve">DC-4202</t>
  </si>
  <si>
    <t xml:space="preserve">GRN-0042</t>
  </si>
  <si>
    <t xml:space="preserve">DC-7892</t>
  </si>
  <si>
    <t xml:space="preserve">GRN-0043</t>
  </si>
  <si>
    <t xml:space="preserve">DC-6230</t>
  </si>
  <si>
    <t xml:space="preserve">GRN-0044</t>
  </si>
  <si>
    <t xml:space="preserve">DC-3290</t>
  </si>
  <si>
    <t xml:space="preserve">GRN-0045</t>
  </si>
  <si>
    <t xml:space="preserve">DC-7831</t>
  </si>
  <si>
    <t xml:space="preserve">GRN-0046</t>
  </si>
  <si>
    <t xml:space="preserve">DC-8328</t>
  </si>
  <si>
    <t xml:space="preserve">GRN-0047</t>
  </si>
  <si>
    <t xml:space="preserve">DC-1152</t>
  </si>
  <si>
    <t xml:space="preserve">GRN-0048</t>
  </si>
  <si>
    <t xml:space="preserve">DC-2246</t>
  </si>
  <si>
    <t xml:space="preserve">GRN-0049</t>
  </si>
  <si>
    <t xml:space="preserve">DC-9456</t>
  </si>
  <si>
    <t xml:space="preserve">GRN-0050</t>
  </si>
  <si>
    <t xml:space="preserve">DC-5068</t>
  </si>
  <si>
    <t xml:space="preserve">GRN-0051</t>
  </si>
  <si>
    <t xml:space="preserve">DC-7926</t>
  </si>
  <si>
    <t xml:space="preserve">GRN-0052</t>
  </si>
  <si>
    <t xml:space="preserve">DC-2049</t>
  </si>
  <si>
    <t xml:space="preserve">GRN-0053</t>
  </si>
  <si>
    <t xml:space="preserve">DC-9088</t>
  </si>
  <si>
    <t xml:space="preserve">GRN-0054</t>
  </si>
  <si>
    <t xml:space="preserve">DC-7152</t>
  </si>
  <si>
    <t xml:space="preserve">GRN-0055</t>
  </si>
  <si>
    <t xml:space="preserve">DC-3746</t>
  </si>
  <si>
    <t xml:space="preserve">GRN-0056</t>
  </si>
  <si>
    <t xml:space="preserve">DC-8731</t>
  </si>
  <si>
    <t xml:space="preserve">GRN-0057</t>
  </si>
  <si>
    <t xml:space="preserve">DC-9333</t>
  </si>
  <si>
    <t xml:space="preserve">GRN-0058</t>
  </si>
  <si>
    <t xml:space="preserve">DC-3570</t>
  </si>
  <si>
    <t xml:space="preserve">Entry</t>
  </si>
  <si>
    <t xml:space="preserve">Payment Type</t>
  </si>
  <si>
    <t xml:space="preserve">Date (paid or due)</t>
  </si>
  <si>
    <t xml:space="preserve">Amount (BDT)</t>
  </si>
  <si>
    <t xml:space="preserve">Invoice No</t>
  </si>
  <si>
    <t xml:space="preserve">Settles Planned ID</t>
  </si>
  <si>
    <t xml:space="preserve">Bank / Cheque Ref</t>
  </si>
  <si>
    <t xml:space="preserve">PAY-0001</t>
  </si>
  <si>
    <t xml:space="preserve">Paid</t>
  </si>
  <si>
    <t xml:space="preserve">Advance</t>
  </si>
  <si>
    <t xml:space="preserve">CHQ-166233</t>
  </si>
  <si>
    <t xml:space="preserve">PAY-0002</t>
  </si>
  <si>
    <t xml:space="preserve">Closing</t>
  </si>
  <si>
    <t xml:space="preserve">EFT-162443</t>
  </si>
  <si>
    <t xml:space="preserve">PAY-0003</t>
  </si>
  <si>
    <t xml:space="preserve">CHQ-213039</t>
  </si>
  <si>
    <t xml:space="preserve">PAY-0004</t>
  </si>
  <si>
    <t xml:space="preserve">EFT-529969</t>
  </si>
  <si>
    <t xml:space="preserve">PAY-0005</t>
  </si>
  <si>
    <t xml:space="preserve">EFT-253468</t>
  </si>
  <si>
    <t xml:space="preserve">PAY-0006</t>
  </si>
  <si>
    <t xml:space="preserve">Interim</t>
  </si>
  <si>
    <t xml:space="preserve">EFT-605954</t>
  </si>
  <si>
    <t xml:space="preserve">PAY-0007</t>
  </si>
  <si>
    <t xml:space="preserve">Planned</t>
  </si>
  <si>
    <t xml:space="preserve">Balance per payment terms</t>
  </si>
  <si>
    <t xml:space="preserve">PAY-0008</t>
  </si>
  <si>
    <t xml:space="preserve">CHQ-322717</t>
  </si>
  <si>
    <t xml:space="preserve">PAY-0009</t>
  </si>
  <si>
    <t xml:space="preserve">EFT-835020</t>
  </si>
  <si>
    <t xml:space="preserve">PAY-0010</t>
  </si>
  <si>
    <t xml:space="preserve">CHQ-928932</t>
  </si>
  <si>
    <t xml:space="preserve">PAY-0011</t>
  </si>
  <si>
    <t xml:space="preserve">EFT-585094</t>
  </si>
  <si>
    <t xml:space="preserve">PAY-0012</t>
  </si>
  <si>
    <t xml:space="preserve">CHQ-324593</t>
  </si>
  <si>
    <t xml:space="preserve">PAY-0013</t>
  </si>
  <si>
    <t xml:space="preserve">PAY-0014</t>
  </si>
  <si>
    <t xml:space="preserve">EFT-391633</t>
  </si>
  <si>
    <t xml:space="preserve">PAY-0015</t>
  </si>
  <si>
    <t xml:space="preserve">PAY-0016</t>
  </si>
  <si>
    <t xml:space="preserve">EFT-348941</t>
  </si>
  <si>
    <t xml:space="preserve">PAY-0017</t>
  </si>
  <si>
    <t xml:space="preserve">EFT-831184</t>
  </si>
  <si>
    <t xml:space="preserve">PAY-0018</t>
  </si>
  <si>
    <t xml:space="preserve">PAY-0019</t>
  </si>
  <si>
    <t xml:space="preserve">EFT-465436</t>
  </si>
  <si>
    <t xml:space="preserve">PAY-0020</t>
  </si>
  <si>
    <t xml:space="preserve">EFT-639193</t>
  </si>
  <si>
    <t xml:space="preserve">PAY-0021</t>
  </si>
  <si>
    <t xml:space="preserve">CHQ-627616</t>
  </si>
  <si>
    <t xml:space="preserve">PAY-0022</t>
  </si>
  <si>
    <t xml:space="preserve">EFT-105175</t>
  </si>
  <si>
    <t xml:space="preserve">PAY-0023</t>
  </si>
  <si>
    <t xml:space="preserve">EFT-233135</t>
  </si>
  <si>
    <t xml:space="preserve">PAY-0024</t>
  </si>
  <si>
    <t xml:space="preserve">PAY-0025</t>
  </si>
  <si>
    <t xml:space="preserve">EFT-753814</t>
  </si>
  <si>
    <t xml:space="preserve">PAY-0026</t>
  </si>
  <si>
    <t xml:space="preserve">PAY-0027</t>
  </si>
  <si>
    <t xml:space="preserve">CHQ-431217</t>
  </si>
  <si>
    <t xml:space="preserve">PAY-0028</t>
  </si>
  <si>
    <t xml:space="preserve">PAY-0029</t>
  </si>
  <si>
    <t xml:space="preserve">CHQ-125485</t>
  </si>
  <si>
    <t xml:space="preserve">PAY-0030</t>
  </si>
  <si>
    <t xml:space="preserve">PAY-0031</t>
  </si>
  <si>
    <t xml:space="preserve">CHQ-290074</t>
  </si>
  <si>
    <t xml:space="preserve">PAY-0032</t>
  </si>
  <si>
    <t xml:space="preserve">PAY-0033</t>
  </si>
  <si>
    <t xml:space="preserve">CHQ-954213</t>
  </si>
  <si>
    <t xml:space="preserve">PAY-0034</t>
  </si>
  <si>
    <t xml:space="preserve">EFT-525340</t>
  </si>
  <si>
    <t xml:space="preserve">PAY-0035</t>
  </si>
  <si>
    <t xml:space="preserve">CHQ-205762</t>
  </si>
  <si>
    <t xml:space="preserve">PAY-0036</t>
  </si>
  <si>
    <t xml:space="preserve">PAY-0037</t>
  </si>
  <si>
    <t xml:space="preserve">CHQ-779487</t>
  </si>
  <si>
    <t xml:space="preserve">PAY-0038</t>
  </si>
  <si>
    <t xml:space="preserve">PAY-0039</t>
  </si>
  <si>
    <t xml:space="preserve">EFT-398252</t>
  </si>
  <si>
    <t xml:space="preserve">PAY-0040</t>
  </si>
  <si>
    <t xml:space="preserve">CHQ-177074</t>
  </si>
  <si>
    <t xml:space="preserve">PAY-0041</t>
  </si>
  <si>
    <t xml:space="preserve">CHQ-577682</t>
  </si>
  <si>
    <t xml:space="preserve">PAY-0042</t>
  </si>
  <si>
    <t xml:space="preserve">EFT-730247</t>
  </si>
  <si>
    <t xml:space="preserve">PAY-0043</t>
  </si>
  <si>
    <t xml:space="preserve">EFT-753628</t>
  </si>
  <si>
    <t xml:space="preserve">PAY-0044</t>
  </si>
  <si>
    <t xml:space="preserve">CHQ-948489</t>
  </si>
  <si>
    <t xml:space="preserve">PAY-0045</t>
  </si>
  <si>
    <t xml:space="preserve">PAY-0046</t>
  </si>
  <si>
    <t xml:space="preserve">PAY-0047</t>
  </si>
  <si>
    <t xml:space="preserve">PAY-0048</t>
  </si>
  <si>
    <t xml:space="preserve">CHQ-710229</t>
  </si>
  <si>
    <t xml:space="preserve">PAY-0049</t>
  </si>
  <si>
    <t xml:space="preserve">PAY-0050</t>
  </si>
  <si>
    <t xml:space="preserve">CHQ-436466</t>
  </si>
  <si>
    <t xml:space="preserve">PAY-0051</t>
  </si>
  <si>
    <t xml:space="preserve">CHQ-334838</t>
  </si>
  <si>
    <t xml:space="preserve">PAY-0052</t>
  </si>
  <si>
    <t xml:space="preserve">PAY-0053</t>
  </si>
  <si>
    <t xml:space="preserve">PAY-0054</t>
  </si>
  <si>
    <t xml:space="preserve">CHQ-909429</t>
  </si>
  <si>
    <t xml:space="preserve">PAY-0055</t>
  </si>
  <si>
    <t xml:space="preserve">PAY-0056</t>
  </si>
  <si>
    <t xml:space="preserve">CHQ-494252</t>
  </si>
  <si>
    <t xml:space="preserve">PAY-0057</t>
  </si>
  <si>
    <t xml:space="preserve">Quote Date</t>
  </si>
  <si>
    <t xml:space="preserve">Unit Price</t>
  </si>
  <si>
    <t xml:space="preserve">Quoted Lead Time (days)</t>
  </si>
  <si>
    <t xml:space="preserve">QT-0001</t>
  </si>
  <si>
    <t xml:space="preserve">QT-0002</t>
  </si>
  <si>
    <t xml:space="preserve">QT-0003</t>
  </si>
  <si>
    <t xml:space="preserve">QT-0004</t>
  </si>
  <si>
    <t xml:space="preserve">QT-0005</t>
  </si>
  <si>
    <t xml:space="preserve">QT-0006</t>
  </si>
  <si>
    <t xml:space="preserve">QT-0007</t>
  </si>
  <si>
    <t xml:space="preserve">QT-0008</t>
  </si>
  <si>
    <t xml:space="preserve">QT-0009</t>
  </si>
  <si>
    <t xml:space="preserve">QT-0010</t>
  </si>
  <si>
    <t xml:space="preserve">QT-0011</t>
  </si>
  <si>
    <t xml:space="preserve">QT-0012</t>
  </si>
  <si>
    <t xml:space="preserve">QT-0013</t>
  </si>
  <si>
    <t xml:space="preserve">QT-0014</t>
  </si>
  <si>
    <t xml:space="preserve">QT-0015</t>
  </si>
  <si>
    <t xml:space="preserve">QT-0016</t>
  </si>
  <si>
    <t xml:space="preserve">QT-0017</t>
  </si>
  <si>
    <t xml:space="preserve">QT-0018</t>
  </si>
  <si>
    <t xml:space="preserve">QT-0019</t>
  </si>
  <si>
    <t xml:space="preserve">QT-0020</t>
  </si>
  <si>
    <t xml:space="preserve">QT-0021</t>
  </si>
  <si>
    <t xml:space="preserve">QT-0022</t>
  </si>
  <si>
    <t xml:space="preserve">QT-0023</t>
  </si>
  <si>
    <t xml:space="preserve">QT-0024</t>
  </si>
  <si>
    <t xml:space="preserve">QT-0025</t>
  </si>
  <si>
    <t xml:space="preserve">QT-0026</t>
  </si>
  <si>
    <t xml:space="preserve">QT-0027</t>
  </si>
  <si>
    <t xml:space="preserve">QT-0028</t>
  </si>
  <si>
    <t xml:space="preserve">QT-0029</t>
  </si>
  <si>
    <t xml:space="preserve">QT-0030</t>
  </si>
  <si>
    <t xml:space="preserve">QT-0031</t>
  </si>
  <si>
    <t xml:space="preserve">QT-0032</t>
  </si>
  <si>
    <t xml:space="preserve">QT-0033</t>
  </si>
  <si>
    <t xml:space="preserve">QT-0034</t>
  </si>
  <si>
    <t xml:space="preserve">QT-0035</t>
  </si>
  <si>
    <t xml:space="preserve">QT-0036</t>
  </si>
  <si>
    <t xml:space="preserve">QT-0037</t>
  </si>
  <si>
    <t xml:space="preserve">QT-0038</t>
  </si>
  <si>
    <t xml:space="preserve">QT-0039</t>
  </si>
  <si>
    <t xml:space="preserve">QT-0040</t>
  </si>
  <si>
    <t xml:space="preserve">QT-0041</t>
  </si>
  <si>
    <t xml:space="preserve">QT-0042</t>
  </si>
  <si>
    <t xml:space="preserve">QT-0043</t>
  </si>
  <si>
    <t xml:space="preserve">QT-0044</t>
  </si>
  <si>
    <t xml:space="preserve">QT-0045</t>
  </si>
  <si>
    <t xml:space="preserve">QT-0046</t>
  </si>
  <si>
    <t xml:space="preserve">QT-0047</t>
  </si>
  <si>
    <t xml:space="preserve">QT-0048</t>
  </si>
  <si>
    <t xml:space="preserve">QT-0049</t>
  </si>
  <si>
    <t xml:space="preserve">QT-0050</t>
  </si>
  <si>
    <t xml:space="preserve">QT-0051</t>
  </si>
  <si>
    <t xml:space="preserve">QT-0052</t>
  </si>
  <si>
    <t xml:space="preserve">QT-0053</t>
  </si>
  <si>
    <t xml:space="preserve">QT-0054</t>
  </si>
  <si>
    <t xml:space="preserve">QT-0055</t>
  </si>
  <si>
    <t xml:space="preserve">QT-0056</t>
  </si>
  <si>
    <t xml:space="preserve">QT-0057</t>
  </si>
  <si>
    <t xml:space="preserve">QT-0058</t>
  </si>
  <si>
    <t xml:space="preserve">QT-0059</t>
  </si>
  <si>
    <t xml:space="preserve">QT-0060</t>
  </si>
  <si>
    <t xml:space="preserve">QT-0061</t>
  </si>
  <si>
    <t xml:space="preserve">QT-0062</t>
  </si>
  <si>
    <t xml:space="preserve">QT-0063</t>
  </si>
  <si>
    <t xml:space="preserve">QT-0064</t>
  </si>
  <si>
    <t xml:space="preserve">QT-0065</t>
  </si>
  <si>
    <t xml:space="preserve">QT-0066</t>
  </si>
  <si>
    <t xml:space="preserve">QT-0067</t>
  </si>
  <si>
    <t xml:space="preserve">QT-0068</t>
  </si>
  <si>
    <t xml:space="preserve">QT-0069</t>
  </si>
  <si>
    <t xml:space="preserve">QT-0070</t>
  </si>
  <si>
    <t xml:space="preserve">QT-0071</t>
  </si>
  <si>
    <t xml:space="preserve">QT-0072</t>
  </si>
  <si>
    <t xml:space="preserve">QT-0073</t>
  </si>
  <si>
    <t xml:space="preserve">QT-0074</t>
  </si>
  <si>
    <t xml:space="preserve">QT-0075</t>
  </si>
  <si>
    <t xml:space="preserve">QT-0076</t>
  </si>
  <si>
    <t xml:space="preserve">QT-0077</t>
  </si>
  <si>
    <t xml:space="preserve">QT-0078</t>
  </si>
  <si>
    <t xml:space="preserve">QT-0079</t>
  </si>
  <si>
    <t xml:space="preserve">QT-0080</t>
  </si>
  <si>
    <t xml:space="preserve">QT-0081</t>
  </si>
  <si>
    <t xml:space="preserve">QT-0082</t>
  </si>
  <si>
    <t xml:space="preserve">QT-0083</t>
  </si>
  <si>
    <t xml:space="preserve">QT-0084</t>
  </si>
  <si>
    <t xml:space="preserve">QT-0085</t>
  </si>
  <si>
    <t xml:space="preserve">QT-0086</t>
  </si>
  <si>
    <t xml:space="preserve">QT-0087</t>
  </si>
  <si>
    <t xml:space="preserve">QT-0088</t>
  </si>
  <si>
    <t xml:space="preserve">QT-0089</t>
  </si>
  <si>
    <t xml:space="preserve">QT-0090</t>
  </si>
  <si>
    <t xml:space="preserve">QT-0091</t>
  </si>
  <si>
    <t xml:space="preserve">QT-0092</t>
  </si>
  <si>
    <t xml:space="preserve">QT-0093</t>
  </si>
  <si>
    <t xml:space="preserve">QT-0094</t>
  </si>
  <si>
    <t xml:space="preserve">QT-0095</t>
  </si>
  <si>
    <t xml:space="preserve">QT-0096</t>
  </si>
  <si>
    <t xml:space="preserve">QT-0097</t>
  </si>
  <si>
    <t xml:space="preserve">QT-0098</t>
  </si>
  <si>
    <t xml:space="preserve">QT-0099</t>
  </si>
  <si>
    <t xml:space="preserve">QT-0100</t>
  </si>
  <si>
    <t xml:space="preserve">QT-0101</t>
  </si>
  <si>
    <t xml:space="preserve">QT-0102</t>
  </si>
  <si>
    <t xml:space="preserve">QT-0103</t>
  </si>
  <si>
    <t xml:space="preserve">QT-0104</t>
  </si>
  <si>
    <t xml:space="preserve">QT-0105</t>
  </si>
  <si>
    <t xml:space="preserve">QT-0106</t>
  </si>
  <si>
    <t xml:space="preserve">QT-0107</t>
  </si>
  <si>
    <t xml:space="preserve">QT-0108</t>
  </si>
  <si>
    <t xml:space="preserve">QT-0109</t>
  </si>
  <si>
    <t xml:space="preserve">QT-0110</t>
  </si>
  <si>
    <t xml:space="preserve">QT-0111</t>
  </si>
  <si>
    <t xml:space="preserve">QT-0112</t>
  </si>
  <si>
    <t xml:space="preserve">QT-0113</t>
  </si>
  <si>
    <t xml:space="preserve">QT-0114</t>
  </si>
  <si>
    <t xml:space="preserve">QT-0115</t>
  </si>
  <si>
    <t xml:space="preserve">Supplier Invoice No</t>
  </si>
  <si>
    <t xml:space="preserve">Invoice Date</t>
  </si>
  <si>
    <t xml:space="preserve">Qty Invoiced</t>
  </si>
  <si>
    <t xml:space="preserve">Invoice Amount incl. Tax (BDT)</t>
  </si>
  <si>
    <t xml:space="preserve">INV-0001</t>
  </si>
  <si>
    <t xml:space="preserve">SLW/2907</t>
  </si>
  <si>
    <t xml:space="preserve">INV-0002</t>
  </si>
  <si>
    <t xml:space="preserve">SLW/2668</t>
  </si>
  <si>
    <t xml:space="preserve">INV-0003</t>
  </si>
  <si>
    <t xml:space="preserve">DST/2604</t>
  </si>
  <si>
    <t xml:space="preserve">INV-0004</t>
  </si>
  <si>
    <t xml:space="preserve">BSI/2624</t>
  </si>
  <si>
    <t xml:space="preserve">INV-0005</t>
  </si>
  <si>
    <t xml:space="preserve">DST/2610</t>
  </si>
  <si>
    <t xml:space="preserve">INV-0006</t>
  </si>
  <si>
    <t xml:space="preserve">GCT/2919</t>
  </si>
  <si>
    <t xml:space="preserve">INV-0007</t>
  </si>
  <si>
    <t xml:space="preserve">GCT/2865</t>
  </si>
  <si>
    <t xml:space="preserve">INV-0008</t>
  </si>
  <si>
    <t xml:space="preserve">DT&amp;/2707</t>
  </si>
  <si>
    <t xml:space="preserve">INV-0009</t>
  </si>
  <si>
    <t xml:space="preserve">DT&amp;/2947</t>
  </si>
  <si>
    <t xml:space="preserve">INV-0010</t>
  </si>
  <si>
    <t xml:space="preserve">DT&amp;/2922</t>
  </si>
  <si>
    <t xml:space="preserve">INV-0011</t>
  </si>
  <si>
    <t xml:space="preserve">NBM/2801</t>
  </si>
  <si>
    <t xml:space="preserve">INV-0012</t>
  </si>
  <si>
    <t xml:space="preserve">DST/2825</t>
  </si>
  <si>
    <t xml:space="preserve">INV-0013</t>
  </si>
  <si>
    <t xml:space="preserve">CPL/2759</t>
  </si>
  <si>
    <t xml:space="preserve">INV-0014</t>
  </si>
  <si>
    <t xml:space="preserve">CPL/2875</t>
  </si>
  <si>
    <t xml:space="preserve">INV-0015</t>
  </si>
  <si>
    <t xml:space="preserve">DS&amp;/2868</t>
  </si>
  <si>
    <t xml:space="preserve">INV-0016</t>
  </si>
  <si>
    <t xml:space="preserve">DS&amp;/2959</t>
  </si>
  <si>
    <t xml:space="preserve">INV-0017</t>
  </si>
  <si>
    <t xml:space="preserve">JFM/2711</t>
  </si>
  <si>
    <t xml:space="preserve">INV-0018</t>
  </si>
  <si>
    <t xml:space="preserve">JFM/2675</t>
  </si>
  <si>
    <t xml:space="preserve">INV-0019</t>
  </si>
  <si>
    <t xml:space="preserve">JFM/2807</t>
  </si>
  <si>
    <t xml:space="preserve">INV-0020</t>
  </si>
  <si>
    <t xml:space="preserve">DS&amp;/2875</t>
  </si>
  <si>
    <t xml:space="preserve">INV-0021</t>
  </si>
  <si>
    <t xml:space="preserve">TPB/2718</t>
  </si>
  <si>
    <t xml:space="preserve">INV-0022</t>
  </si>
  <si>
    <t xml:space="preserve">SLW/2741</t>
  </si>
  <si>
    <t xml:space="preserve">INV-0023</t>
  </si>
  <si>
    <t xml:space="preserve">DS&amp;/2906</t>
  </si>
  <si>
    <t xml:space="preserve">INV-0024</t>
  </si>
  <si>
    <t xml:space="preserve">DS&amp;/2927</t>
  </si>
  <si>
    <t xml:space="preserve">INV-0025</t>
  </si>
  <si>
    <t xml:space="preserve">GCT/2955</t>
  </si>
  <si>
    <t xml:space="preserve">INV-0026</t>
  </si>
  <si>
    <t xml:space="preserve">BSI/2612</t>
  </si>
  <si>
    <t xml:space="preserve">INV-0027</t>
  </si>
  <si>
    <t xml:space="preserve">SLW/2771</t>
  </si>
  <si>
    <t xml:space="preserve">INV-0028</t>
  </si>
  <si>
    <t xml:space="preserve">GCT/2962</t>
  </si>
  <si>
    <t xml:space="preserve">INV-0029</t>
  </si>
  <si>
    <t xml:space="preserve">BSI/2870</t>
  </si>
  <si>
    <t xml:space="preserve">INV-0030</t>
  </si>
  <si>
    <t xml:space="preserve">DT&amp;/2806</t>
  </si>
  <si>
    <t xml:space="preserve">INV-0031</t>
  </si>
  <si>
    <t xml:space="preserve">NBM/2864</t>
  </si>
  <si>
    <t xml:space="preserve">INV-0032</t>
  </si>
  <si>
    <t xml:space="preserve">DST/CI-889</t>
  </si>
  <si>
    <t xml:space="preserve">Commercial invoice with LC documents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</si>
</sst>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#,##0.00&quot; L&quot;"/>
    <numFmt numFmtId="167" formatCode="0.0%"/>
    <numFmt numFmtId="168" formatCode="#,##0.00&quot; L&quot;;[RED]\-#,##0.00&quot; L&quot;"/>
    <numFmt numFmtId="169" formatCode="0.0"/>
    <numFmt numFmtId="170" formatCode="0"/>
    <numFmt numFmtId="171" formatCode="0%"/>
    <numFmt numFmtId="172" formatCode="#,##0.0;\-#,##0.0;;"/>
    <numFmt numFmtId="173" formatCode="0;\-0;;"/>
    <numFmt numFmtId="174" formatCode="#,##0;\(#,##0\);\-"/>
    <numFmt numFmtId="175" formatCode="dd\-mmm\-yy"/>
    <numFmt numFmtId="176" formatCode="#,##0.00"/>
    <numFmt numFmtId="177" formatCode="\+0.0%;\-0.0%;0.0%"/>
    <numFmt numFmtId="178" formatCode="#,##0;[RED]\(#,##0\);\-"/>
    <numFmt numFmtId="179" formatCode="0.0%;[RED]\-0.0%;\-"/>
    <numFmt numFmtId="180" formatCode="0;\-0;\-"/>
    <numFmt numFmtId="181" formatCode="#,##0;[RED]\-#,##0;\-"/>
    <numFmt numFmtId="182" formatCode="General"/>
    <numFmt numFmtId="183" formatCode="#,##0.0"/>
    <numFmt numFmtId="184" formatCode="dd\-mmm\-yyyy"/>
    <numFmt numFmtId="185" formatCode="#,##0.##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B26A00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0E7C7B"/>
      <name val="Arial"/>
      <family val="0"/>
      <charset val="1"/>
    </font>
    <font>
      <b val="true"/>
      <sz val="18"/>
      <color rgb="FF5B3A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4"/>
      <color rgb="FFB26A00"/>
      <name val="Arial"/>
      <family val="0"/>
      <charset val="1"/>
    </font>
    <font>
      <b val="true"/>
      <sz val="14"/>
      <color rgb="FF2F5597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9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A3A3A"/>
      </patternFill>
    </fill>
    <fill>
      <patternFill patternType="solid">
        <fgColor rgb="FF2E7D32"/>
        <bgColor rgb="FF0E7C7B"/>
      </patternFill>
    </fill>
    <fill>
      <patternFill patternType="solid">
        <fgColor rgb="FFB26A00"/>
        <bgColor rgb="FF856404"/>
      </patternFill>
    </fill>
    <fill>
      <patternFill patternType="solid">
        <fgColor rgb="FFF2F4F7"/>
        <bgColor rgb="FFEEF2F7"/>
      </patternFill>
    </fill>
    <fill>
      <patternFill patternType="solid">
        <fgColor rgb="FFC00000"/>
        <bgColor rgb="FF9C0006"/>
      </patternFill>
    </fill>
    <fill>
      <patternFill patternType="solid">
        <fgColor rgb="FF0E7C7B"/>
        <bgColor rgb="FF2E7D32"/>
      </patternFill>
    </fill>
    <fill>
      <patternFill patternType="solid">
        <fgColor rgb="FF5B3A8C"/>
        <bgColor rgb="FF4B2C83"/>
      </patternFill>
    </fill>
    <fill>
      <patternFill patternType="solid">
        <fgColor rgb="FFFFF3CD"/>
        <bgColor rgb="FFFBE5D6"/>
      </patternFill>
    </fill>
    <fill>
      <patternFill patternType="solid">
        <fgColor rgb="FFFFFFFF"/>
        <bgColor rgb="FFF9F9F9"/>
      </patternFill>
    </fill>
    <fill>
      <patternFill patternType="solid">
        <fgColor rgb="FF2F5597"/>
        <bgColor rgb="FF1F3864"/>
      </patternFill>
    </fill>
    <fill>
      <patternFill patternType="solid">
        <fgColor rgb="FF000000"/>
        <bgColor rgb="FF1F1F1F"/>
      </patternFill>
    </fill>
    <fill>
      <patternFill patternType="solid">
        <fgColor rgb="FFEEF2F7"/>
        <bgColor rgb="FFF2F4F7"/>
      </patternFill>
    </fill>
    <fill>
      <patternFill patternType="solid">
        <fgColor rgb="FF7F6000"/>
        <bgColor rgb="FF856404"/>
      </patternFill>
    </fill>
    <fill>
      <patternFill patternType="solid">
        <fgColor rgb="FF833C0B"/>
        <bgColor rgb="FF721C24"/>
      </patternFill>
    </fill>
    <fill>
      <patternFill patternType="solid">
        <fgColor rgb="FF3A3A3A"/>
        <bgColor rgb="FF1F3864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8D7DA"/>
      </patternFill>
    </fill>
    <fill>
      <patternFill patternType="solid">
        <fgColor rgb="FFFF9900"/>
        <bgColor rgb="FFFFCC00"/>
      </patternFill>
    </fill>
    <fill>
      <patternFill patternType="solid">
        <fgColor rgb="FFD4EDDA"/>
        <bgColor rgb="FFD6E4F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medium">
        <color rgb="FF2E7D32"/>
      </bottom>
      <diagonal/>
    </border>
    <border diagonalUp="false" diagonalDown="false">
      <left/>
      <right/>
      <top/>
      <bottom style="medium">
        <color rgb="FFB26A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0E7C7B"/>
      </bottom>
      <diagonal/>
    </border>
    <border diagonalUp="false" diagonalDown="false">
      <left/>
      <right/>
      <top/>
      <bottom style="medium">
        <color rgb="FF5B3A8C"/>
      </bottom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2" fillId="1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32" fillId="1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7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3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9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9" fillId="1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6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2" fillId="1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3" fillId="1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3" fillId="1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3" fillId="2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2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32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5" fontId="32" fillId="1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856404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6E4F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0E7C7B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721C24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3A3A3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4B2C83"/>
          <bgColor rgb="FF0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9900"/>
        </patternFill>
      </fill>
    </dxf>
    <dxf>
      <font>
        <name val="Arial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56404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1F3864"/>
        <sz val="9"/>
      </font>
      <fill>
        <patternFill>
          <bgColor rgb="FFD6E4F0"/>
        </patternFill>
      </fill>
    </dxf>
    <dxf>
      <font>
        <name val="Arial"/>
        <charset val="1"/>
        <family val="0"/>
        <b val="1"/>
        <color rgb="FF721C24"/>
        <sz val="9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4B2C83"/>
        <sz val="9"/>
      </font>
      <fill>
        <patternFill>
          <bgColor rgb="FFE2D9F3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856404"/>
      <rgbColor rgb="FF800080"/>
      <rgbColor rgb="FF0E7C7B"/>
      <rgbColor rgb="FFD9D9D9"/>
      <rgbColor rgb="FF7F7F7F"/>
      <rgbColor rgb="FF9999FF"/>
      <rgbColor rgb="FF5B3A8C"/>
      <rgbColor rgb="FFFFF3CD"/>
      <rgbColor rgb="FFEEF2F7"/>
      <rgbColor rgb="FF7F6000"/>
      <rgbColor rgb="FFFF8080"/>
      <rgbColor rgb="FF2F5597"/>
      <rgbColor rgb="FFC9CED6"/>
      <rgbColor rgb="FF000080"/>
      <rgbColor rgb="FFFF00FF"/>
      <rgbColor rgb="FFFFFF00"/>
      <rgbColor rgb="FF00FFFF"/>
      <rgbColor rgb="FF800080"/>
      <rgbColor rgb="FF721C24"/>
      <rgbColor rgb="FF555555"/>
      <rgbColor rgb="FF0000FF"/>
      <rgbColor rgb="FF00CCFF"/>
      <rgbColor rgb="FFD6E4F0"/>
      <rgbColor rgb="FFD4EDDA"/>
      <rgbColor rgb="FFFBE5D6"/>
      <rgbColor rgb="FFD9E1F2"/>
      <rgbColor rgb="FFF2F4F7"/>
      <rgbColor rgb="FFE2D9F3"/>
      <rgbColor rgb="FFF8D7DA"/>
      <rgbColor rgb="FF4F81BD"/>
      <rgbColor rgb="FF33CCCC"/>
      <rgbColor rgb="FF99CC00"/>
      <rgbColor rgb="FFFFCC00"/>
      <rgbColor rgb="FFFF9900"/>
      <rgbColor rgb="FFB26A00"/>
      <rgbColor rgb="FF666666"/>
      <rgbColor rgb="FF878787"/>
      <rgbColor rgb="FF1F3864"/>
      <rgbColor rgb="FF2E7D32"/>
      <rgbColor rgb="FF155724"/>
      <rgbColor rgb="FF1F1F1F"/>
      <rgbColor rgb="FF833C0B"/>
      <rgbColor rgb="FF595959"/>
      <rgbColor rgb="FF4B2C83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Material Category — Committed vs Paid vs Outstanding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Dashboard!B140</c:f>
              <c:strCache>
                <c:ptCount val="1"/>
                <c:pt idx="0">
                  <c:v>Committed (Lakh)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Dashboard!$A$141:$A$150</c:f>
              <c:strCache>
                <c:ptCount val="10"/>
                <c:pt idx="0">
                  <c:v>Leather &amp; Upper</c:v>
                </c:pt>
                <c:pt idx="1">
                  <c:v>Machinery &amp; Equipment</c:v>
                </c:pt>
                <c:pt idx="2">
                  <c:v>Sole &amp; Bottom</c:v>
                </c:pt>
                <c:pt idx="3">
                  <c:v>Synthetic &amp; Textile</c:v>
                </c:pt>
                <c:pt idx="4">
                  <c:v>Chemicals &amp; Adhesives</c:v>
                </c:pt>
                <c:pt idx="5">
                  <c:v>Trims &amp; Accessories</c:v>
                </c:pt>
                <c:pt idx="6">
                  <c:v>Packaging</c:v>
                </c:pt>
                <c:pt idx="7">
                  <c:v>IT Equipment</c:v>
                </c:pt>
                <c:pt idx="8">
                  <c:v>Safety &amp; Facility</c:v>
                </c:pt>
                <c:pt idx="9">
                  <c:v>Spare Parts</c:v>
                </c:pt>
              </c:strCache>
            </c:strRef>
          </c:cat>
          <c:val>
            <c:numRef>
              <c:f>Dashboard!$B$141:$B$150</c:f>
              <c:numCache>
                <c:formatCode>0.0</c:formatCode>
                <c:ptCount val="10"/>
                <c:pt idx="0">
                  <c:v>178.2994815</c:v>
                </c:pt>
                <c:pt idx="1">
                  <c:v>117.92225795</c:v>
                </c:pt>
                <c:pt idx="2">
                  <c:v>103.987652</c:v>
                </c:pt>
                <c:pt idx="3">
                  <c:v>101.057567</c:v>
                </c:pt>
                <c:pt idx="4">
                  <c:v>23.8392</c:v>
                </c:pt>
                <c:pt idx="5">
                  <c:v>13.310388</c:v>
                </c:pt>
                <c:pt idx="6">
                  <c:v>9.345063</c:v>
                </c:pt>
                <c:pt idx="7">
                  <c:v>7.6182015</c:v>
                </c:pt>
                <c:pt idx="8">
                  <c:v>6.18125</c:v>
                </c:pt>
                <c:pt idx="9">
                  <c:v>3.628942</c:v>
                </c:pt>
              </c:numCache>
            </c:numRef>
          </c:val>
        </c:ser>
        <c:ser>
          <c:idx val="1"/>
          <c:order val="1"/>
          <c:tx>
            <c:strRef>
              <c:f>Dashboard!C140</c:f>
              <c:strCache>
                <c:ptCount val="1"/>
                <c:pt idx="0">
                  <c:v>Paid (Lakh)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2e7d32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Dashboard!$A$141:$A$150</c:f>
              <c:strCache>
                <c:ptCount val="10"/>
                <c:pt idx="0">
                  <c:v>Leather &amp; Upper</c:v>
                </c:pt>
                <c:pt idx="1">
                  <c:v>Machinery &amp; Equipment</c:v>
                </c:pt>
                <c:pt idx="2">
                  <c:v>Sole &amp; Bottom</c:v>
                </c:pt>
                <c:pt idx="3">
                  <c:v>Synthetic &amp; Textile</c:v>
                </c:pt>
                <c:pt idx="4">
                  <c:v>Chemicals &amp; Adhesives</c:v>
                </c:pt>
                <c:pt idx="5">
                  <c:v>Trims &amp; Accessories</c:v>
                </c:pt>
                <c:pt idx="6">
                  <c:v>Packaging</c:v>
                </c:pt>
                <c:pt idx="7">
                  <c:v>IT Equipment</c:v>
                </c:pt>
                <c:pt idx="8">
                  <c:v>Safety &amp; Facility</c:v>
                </c:pt>
                <c:pt idx="9">
                  <c:v>Spare Parts</c:v>
                </c:pt>
              </c:strCache>
            </c:strRef>
          </c:cat>
          <c:val>
            <c:numRef>
              <c:f>Dashboard!$C$141:$C$150</c:f>
              <c:numCache>
                <c:formatCode>0.0</c:formatCode>
                <c:ptCount val="10"/>
                <c:pt idx="0">
                  <c:v>119.6353273</c:v>
                </c:pt>
                <c:pt idx="1">
                  <c:v>66.9986944</c:v>
                </c:pt>
                <c:pt idx="2">
                  <c:v>35.31309</c:v>
                </c:pt>
                <c:pt idx="3">
                  <c:v>81.013451</c:v>
                </c:pt>
                <c:pt idx="4">
                  <c:v>9.355725</c:v>
                </c:pt>
                <c:pt idx="5">
                  <c:v>7.286202</c:v>
                </c:pt>
                <c:pt idx="6">
                  <c:v>9.345063</c:v>
                </c:pt>
                <c:pt idx="7">
                  <c:v>3.8091008</c:v>
                </c:pt>
                <c:pt idx="8">
                  <c:v>3.65801</c:v>
                </c:pt>
                <c:pt idx="9">
                  <c:v>2.058496</c:v>
                </c:pt>
              </c:numCache>
            </c:numRef>
          </c:val>
        </c:ser>
        <c:ser>
          <c:idx val="2"/>
          <c:order val="2"/>
          <c:tx>
            <c:strRef>
              <c:f>Dashboard!D140</c:f>
              <c:strCache>
                <c:ptCount val="1"/>
                <c:pt idx="0">
                  <c:v>Outstanding (Lakh)</c:v>
                </c:pt>
              </c:strCache>
            </c:strRef>
          </c:tx>
          <c:spPr>
            <a:solidFill>
              <a:srgbClr val="b26a00"/>
            </a:solidFill>
            <a:ln w="9360">
              <a:solidFill>
                <a:srgbClr val="b26a00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Dashboard!$A$141:$A$150</c:f>
              <c:strCache>
                <c:ptCount val="10"/>
                <c:pt idx="0">
                  <c:v>Leather &amp; Upper</c:v>
                </c:pt>
                <c:pt idx="1">
                  <c:v>Machinery &amp; Equipment</c:v>
                </c:pt>
                <c:pt idx="2">
                  <c:v>Sole &amp; Bottom</c:v>
                </c:pt>
                <c:pt idx="3">
                  <c:v>Synthetic &amp; Textile</c:v>
                </c:pt>
                <c:pt idx="4">
                  <c:v>Chemicals &amp; Adhesives</c:v>
                </c:pt>
                <c:pt idx="5">
                  <c:v>Trims &amp; Accessories</c:v>
                </c:pt>
                <c:pt idx="6">
                  <c:v>Packaging</c:v>
                </c:pt>
                <c:pt idx="7">
                  <c:v>IT Equipment</c:v>
                </c:pt>
                <c:pt idx="8">
                  <c:v>Safety &amp; Facility</c:v>
                </c:pt>
                <c:pt idx="9">
                  <c:v>Spare Parts</c:v>
                </c:pt>
              </c:strCache>
            </c:strRef>
          </c:cat>
          <c:val>
            <c:numRef>
              <c:f>Dashboard!$D$141:$D$150</c:f>
              <c:numCache>
                <c:formatCode>0.0</c:formatCode>
                <c:ptCount val="10"/>
                <c:pt idx="0">
                  <c:v>58.6641542</c:v>
                </c:pt>
                <c:pt idx="1">
                  <c:v>50.9235636</c:v>
                </c:pt>
                <c:pt idx="2">
                  <c:v>68.674562</c:v>
                </c:pt>
                <c:pt idx="3">
                  <c:v>20.044116</c:v>
                </c:pt>
                <c:pt idx="4">
                  <c:v>14.483475</c:v>
                </c:pt>
                <c:pt idx="5">
                  <c:v>6.024186</c:v>
                </c:pt>
                <c:pt idx="6">
                  <c:v>0</c:v>
                </c:pt>
                <c:pt idx="7">
                  <c:v>3.8091007</c:v>
                </c:pt>
                <c:pt idx="8">
                  <c:v>2.52324</c:v>
                </c:pt>
                <c:pt idx="9">
                  <c:v>1.570446</c:v>
                </c:pt>
              </c:numCache>
            </c:numRef>
          </c:val>
        </c:ser>
        <c:gapWidth val="60"/>
        <c:overlap val="0"/>
        <c:axId val="23903784"/>
        <c:axId val="77071350"/>
      </c:barChart>
      <c:catAx>
        <c:axId val="2390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71350"/>
        <c:crosses val="autoZero"/>
        <c:auto val="1"/>
        <c:lblAlgn val="ctr"/>
        <c:lblOffset val="100"/>
        <c:noMultiLvlLbl val="0"/>
      </c:catAx>
      <c:valAx>
        <c:axId val="7707135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037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OPEX vs CAPEX — Committed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Dashboard!G140</c:f>
              <c:strCache>
                <c:ptCount val="1"/>
                <c:pt idx="0">
                  <c:v>Committed (Lakh)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e7c7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#,##0.0&quot; L&quot;" sourceLinked="1"/>
            <c:dLbl>
              <c:idx val="0"/>
              <c:numFmt formatCode="#,##0.0&quot; L&quot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#,##0.0&quot; L&quot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Dashboard!$F$141:$F$142</c:f>
              <c:strCache>
                <c:ptCount val="2"/>
                <c:pt idx="0">
                  <c:v>OPEX</c:v>
                </c:pt>
                <c:pt idx="1">
                  <c:v>CAPEX</c:v>
                </c:pt>
              </c:strCache>
            </c:strRef>
          </c:cat>
          <c:val>
            <c:numRef>
              <c:f>Dashboard!$G$141:$G$142</c:f>
              <c:numCache>
                <c:formatCode>0.0</c:formatCode>
                <c:ptCount val="2"/>
                <c:pt idx="0">
                  <c:v>439.6495435</c:v>
                </c:pt>
                <c:pt idx="1">
                  <c:v>125.54045945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Purchase Pipeline — Lines by Current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Dashboard!G144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rgbClr val="5b3a8c"/>
            </a:solidFill>
            <a:ln w="9360">
              <a:solidFill>
                <a:srgbClr val="5b3a8c"/>
              </a:solidFill>
              <a:round/>
            </a:ln>
          </c:spPr>
          <c:invertIfNegative val="0"/>
          <c:dLbls>
            <c:numFmt formatCode="0;\-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Dashboard!$F$145:$F$151</c:f>
              <c:strCache>
                <c:ptCount val="7"/>
                <c:pt idx="0">
                  <c:v>Awaiting Approval</c:v>
                </c:pt>
                <c:pt idx="1">
                  <c:v>Approved - PO Pending</c:v>
                </c:pt>
                <c:pt idx="2">
                  <c:v>PO Issued - Awaiting Delivery</c:v>
                </c:pt>
                <c:pt idx="3">
                  <c:v>Receiving In-house</c:v>
                </c:pt>
                <c:pt idx="4">
                  <c:v>In-house Closed - Payment Due</c:v>
                </c:pt>
                <c:pt idx="5">
                  <c:v>Closed</c:v>
                </c:pt>
                <c:pt idx="6">
                  <c:v>Rejected</c:v>
                </c:pt>
              </c:strCache>
            </c:strRef>
          </c:cat>
          <c:val>
            <c:numRef>
              <c:f>Dashboard!$G$145:$G$151</c:f>
              <c:numCache>
                <c:formatCode>0</c:formatCode>
                <c:ptCount val="7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16</c:v>
                </c:pt>
                <c:pt idx="5">
                  <c:v>18</c:v>
                </c:pt>
                <c:pt idx="6">
                  <c:v>1</c:v>
                </c:pt>
              </c:numCache>
            </c:numRef>
          </c:val>
        </c:ser>
        <c:gapWidth val="60"/>
        <c:overlap val="0"/>
        <c:axId val="16704148"/>
        <c:axId val="93532505"/>
      </c:barChart>
      <c:catAx>
        <c:axId val="16704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32505"/>
        <c:crosses val="autoZero"/>
        <c:auto val="1"/>
        <c:lblAlgn val="ctr"/>
        <c:lblOffset val="100"/>
        <c:noMultiLvlLbl val="0"/>
      </c:catAx>
      <c:valAx>
        <c:axId val="93532505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 lines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041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 Status — Value of POs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Dashboard!K140</c:f>
              <c:strCache>
                <c:ptCount val="1"/>
                <c:pt idx="0">
                  <c:v>Value (Lakh)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Dashboard!$I$141:$I$144</c:f>
              <c:strCache>
                <c:ptCount val="4"/>
                <c:pt idx="0">
                  <c:v>Not Paid</c:v>
                </c:pt>
                <c:pt idx="1">
                  <c:v>Initial / Advance Paid</c:v>
                </c:pt>
                <c:pt idx="2">
                  <c:v>Partially Paid</c:v>
                </c:pt>
                <c:pt idx="3">
                  <c:v>Fully Paid</c:v>
                </c:pt>
              </c:strCache>
            </c:strRef>
          </c:cat>
          <c:val>
            <c:numRef>
              <c:f>Dashboard!$K$141:$K$144</c:f>
              <c:numCache>
                <c:formatCode>0.0</c:formatCode>
                <c:ptCount val="4"/>
                <c:pt idx="0">
                  <c:v>44.915228</c:v>
                </c:pt>
                <c:pt idx="1">
                  <c:v>182.6326332</c:v>
                </c:pt>
                <c:pt idx="2">
                  <c:v>33.66531</c:v>
                </c:pt>
                <c:pt idx="3">
                  <c:v>244.95764875</c:v>
                </c:pt>
              </c:numCache>
            </c:numRef>
          </c:val>
        </c:ser>
        <c:gapWidth val="60"/>
        <c:overlap val="0"/>
        <c:axId val="94976939"/>
        <c:axId val="49250958"/>
      </c:barChart>
      <c:catAx>
        <c:axId val="94976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50958"/>
        <c:crosses val="autoZero"/>
        <c:auto val="1"/>
        <c:lblAlgn val="ctr"/>
        <c:lblOffset val="100"/>
        <c:noMultiLvlLbl val="0"/>
      </c:catAx>
      <c:valAx>
        <c:axId val="492509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769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Payables Aging — Outstanding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Dashboard!J146</c:f>
              <c:strCache>
                <c:ptCount val="1"/>
                <c:pt idx="0">
                  <c:v>Outstanding (Lakh)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Dashboard!$I$147:$I$152</c:f>
              <c:strCache>
                <c:ptCount val="6"/>
                <c:pt idx="0">
                  <c:v>Not Yet Due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  <c:pt idx="5">
                  <c:v>No Due Date</c:v>
                </c:pt>
              </c:strCache>
            </c:strRef>
          </c:cat>
          <c:val>
            <c:numRef>
              <c:f>Dashboard!$J$147:$J$152</c:f>
              <c:numCache>
                <c:formatCode>0.0</c:formatCode>
                <c:ptCount val="6"/>
                <c:pt idx="0">
                  <c:v>134.4600281</c:v>
                </c:pt>
                <c:pt idx="1">
                  <c:v>13.8027774</c:v>
                </c:pt>
                <c:pt idx="2">
                  <c:v>5.688675</c:v>
                </c:pt>
                <c:pt idx="3">
                  <c:v>13.74618</c:v>
                </c:pt>
                <c:pt idx="4">
                  <c:v>0</c:v>
                </c:pt>
                <c:pt idx="5">
                  <c:v>59.019183</c:v>
                </c:pt>
              </c:numCache>
            </c:numRef>
          </c:val>
        </c:ser>
        <c:gapWidth val="60"/>
        <c:overlap val="0"/>
        <c:axId val="67328043"/>
        <c:axId val="2403091"/>
      </c:barChart>
      <c:catAx>
        <c:axId val="67328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3091"/>
        <c:crosses val="autoZero"/>
        <c:auto val="1"/>
        <c:lblAlgn val="ctr"/>
        <c:lblOffset val="100"/>
        <c:noMultiLvlLbl val="0"/>
      </c:catAx>
      <c:valAx>
        <c:axId val="24030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280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Procurement Cash View — PO Value, Paid, Falling Due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Dashboard!N140</c:f>
              <c:strCache>
                <c:ptCount val="1"/>
                <c:pt idx="0">
                  <c:v>PO Value (Lakh)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Dashboard!$M$141:$M$152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Dashboard!$N$141:$N$152</c:f>
              <c:numCache>
                <c:formatCode>0.0</c:formatCode>
                <c:ptCount val="12"/>
                <c:pt idx="0">
                  <c:v>49.3302855</c:v>
                </c:pt>
                <c:pt idx="1">
                  <c:v>165.19153945</c:v>
                </c:pt>
                <c:pt idx="2">
                  <c:v>95.140112</c:v>
                </c:pt>
                <c:pt idx="3">
                  <c:v>68.928231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Dashboard!O140</c:f>
              <c:strCache>
                <c:ptCount val="1"/>
                <c:pt idx="0">
                  <c:v>Paid (Lakh)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2e7d32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Dashboard!$M$141:$M$152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Dashboard!$O$141:$O$152</c:f>
              <c:numCache>
                <c:formatCode>0.0</c:formatCode>
                <c:ptCount val="12"/>
                <c:pt idx="0">
                  <c:v>33.576362</c:v>
                </c:pt>
                <c:pt idx="1">
                  <c:v>116.0370252</c:v>
                </c:pt>
                <c:pt idx="2">
                  <c:v>93.2187938</c:v>
                </c:pt>
                <c:pt idx="3">
                  <c:v>39.8652085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Dashboard!P140</c:f>
              <c:strCache>
                <c:ptCount val="1"/>
                <c:pt idx="0">
                  <c:v>Due (Lakh)</c:v>
                </c:pt>
              </c:strCache>
            </c:strRef>
          </c:tx>
          <c:spPr>
            <a:solidFill>
              <a:srgbClr val="b26a00"/>
            </a:solidFill>
            <a:ln w="9360">
              <a:solidFill>
                <a:srgbClr val="b26a00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Dashboard!$M$141:$M$152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Dashboard!$P$141:$P$152</c:f>
              <c:numCache>
                <c:formatCode>0.0</c:formatCode>
                <c:ptCount val="12"/>
                <c:pt idx="0">
                  <c:v>0</c:v>
                </c:pt>
                <c:pt idx="1">
                  <c:v>14.83293</c:v>
                </c:pt>
                <c:pt idx="2">
                  <c:v>16.9553874</c:v>
                </c:pt>
                <c:pt idx="3">
                  <c:v>63.3744938</c:v>
                </c:pt>
                <c:pt idx="4">
                  <c:v>72.5348493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4760251"/>
        <c:axId val="1414231"/>
      </c:barChart>
      <c:catAx>
        <c:axId val="4760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4231"/>
        <c:crosses val="autoZero"/>
        <c:auto val="1"/>
        <c:lblAlgn val="ctr"/>
        <c:lblOffset val="100"/>
        <c:noMultiLvlLbl val="0"/>
      </c:catAx>
      <c:valAx>
        <c:axId val="14142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02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Suppliers by Spend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Dashboard!S140</c:f>
              <c:strCache>
                <c:ptCount val="1"/>
                <c:pt idx="0">
                  <c:v>Spend (Lakh)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Dashboard!$R$141:$R$150</c:f>
              <c:strCache>
                <c:ptCount val="10"/>
                <c:pt idx="0">
                  <c:v>Savar Leather Works Ltd</c:v>
                </c:pt>
                <c:pt idx="1">
                  <c:v>Dongguan Sole Tech Co.</c:v>
                </c:pt>
                <c:pt idx="2">
                  <c:v>Jiangsu Footwear Machinery Co.</c:v>
                </c:pt>
                <c:pt idx="3">
                  <c:v>Bengal Sole Industries</c:v>
                </c:pt>
                <c:pt idx="4">
                  <c:v>Dhaka Spares &amp; Tools</c:v>
                </c:pt>
                <c:pt idx="5">
                  <c:v>Gazipur Chem Trade</c:v>
                </c:pt>
                <c:pt idx="6">
                  <c:v>Delta Thread &amp; Trims</c:v>
                </c:pt>
                <c:pt idx="7">
                  <c:v>Narayanganj Board Mills</c:v>
                </c:pt>
                <c:pt idx="8">
                  <c:v>Chattogram Packaging Ltd</c:v>
                </c:pt>
                <c:pt idx="9">
                  <c:v>Tech Point BD</c:v>
                </c:pt>
              </c:strCache>
            </c:strRef>
          </c:cat>
          <c:val>
            <c:numRef>
              <c:f>Dashboard!$S$141:$S$150</c:f>
              <c:numCache>
                <c:formatCode>0.0</c:formatCode>
                <c:ptCount val="10"/>
                <c:pt idx="0">
                  <c:v>178.2994815</c:v>
                </c:pt>
                <c:pt idx="1">
                  <c:v>105.898969</c:v>
                </c:pt>
                <c:pt idx="2">
                  <c:v>101.8471272</c:v>
                </c:pt>
                <c:pt idx="3">
                  <c:v>86.46225</c:v>
                </c:pt>
                <c:pt idx="4">
                  <c:v>25.88532275</c:v>
                </c:pt>
                <c:pt idx="5">
                  <c:v>23.8392</c:v>
                </c:pt>
                <c:pt idx="6">
                  <c:v>13.310388</c:v>
                </c:pt>
                <c:pt idx="7">
                  <c:v>12.684</c:v>
                </c:pt>
                <c:pt idx="8">
                  <c:v>9.345063</c:v>
                </c:pt>
                <c:pt idx="9">
                  <c:v>7.6182015</c:v>
                </c:pt>
              </c:numCache>
            </c:numRef>
          </c:val>
        </c:ser>
        <c:gapWidth val="60"/>
        <c:overlap val="0"/>
        <c:axId val="68437987"/>
        <c:axId val="83818247"/>
      </c:barChart>
      <c:catAx>
        <c:axId val="68437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18247"/>
        <c:crosses val="autoZero"/>
        <c:auto val="1"/>
        <c:lblAlgn val="ctr"/>
        <c:lblOffset val="100"/>
        <c:noMultiLvlLbl val="0"/>
      </c:catAx>
      <c:valAx>
        <c:axId val="8381824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379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Performance Score (0–100) — Top 10 Suppliers by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Dashboard!U140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2e7d32"/>
              </a:solidFill>
              <a:round/>
            </a:ln>
          </c:spPr>
          <c:invertIfNegative val="0"/>
          <c:dLbls>
            <c:numFmt formatCode="0;\-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Dashboard!$R$141:$R$150</c:f>
              <c:strCache>
                <c:ptCount val="10"/>
                <c:pt idx="0">
                  <c:v>Savar Leather Works Ltd</c:v>
                </c:pt>
                <c:pt idx="1">
                  <c:v>Dongguan Sole Tech Co.</c:v>
                </c:pt>
                <c:pt idx="2">
                  <c:v>Jiangsu Footwear Machinery Co.</c:v>
                </c:pt>
                <c:pt idx="3">
                  <c:v>Bengal Sole Industries</c:v>
                </c:pt>
                <c:pt idx="4">
                  <c:v>Dhaka Spares &amp; Tools</c:v>
                </c:pt>
                <c:pt idx="5">
                  <c:v>Gazipur Chem Trade</c:v>
                </c:pt>
                <c:pt idx="6">
                  <c:v>Delta Thread &amp; Trims</c:v>
                </c:pt>
                <c:pt idx="7">
                  <c:v>Narayanganj Board Mills</c:v>
                </c:pt>
                <c:pt idx="8">
                  <c:v>Chattogram Packaging Ltd</c:v>
                </c:pt>
                <c:pt idx="9">
                  <c:v>Tech Point BD</c:v>
                </c:pt>
              </c:strCache>
            </c:strRef>
          </c:cat>
          <c:val>
            <c:numRef>
              <c:f>Dashboard!$U$141:$U$150</c:f>
              <c:numCache>
                <c:formatCode>0</c:formatCode>
                <c:ptCount val="10"/>
                <c:pt idx="0">
                  <c:v>66</c:v>
                </c:pt>
                <c:pt idx="1">
                  <c:v>98</c:v>
                </c:pt>
                <c:pt idx="2">
                  <c:v>53</c:v>
                </c:pt>
                <c:pt idx="3">
                  <c:v>64</c:v>
                </c:pt>
                <c:pt idx="4">
                  <c:v>65</c:v>
                </c:pt>
                <c:pt idx="5">
                  <c:v>51</c:v>
                </c:pt>
                <c:pt idx="6">
                  <c:v>65</c:v>
                </c:pt>
                <c:pt idx="7">
                  <c:v>59</c:v>
                </c:pt>
                <c:pt idx="8">
                  <c:v>100</c:v>
                </c:pt>
                <c:pt idx="9">
                  <c:v>88</c:v>
                </c:pt>
              </c:numCache>
            </c:numRef>
          </c:val>
        </c:ser>
        <c:gapWidth val="60"/>
        <c:overlap val="0"/>
        <c:axId val="18608383"/>
        <c:axId val="36347452"/>
      </c:barChart>
      <c:catAx>
        <c:axId val="1860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47452"/>
        <c:crosses val="autoZero"/>
        <c:auto val="1"/>
        <c:lblAlgn val="ctr"/>
        <c:lblOffset val="100"/>
        <c:noMultiLvlLbl val="0"/>
      </c:catAx>
      <c:valAx>
        <c:axId val="3634745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083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Committed by Department (BDT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Dashboard!N153</c:f>
              <c:strCache>
                <c:ptCount val="1"/>
                <c:pt idx="0">
                  <c:v>Budget (Lakh)</c:v>
                </c:pt>
              </c:strCache>
            </c:strRef>
          </c:tx>
          <c:spPr>
            <a:solidFill>
              <a:srgbClr val="7f7f7f"/>
            </a:solidFill>
            <a:ln w="9360">
              <a:solidFill>
                <a:srgbClr val="7f7f7f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Dashboard!$M$154:$M$163</c:f>
              <c:strCache>
                <c:ptCount val="10"/>
                <c:pt idx="0">
                  <c:v>Lasting &amp; Assembly</c:v>
                </c:pt>
                <c:pt idx="1">
                  <c:v>Cutting</c:v>
                </c:pt>
                <c:pt idx="2">
                  <c:v>Stitching</c:v>
                </c:pt>
                <c:pt idx="3">
                  <c:v>Finishing &amp; Packing</c:v>
                </c:pt>
                <c:pt idx="4">
                  <c:v>Maintenance</c:v>
                </c:pt>
                <c:pt idx="5">
                  <c:v>Product Development</c:v>
                </c:pt>
                <c:pt idx="6">
                  <c:v>IT</c:v>
                </c:pt>
                <c:pt idx="7">
                  <c:v>Store &amp; Warehouse</c:v>
                </c:pt>
                <c:pt idx="8">
                  <c:v>Compliance &amp; HSE</c:v>
                </c:pt>
                <c:pt idx="9">
                  <c:v>Admin</c:v>
                </c:pt>
              </c:strCache>
            </c:strRef>
          </c:cat>
          <c:val>
            <c:numRef>
              <c:f>Dashboard!$N$154:$N$163</c:f>
              <c:numCache>
                <c:formatCode>0.0</c:formatCode>
                <c:ptCount val="10"/>
                <c:pt idx="0">
                  <c:v>340</c:v>
                </c:pt>
                <c:pt idx="1">
                  <c:v>320</c:v>
                </c:pt>
                <c:pt idx="2">
                  <c:v>150</c:v>
                </c:pt>
                <c:pt idx="3">
                  <c:v>140</c:v>
                </c:pt>
                <c:pt idx="4">
                  <c:v>100</c:v>
                </c:pt>
                <c:pt idx="5">
                  <c:v>60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20</c:v>
                </c:pt>
              </c:numCache>
            </c:numRef>
          </c:val>
        </c:ser>
        <c:ser>
          <c:idx val="1"/>
          <c:order val="1"/>
          <c:tx>
            <c:strRef>
              <c:f>Dashboard!O153</c:f>
              <c:strCache>
                <c:ptCount val="1"/>
                <c:pt idx="0">
                  <c:v>Committed (Lakh)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.0;\-#,##0.0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Dashboard!$M$154:$M$163</c:f>
              <c:strCache>
                <c:ptCount val="10"/>
                <c:pt idx="0">
                  <c:v>Lasting &amp; Assembly</c:v>
                </c:pt>
                <c:pt idx="1">
                  <c:v>Cutting</c:v>
                </c:pt>
                <c:pt idx="2">
                  <c:v>Stitching</c:v>
                </c:pt>
                <c:pt idx="3">
                  <c:v>Finishing &amp; Packing</c:v>
                </c:pt>
                <c:pt idx="4">
                  <c:v>Maintenance</c:v>
                </c:pt>
                <c:pt idx="5">
                  <c:v>Product Development</c:v>
                </c:pt>
                <c:pt idx="6">
                  <c:v>IT</c:v>
                </c:pt>
                <c:pt idx="7">
                  <c:v>Store &amp; Warehouse</c:v>
                </c:pt>
                <c:pt idx="8">
                  <c:v>Compliance &amp; HSE</c:v>
                </c:pt>
                <c:pt idx="9">
                  <c:v>Admin</c:v>
                </c:pt>
              </c:strCache>
            </c:strRef>
          </c:cat>
          <c:val>
            <c:numRef>
              <c:f>Dashboard!$O$154:$O$163</c:f>
              <c:numCache>
                <c:formatCode>0.0</c:formatCode>
                <c:ptCount val="10"/>
                <c:pt idx="0">
                  <c:v>100.693427</c:v>
                </c:pt>
                <c:pt idx="1">
                  <c:v>279.3570485</c:v>
                </c:pt>
                <c:pt idx="2">
                  <c:v>13.310388</c:v>
                </c:pt>
                <c:pt idx="3">
                  <c:v>9.345063</c:v>
                </c:pt>
                <c:pt idx="4">
                  <c:v>120.38323395</c:v>
                </c:pt>
                <c:pt idx="5">
                  <c:v>0</c:v>
                </c:pt>
                <c:pt idx="6">
                  <c:v>7.6182015</c:v>
                </c:pt>
                <c:pt idx="7">
                  <c:v>0</c:v>
                </c:pt>
                <c:pt idx="8">
                  <c:v>6.18125</c:v>
                </c:pt>
                <c:pt idx="9">
                  <c:v>0</c:v>
                </c:pt>
              </c:numCache>
            </c:numRef>
          </c:val>
        </c:ser>
        <c:gapWidth val="60"/>
        <c:overlap val="0"/>
        <c:axId val="30511496"/>
        <c:axId val="62682657"/>
      </c:barChart>
      <c:catAx>
        <c:axId val="3051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82657"/>
        <c:crosses val="autoZero"/>
        <c:auto val="1"/>
        <c:lblAlgn val="ctr"/>
        <c:lblOffset val="100"/>
        <c:noMultiLvlLbl val="0"/>
      </c:catAx>
      <c:valAx>
        <c:axId val="626826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114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— Spend by Category (BDT Lakh) &amp; Cumulative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Spend_Analysis!E5</c:f>
              <c:strCache>
                <c:ptCount val="1"/>
                <c:pt idx="0">
                  <c:v>Spend (BDT Lakh)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Spend_Analysis!$B$6:$B$15</c:f>
              <c:strCache>
                <c:ptCount val="10"/>
                <c:pt idx="0">
                  <c:v>Leather &amp; Upper</c:v>
                </c:pt>
                <c:pt idx="1">
                  <c:v>Machinery &amp; Equipment</c:v>
                </c:pt>
                <c:pt idx="2">
                  <c:v>Sole &amp; Bottom</c:v>
                </c:pt>
                <c:pt idx="3">
                  <c:v>Synthetic &amp; Textile</c:v>
                </c:pt>
                <c:pt idx="4">
                  <c:v>Chemicals &amp; Adhesives</c:v>
                </c:pt>
                <c:pt idx="5">
                  <c:v>Trims &amp; Accessories</c:v>
                </c:pt>
                <c:pt idx="6">
                  <c:v>Packaging</c:v>
                </c:pt>
                <c:pt idx="7">
                  <c:v>IT Equipment</c:v>
                </c:pt>
                <c:pt idx="8">
                  <c:v>Safety &amp; Facility</c:v>
                </c:pt>
                <c:pt idx="9">
                  <c:v>Spare Parts</c:v>
                </c:pt>
              </c:strCache>
            </c:strRef>
          </c:cat>
          <c:val>
            <c:numRef>
              <c:f>Spend_Analysis!$E$6:$E$15</c:f>
              <c:numCache>
                <c:formatCode>#,##0.00</c:formatCode>
                <c:ptCount val="10"/>
                <c:pt idx="0">
                  <c:v>178.2994815</c:v>
                </c:pt>
                <c:pt idx="1">
                  <c:v>117.92225795</c:v>
                </c:pt>
                <c:pt idx="2">
                  <c:v>103.987652</c:v>
                </c:pt>
                <c:pt idx="3">
                  <c:v>101.057567</c:v>
                </c:pt>
                <c:pt idx="4">
                  <c:v>23.8392</c:v>
                </c:pt>
                <c:pt idx="5">
                  <c:v>13.310388</c:v>
                </c:pt>
                <c:pt idx="6">
                  <c:v>9.345063</c:v>
                </c:pt>
                <c:pt idx="7">
                  <c:v>7.6182015</c:v>
                </c:pt>
                <c:pt idx="8">
                  <c:v>6.18125</c:v>
                </c:pt>
                <c:pt idx="9">
                  <c:v>3.628942</c:v>
                </c:pt>
              </c:numCache>
            </c:numRef>
          </c:val>
        </c:ser>
        <c:gapWidth val="50"/>
        <c:overlap val="0"/>
        <c:axId val="9824677"/>
        <c:axId val="67439427"/>
      </c:barChart>
      <c:lineChart>
        <c:grouping val="standard"/>
        <c:varyColors val="0"/>
        <c:ser>
          <c:idx val="1"/>
          <c:order val="1"/>
          <c:tx>
            <c:strRef>
              <c:f>Spend_Analysis!G5</c:f>
              <c:strCache>
                <c:ptCount val="1"/>
                <c:pt idx="0">
                  <c:v>Cumulative Share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Spend_Analysis!$B$6:$B$15</c:f>
              <c:strCache>
                <c:ptCount val="10"/>
                <c:pt idx="0">
                  <c:v>Leather &amp; Upper</c:v>
                </c:pt>
                <c:pt idx="1">
                  <c:v>Machinery &amp; Equipment</c:v>
                </c:pt>
                <c:pt idx="2">
                  <c:v>Sole &amp; Bottom</c:v>
                </c:pt>
                <c:pt idx="3">
                  <c:v>Synthetic &amp; Textile</c:v>
                </c:pt>
                <c:pt idx="4">
                  <c:v>Chemicals &amp; Adhesives</c:v>
                </c:pt>
                <c:pt idx="5">
                  <c:v>Trims &amp; Accessories</c:v>
                </c:pt>
                <c:pt idx="6">
                  <c:v>Packaging</c:v>
                </c:pt>
                <c:pt idx="7">
                  <c:v>IT Equipment</c:v>
                </c:pt>
                <c:pt idx="8">
                  <c:v>Safety &amp; Facility</c:v>
                </c:pt>
                <c:pt idx="9">
                  <c:v>Spare Parts</c:v>
                </c:pt>
              </c:strCache>
            </c:strRef>
          </c:cat>
          <c:val>
            <c:numRef>
              <c:f>Spend_Analysis!$G$6:$G$15</c:f>
              <c:numCache>
                <c:formatCode>0.0%</c:formatCode>
                <c:ptCount val="10"/>
                <c:pt idx="0">
                  <c:v>0.315468215236237</c:v>
                </c:pt>
                <c:pt idx="1">
                  <c:v>0.524110012392073</c:v>
                </c:pt>
                <c:pt idx="2">
                  <c:v>0.708097081266678</c:v>
                </c:pt>
                <c:pt idx="3">
                  <c:v>0.886899902393258</c:v>
                </c:pt>
                <c:pt idx="4">
                  <c:v>0.929078992390554</c:v>
                </c:pt>
                <c:pt idx="5">
                  <c:v>0.952629281550883</c:v>
                </c:pt>
                <c:pt idx="6">
                  <c:v>0.969163655745797</c:v>
                </c:pt>
                <c:pt idx="7">
                  <c:v>0.982642665388992</c:v>
                </c:pt>
                <c:pt idx="8">
                  <c:v>0.993579253028081</c:v>
                </c:pt>
                <c:pt idx="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335180"/>
        <c:axId val="24345130"/>
      </c:lineChart>
      <c:catAx>
        <c:axId val="9824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39427"/>
        <c:crosses val="autoZero"/>
        <c:auto val="1"/>
        <c:lblAlgn val="ctr"/>
        <c:lblOffset val="100"/>
        <c:noMultiLvlLbl val="0"/>
      </c:catAx>
      <c:valAx>
        <c:axId val="674394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BDT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4677"/>
        <c:crosses val="autoZero"/>
        <c:crossBetween val="between"/>
      </c:valAx>
      <c:catAx>
        <c:axId val="8633518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5130"/>
        <c:crosses val="autoZero"/>
        <c:auto val="1"/>
        <c:lblAlgn val="ctr"/>
        <c:lblOffset val="100"/>
        <c:noMultiLvlLbl val="0"/>
      </c:catAx>
      <c:valAx>
        <c:axId val="24345130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3518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8</xdr:col>
      <xdr:colOff>390960</xdr:colOff>
      <xdr:row>49</xdr:row>
      <xdr:rowOff>149760</xdr:rowOff>
    </xdr:to>
    <xdr:graphicFrame>
      <xdr:nvGraphicFramePr>
        <xdr:cNvPr id="0" name="Chart 1"/>
        <xdr:cNvGraphicFramePr/>
      </xdr:nvGraphicFramePr>
      <xdr:xfrm>
        <a:off x="0" y="80200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26280</xdr:colOff>
      <xdr:row>49</xdr:row>
      <xdr:rowOff>149760</xdr:rowOff>
    </xdr:to>
    <xdr:graphicFrame>
      <xdr:nvGraphicFramePr>
        <xdr:cNvPr id="1" name="Chart 2"/>
        <xdr:cNvGraphicFramePr/>
      </xdr:nvGraphicFramePr>
      <xdr:xfrm>
        <a:off x="9658440" y="802008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4</xdr:col>
      <xdr:colOff>696240</xdr:colOff>
      <xdr:row>69</xdr:row>
      <xdr:rowOff>181080</xdr:rowOff>
    </xdr:to>
    <xdr:graphicFrame>
      <xdr:nvGraphicFramePr>
        <xdr:cNvPr id="2" name="Chart 3"/>
        <xdr:cNvGraphicFramePr/>
      </xdr:nvGraphicFramePr>
      <xdr:xfrm>
        <a:off x="0" y="12401640"/>
        <a:ext cx="46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52</xdr:row>
      <xdr:rowOff>0</xdr:rowOff>
    </xdr:from>
    <xdr:to>
      <xdr:col>8</xdr:col>
      <xdr:colOff>1045080</xdr:colOff>
      <xdr:row>69</xdr:row>
      <xdr:rowOff>181080</xdr:rowOff>
    </xdr:to>
    <xdr:graphicFrame>
      <xdr:nvGraphicFramePr>
        <xdr:cNvPr id="3" name="Chart 4"/>
        <xdr:cNvGraphicFramePr/>
      </xdr:nvGraphicFramePr>
      <xdr:xfrm>
        <a:off x="4794120" y="12401640"/>
        <a:ext cx="44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52</xdr:row>
      <xdr:rowOff>0</xdr:rowOff>
    </xdr:from>
    <xdr:to>
      <xdr:col>14</xdr:col>
      <xdr:colOff>26280</xdr:colOff>
      <xdr:row>69</xdr:row>
      <xdr:rowOff>181080</xdr:rowOff>
    </xdr:to>
    <xdr:graphicFrame>
      <xdr:nvGraphicFramePr>
        <xdr:cNvPr id="4" name="Chart 5"/>
        <xdr:cNvGraphicFramePr/>
      </xdr:nvGraphicFramePr>
      <xdr:xfrm>
        <a:off x="9658440" y="12401640"/>
        <a:ext cx="46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72</xdr:row>
      <xdr:rowOff>0</xdr:rowOff>
    </xdr:from>
    <xdr:to>
      <xdr:col>8</xdr:col>
      <xdr:colOff>390960</xdr:colOff>
      <xdr:row>89</xdr:row>
      <xdr:rowOff>181080</xdr:rowOff>
    </xdr:to>
    <xdr:graphicFrame>
      <xdr:nvGraphicFramePr>
        <xdr:cNvPr id="5" name="Chart 6"/>
        <xdr:cNvGraphicFramePr/>
      </xdr:nvGraphicFramePr>
      <xdr:xfrm>
        <a:off x="0" y="1621152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72</xdr:row>
      <xdr:rowOff>0</xdr:rowOff>
    </xdr:from>
    <xdr:to>
      <xdr:col>14</xdr:col>
      <xdr:colOff>26280</xdr:colOff>
      <xdr:row>89</xdr:row>
      <xdr:rowOff>181080</xdr:rowOff>
    </xdr:to>
    <xdr:graphicFrame>
      <xdr:nvGraphicFramePr>
        <xdr:cNvPr id="6" name="Chart 7"/>
        <xdr:cNvGraphicFramePr/>
      </xdr:nvGraphicFramePr>
      <xdr:xfrm>
        <a:off x="9658440" y="16211520"/>
        <a:ext cx="46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92</xdr:row>
      <xdr:rowOff>0</xdr:rowOff>
    </xdr:from>
    <xdr:to>
      <xdr:col>12</xdr:col>
      <xdr:colOff>1228680</xdr:colOff>
      <xdr:row>109</xdr:row>
      <xdr:rowOff>181080</xdr:rowOff>
    </xdr:to>
    <xdr:graphicFrame>
      <xdr:nvGraphicFramePr>
        <xdr:cNvPr id="7" name="Chart 8"/>
        <xdr:cNvGraphicFramePr/>
      </xdr:nvGraphicFramePr>
      <xdr:xfrm>
        <a:off x="0" y="20021400"/>
        <a:ext cx="133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112</xdr:row>
      <xdr:rowOff>0</xdr:rowOff>
    </xdr:from>
    <xdr:to>
      <xdr:col>12</xdr:col>
      <xdr:colOff>1228680</xdr:colOff>
      <xdr:row>130</xdr:row>
      <xdr:rowOff>170640</xdr:rowOff>
    </xdr:to>
    <xdr:graphicFrame>
      <xdr:nvGraphicFramePr>
        <xdr:cNvPr id="8" name="Chart 9"/>
        <xdr:cNvGraphicFramePr/>
      </xdr:nvGraphicFramePr>
      <xdr:xfrm>
        <a:off x="0" y="23831640"/>
        <a:ext cx="13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59</xdr:col>
      <xdr:colOff>0</xdr:colOff>
      <xdr:row>4</xdr:row>
      <xdr:rowOff>655920</xdr:rowOff>
    </xdr:from>
    <xdr:to>
      <xdr:col>59</xdr:col>
      <xdr:colOff>761760</xdr:colOff>
      <xdr:row>5</xdr:row>
      <xdr:rowOff>446040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56740320" y="144792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6</xdr:row>
      <xdr:rowOff>198720</xdr:rowOff>
    </xdr:from>
    <xdr:to>
      <xdr:col>59</xdr:col>
      <xdr:colOff>761760</xdr:colOff>
      <xdr:row>7</xdr:row>
      <xdr:rowOff>446040</xdr:rowOff>
    </xdr:to>
    <xdr:pic>
      <xdr:nvPicPr>
        <xdr:cNvPr id="10" name="Image 2" descr="Picture"/>
        <xdr:cNvPicPr/>
      </xdr:nvPicPr>
      <xdr:blipFill>
        <a:blip r:embed="rId2"/>
        <a:stretch/>
      </xdr:blipFill>
      <xdr:spPr>
        <a:xfrm>
          <a:off x="56740320" y="218124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7</xdr:row>
      <xdr:rowOff>474840</xdr:rowOff>
    </xdr:from>
    <xdr:to>
      <xdr:col>59</xdr:col>
      <xdr:colOff>761760</xdr:colOff>
      <xdr:row>8</xdr:row>
      <xdr:rowOff>446040</xdr:rowOff>
    </xdr:to>
    <xdr:pic>
      <xdr:nvPicPr>
        <xdr:cNvPr id="11" name="Image 3" descr="Picture"/>
        <xdr:cNvPicPr/>
      </xdr:nvPicPr>
      <xdr:blipFill>
        <a:blip r:embed="rId3"/>
        <a:stretch/>
      </xdr:blipFill>
      <xdr:spPr>
        <a:xfrm>
          <a:off x="56740320" y="268596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8</xdr:row>
      <xdr:rowOff>475200</xdr:rowOff>
    </xdr:from>
    <xdr:to>
      <xdr:col>59</xdr:col>
      <xdr:colOff>761760</xdr:colOff>
      <xdr:row>9</xdr:row>
      <xdr:rowOff>446400</xdr:rowOff>
    </xdr:to>
    <xdr:pic>
      <xdr:nvPicPr>
        <xdr:cNvPr id="12" name="Image 4" descr="Picture"/>
        <xdr:cNvPicPr/>
      </xdr:nvPicPr>
      <xdr:blipFill>
        <a:blip r:embed="rId4"/>
        <a:stretch/>
      </xdr:blipFill>
      <xdr:spPr>
        <a:xfrm>
          <a:off x="56740320" y="319104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9</xdr:row>
      <xdr:rowOff>475200</xdr:rowOff>
    </xdr:from>
    <xdr:to>
      <xdr:col>59</xdr:col>
      <xdr:colOff>761760</xdr:colOff>
      <xdr:row>10</xdr:row>
      <xdr:rowOff>446040</xdr:rowOff>
    </xdr:to>
    <xdr:pic>
      <xdr:nvPicPr>
        <xdr:cNvPr id="13" name="Image 5" descr="Picture"/>
        <xdr:cNvPicPr/>
      </xdr:nvPicPr>
      <xdr:blipFill>
        <a:blip r:embed="rId5"/>
        <a:stretch/>
      </xdr:blipFill>
      <xdr:spPr>
        <a:xfrm>
          <a:off x="56740320" y="369576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10</xdr:row>
      <xdr:rowOff>474840</xdr:rowOff>
    </xdr:from>
    <xdr:to>
      <xdr:col>59</xdr:col>
      <xdr:colOff>761760</xdr:colOff>
      <xdr:row>11</xdr:row>
      <xdr:rowOff>446040</xdr:rowOff>
    </xdr:to>
    <xdr:pic>
      <xdr:nvPicPr>
        <xdr:cNvPr id="14" name="Image 6" descr="Picture"/>
        <xdr:cNvPicPr/>
      </xdr:nvPicPr>
      <xdr:blipFill>
        <a:blip r:embed="rId6"/>
        <a:stretch/>
      </xdr:blipFill>
      <xdr:spPr>
        <a:xfrm>
          <a:off x="56740320" y="420048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12</xdr:row>
      <xdr:rowOff>198720</xdr:rowOff>
    </xdr:from>
    <xdr:to>
      <xdr:col>59</xdr:col>
      <xdr:colOff>761760</xdr:colOff>
      <xdr:row>13</xdr:row>
      <xdr:rowOff>446040</xdr:rowOff>
    </xdr:to>
    <xdr:pic>
      <xdr:nvPicPr>
        <xdr:cNvPr id="15" name="Image 7" descr="Picture"/>
        <xdr:cNvPicPr/>
      </xdr:nvPicPr>
      <xdr:blipFill>
        <a:blip r:embed="rId7"/>
        <a:stretch/>
      </xdr:blipFill>
      <xdr:spPr>
        <a:xfrm>
          <a:off x="56740320" y="493380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13</xdr:row>
      <xdr:rowOff>475200</xdr:rowOff>
    </xdr:from>
    <xdr:to>
      <xdr:col>59</xdr:col>
      <xdr:colOff>761760</xdr:colOff>
      <xdr:row>14</xdr:row>
      <xdr:rowOff>446040</xdr:rowOff>
    </xdr:to>
    <xdr:pic>
      <xdr:nvPicPr>
        <xdr:cNvPr id="16" name="Image 8" descr="Picture"/>
        <xdr:cNvPicPr/>
      </xdr:nvPicPr>
      <xdr:blipFill>
        <a:blip r:embed="rId8"/>
        <a:stretch/>
      </xdr:blipFill>
      <xdr:spPr>
        <a:xfrm>
          <a:off x="56740320" y="543888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14</xdr:row>
      <xdr:rowOff>474840</xdr:rowOff>
    </xdr:from>
    <xdr:to>
      <xdr:col>59</xdr:col>
      <xdr:colOff>761760</xdr:colOff>
      <xdr:row>15</xdr:row>
      <xdr:rowOff>446040</xdr:rowOff>
    </xdr:to>
    <xdr:pic>
      <xdr:nvPicPr>
        <xdr:cNvPr id="17" name="Image 9" descr="Picture"/>
        <xdr:cNvPicPr/>
      </xdr:nvPicPr>
      <xdr:blipFill>
        <a:blip r:embed="rId9"/>
        <a:stretch/>
      </xdr:blipFill>
      <xdr:spPr>
        <a:xfrm>
          <a:off x="56740320" y="594360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16</xdr:row>
      <xdr:rowOff>198720</xdr:rowOff>
    </xdr:from>
    <xdr:to>
      <xdr:col>59</xdr:col>
      <xdr:colOff>761760</xdr:colOff>
      <xdr:row>17</xdr:row>
      <xdr:rowOff>446040</xdr:rowOff>
    </xdr:to>
    <xdr:pic>
      <xdr:nvPicPr>
        <xdr:cNvPr id="18" name="Image 10" descr="Picture"/>
        <xdr:cNvPicPr/>
      </xdr:nvPicPr>
      <xdr:blipFill>
        <a:blip r:embed="rId10"/>
        <a:stretch/>
      </xdr:blipFill>
      <xdr:spPr>
        <a:xfrm>
          <a:off x="56740320" y="667692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17</xdr:row>
      <xdr:rowOff>475200</xdr:rowOff>
    </xdr:from>
    <xdr:to>
      <xdr:col>59</xdr:col>
      <xdr:colOff>761760</xdr:colOff>
      <xdr:row>18</xdr:row>
      <xdr:rowOff>446400</xdr:rowOff>
    </xdr:to>
    <xdr:pic>
      <xdr:nvPicPr>
        <xdr:cNvPr id="19" name="Image 11" descr="Picture"/>
        <xdr:cNvPicPr/>
      </xdr:nvPicPr>
      <xdr:blipFill>
        <a:blip r:embed="rId11"/>
        <a:stretch/>
      </xdr:blipFill>
      <xdr:spPr>
        <a:xfrm>
          <a:off x="56740320" y="718200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18</xdr:row>
      <xdr:rowOff>475200</xdr:rowOff>
    </xdr:from>
    <xdr:to>
      <xdr:col>59</xdr:col>
      <xdr:colOff>761760</xdr:colOff>
      <xdr:row>19</xdr:row>
      <xdr:rowOff>446040</xdr:rowOff>
    </xdr:to>
    <xdr:pic>
      <xdr:nvPicPr>
        <xdr:cNvPr id="20" name="Image 12" descr="Picture"/>
        <xdr:cNvPicPr/>
      </xdr:nvPicPr>
      <xdr:blipFill>
        <a:blip r:embed="rId12"/>
        <a:stretch/>
      </xdr:blipFill>
      <xdr:spPr>
        <a:xfrm>
          <a:off x="56740320" y="768672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19</xdr:row>
      <xdr:rowOff>474840</xdr:rowOff>
    </xdr:from>
    <xdr:to>
      <xdr:col>59</xdr:col>
      <xdr:colOff>761760</xdr:colOff>
      <xdr:row>20</xdr:row>
      <xdr:rowOff>446040</xdr:rowOff>
    </xdr:to>
    <xdr:pic>
      <xdr:nvPicPr>
        <xdr:cNvPr id="21" name="Image 13" descr="Picture"/>
        <xdr:cNvPicPr/>
      </xdr:nvPicPr>
      <xdr:blipFill>
        <a:blip r:embed="rId13"/>
        <a:stretch/>
      </xdr:blipFill>
      <xdr:spPr>
        <a:xfrm>
          <a:off x="56740320" y="819144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29</xdr:row>
      <xdr:rowOff>198720</xdr:rowOff>
    </xdr:from>
    <xdr:to>
      <xdr:col>59</xdr:col>
      <xdr:colOff>761760</xdr:colOff>
      <xdr:row>30</xdr:row>
      <xdr:rowOff>446040</xdr:rowOff>
    </xdr:to>
    <xdr:pic>
      <xdr:nvPicPr>
        <xdr:cNvPr id="22" name="Image 14" descr="Picture"/>
        <xdr:cNvPicPr/>
      </xdr:nvPicPr>
      <xdr:blipFill>
        <a:blip r:embed="rId14"/>
        <a:stretch/>
      </xdr:blipFill>
      <xdr:spPr>
        <a:xfrm>
          <a:off x="56740320" y="1075356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34</xdr:row>
      <xdr:rowOff>198720</xdr:rowOff>
    </xdr:from>
    <xdr:to>
      <xdr:col>59</xdr:col>
      <xdr:colOff>761760</xdr:colOff>
      <xdr:row>35</xdr:row>
      <xdr:rowOff>446040</xdr:rowOff>
    </xdr:to>
    <xdr:pic>
      <xdr:nvPicPr>
        <xdr:cNvPr id="23" name="Image 15" descr="Picture"/>
        <xdr:cNvPicPr/>
      </xdr:nvPicPr>
      <xdr:blipFill>
        <a:blip r:embed="rId15"/>
        <a:stretch/>
      </xdr:blipFill>
      <xdr:spPr>
        <a:xfrm>
          <a:off x="56740320" y="1217304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35</xdr:row>
      <xdr:rowOff>474840</xdr:rowOff>
    </xdr:from>
    <xdr:to>
      <xdr:col>59</xdr:col>
      <xdr:colOff>761760</xdr:colOff>
      <xdr:row>36</xdr:row>
      <xdr:rowOff>446040</xdr:rowOff>
    </xdr:to>
    <xdr:pic>
      <xdr:nvPicPr>
        <xdr:cNvPr id="24" name="Image 16" descr="Picture"/>
        <xdr:cNvPicPr/>
      </xdr:nvPicPr>
      <xdr:blipFill>
        <a:blip r:embed="rId16"/>
        <a:stretch/>
      </xdr:blipFill>
      <xdr:spPr>
        <a:xfrm>
          <a:off x="56740320" y="1267776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36</xdr:row>
      <xdr:rowOff>474840</xdr:rowOff>
    </xdr:from>
    <xdr:to>
      <xdr:col>59</xdr:col>
      <xdr:colOff>761760</xdr:colOff>
      <xdr:row>37</xdr:row>
      <xdr:rowOff>446040</xdr:rowOff>
    </xdr:to>
    <xdr:pic>
      <xdr:nvPicPr>
        <xdr:cNvPr id="25" name="Image 17" descr="Picture"/>
        <xdr:cNvPicPr/>
      </xdr:nvPicPr>
      <xdr:blipFill>
        <a:blip r:embed="rId17"/>
        <a:stretch/>
      </xdr:blipFill>
      <xdr:spPr>
        <a:xfrm>
          <a:off x="56740320" y="1318248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38</xdr:row>
      <xdr:rowOff>198720</xdr:rowOff>
    </xdr:from>
    <xdr:to>
      <xdr:col>59</xdr:col>
      <xdr:colOff>761760</xdr:colOff>
      <xdr:row>39</xdr:row>
      <xdr:rowOff>446040</xdr:rowOff>
    </xdr:to>
    <xdr:pic>
      <xdr:nvPicPr>
        <xdr:cNvPr id="26" name="Image 18" descr="Picture"/>
        <xdr:cNvPicPr/>
      </xdr:nvPicPr>
      <xdr:blipFill>
        <a:blip r:embed="rId18"/>
        <a:stretch/>
      </xdr:blipFill>
      <xdr:spPr>
        <a:xfrm>
          <a:off x="56740320" y="13916160"/>
          <a:ext cx="76176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59</xdr:col>
      <xdr:colOff>0</xdr:colOff>
      <xdr:row>39</xdr:row>
      <xdr:rowOff>474840</xdr:rowOff>
    </xdr:from>
    <xdr:to>
      <xdr:col>59</xdr:col>
      <xdr:colOff>761760</xdr:colOff>
      <xdr:row>40</xdr:row>
      <xdr:rowOff>446040</xdr:rowOff>
    </xdr:to>
    <xdr:pic>
      <xdr:nvPicPr>
        <xdr:cNvPr id="27" name="Image 19" descr="Picture"/>
        <xdr:cNvPicPr/>
      </xdr:nvPicPr>
      <xdr:blipFill>
        <a:blip r:embed="rId19"/>
        <a:stretch/>
      </xdr:blipFill>
      <xdr:spPr>
        <a:xfrm>
          <a:off x="56740320" y="14420880"/>
          <a:ext cx="76176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160920</xdr:rowOff>
    </xdr:from>
    <xdr:to>
      <xdr:col>9</xdr:col>
      <xdr:colOff>40320</xdr:colOff>
      <xdr:row>66</xdr:row>
      <xdr:rowOff>119880</xdr:rowOff>
    </xdr:to>
    <xdr:graphicFrame>
      <xdr:nvGraphicFramePr>
        <xdr:cNvPr id="28" name="Chart 1"/>
        <xdr:cNvGraphicFramePr/>
      </xdr:nvGraphicFramePr>
      <xdr:xfrm>
        <a:off x="0" y="96966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6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1.5"/>
    <col collapsed="false" customWidth="true" hidden="false" outlineLevel="0" max="6" min="6" style="0" width="26"/>
    <col collapsed="false" customWidth="true" hidden="false" outlineLevel="0" max="8" min="7" style="0" width="11.5"/>
    <col collapsed="false" customWidth="true" hidden="false" outlineLevel="0" max="9" min="9" style="0" width="20"/>
    <col collapsed="false" customWidth="true" hidden="false" outlineLevel="0" max="12" min="10" style="0" width="11.5"/>
    <col collapsed="false" customWidth="true" hidden="false" outlineLevel="0" max="13" min="13" style="0" width="20"/>
    <col collapsed="false" customWidth="true" hidden="false" outlineLevel="0" max="17" min="14" style="0" width="11.5"/>
    <col collapsed="false" customWidth="true" hidden="false" outlineLevel="0" max="18" min="18" style="0" width="26"/>
    <col collapsed="false" customWidth="true" hidden="false" outlineLevel="0" max="26" min="19" style="0" width="11.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" hidden="false" customHeight="false" outlineLevel="0" collapsed="false">
      <c r="A2" s="2" t="str">
        <f aca="false">"Report date: "&amp;TEXT(Settings!B4,"dd mmm yyyy")&amp;"   |   Values in BDT Lakh (1 Lakh = 1,00,000)   |   Source: Purchase_Register (auto-refresh)"</f>
        <v>Report date: 15 Oct 2026   |   Values in BDT Lakh (1 Lakh = 1,00,000)   |   Source: Purchase_Register (auto-refresh)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19.5" hidden="false" customHeight="true" outlineLevel="0" collapsed="false">
      <c r="A4" s="3" t="s">
        <v>1</v>
      </c>
      <c r="B4" s="3"/>
      <c r="C4" s="3"/>
      <c r="D4" s="3"/>
      <c r="F4" s="3" t="s">
        <v>2</v>
      </c>
      <c r="G4" s="3"/>
      <c r="H4" s="3"/>
      <c r="I4" s="3"/>
      <c r="K4" s="3" t="s">
        <v>3</v>
      </c>
      <c r="L4" s="3"/>
      <c r="M4" s="3"/>
      <c r="N4" s="3"/>
      <c r="P4" s="4" t="s">
        <v>4</v>
      </c>
      <c r="Q4" s="4"/>
      <c r="R4" s="4"/>
      <c r="S4" s="4"/>
      <c r="U4" s="5" t="s">
        <v>5</v>
      </c>
      <c r="V4" s="5"/>
      <c r="W4" s="5"/>
      <c r="X4" s="5"/>
    </row>
    <row r="5" customFormat="false" ht="33.75" hidden="false" customHeight="true" outlineLevel="0" collapsed="false">
      <c r="A5" s="6" t="n">
        <f aca="false">COUNTA(Purchase_Register!$A$6:$A$205)</f>
        <v>45</v>
      </c>
      <c r="B5" s="6"/>
      <c r="C5" s="6"/>
      <c r="D5" s="6"/>
      <c r="F5" s="6" t="n">
        <f aca="false">COUNTA(Purchase_Register!$O$6:$O$205)</f>
        <v>39</v>
      </c>
      <c r="G5" s="6"/>
      <c r="H5" s="6"/>
      <c r="I5" s="6"/>
      <c r="K5" s="7" t="n">
        <f aca="false">SUM(Purchase_Register!$AD$6:$AD$205)/100000</f>
        <v>565.19000295</v>
      </c>
      <c r="L5" s="7"/>
      <c r="M5" s="7"/>
      <c r="N5" s="7"/>
      <c r="P5" s="8" t="n">
        <f aca="false">SUM(Purchase_Register!$AI$6:$AI$205)/100000</f>
        <v>338.4731595</v>
      </c>
      <c r="Q5" s="8"/>
      <c r="R5" s="8"/>
      <c r="S5" s="8"/>
      <c r="U5" s="9" t="n">
        <f aca="false">SUM(Purchase_Register!$AK$6:$AK$205)/100000</f>
        <v>226.7168435</v>
      </c>
      <c r="V5" s="9"/>
      <c r="W5" s="9"/>
      <c r="X5" s="9"/>
    </row>
    <row r="6" customFormat="false" ht="7.5" hidden="false" customHeight="true" outlineLevel="0" collapsed="false"/>
    <row r="7" customFormat="false" ht="19.5" hidden="false" customHeight="true" outlineLevel="0" collapsed="false">
      <c r="A7" s="10" t="s">
        <v>6</v>
      </c>
      <c r="B7" s="10"/>
      <c r="C7" s="10"/>
      <c r="D7" s="10"/>
      <c r="F7" s="4" t="s">
        <v>7</v>
      </c>
      <c r="G7" s="4"/>
      <c r="H7" s="4"/>
      <c r="I7" s="4"/>
      <c r="K7" s="11" t="s">
        <v>8</v>
      </c>
      <c r="L7" s="11"/>
      <c r="M7" s="11"/>
      <c r="N7" s="11"/>
      <c r="P7" s="11" t="s">
        <v>9</v>
      </c>
      <c r="Q7" s="11"/>
      <c r="R7" s="11"/>
      <c r="S7" s="11"/>
      <c r="U7" s="11" t="s">
        <v>10</v>
      </c>
      <c r="V7" s="11"/>
      <c r="W7" s="11"/>
      <c r="X7" s="11"/>
    </row>
    <row r="8" customFormat="false" ht="33.75" hidden="false" customHeight="true" outlineLevel="0" collapsed="false">
      <c r="A8" s="12" t="n">
        <f aca="false">SUMIFS(Purchase_Register!$AK$6:$AK$205,Purchase_Register!$AP$6:$AP$205,"&gt;0")/100000</f>
        <v>33.2376324</v>
      </c>
      <c r="B8" s="12"/>
      <c r="C8" s="12"/>
      <c r="D8" s="12"/>
      <c r="F8" s="13" t="n">
        <f aca="false">IFERROR(SUM(Purchase_Register!$AI$6:$AI$205)/SUM(Purchase_Register!$AD$6:$AD$205),0)</f>
        <v>0.598866147195359</v>
      </c>
      <c r="G8" s="13"/>
      <c r="H8" s="13"/>
      <c r="I8" s="13"/>
      <c r="K8" s="14" t="n">
        <f aca="false">SUMIFS(Purchase_Register!$AD$6:$AD$205,Purchase_Register!$H$6:$H$205,"OPEX")/100000</f>
        <v>439.6495435</v>
      </c>
      <c r="L8" s="14"/>
      <c r="M8" s="14"/>
      <c r="N8" s="14"/>
      <c r="P8" s="14" t="n">
        <f aca="false">SUMIFS(Purchase_Register!$AD$6:$AD$205,Purchase_Register!$H$6:$H$205,"CAPEX")/100000</f>
        <v>125.54045945</v>
      </c>
      <c r="Q8" s="14"/>
      <c r="R8" s="14"/>
      <c r="S8" s="14"/>
      <c r="U8" s="15" t="n">
        <f aca="false">IFERROR(Budget_Control!I25/Budget_Control!H25,0)</f>
        <v>0.441883631234568</v>
      </c>
      <c r="V8" s="15"/>
      <c r="W8" s="15"/>
      <c r="X8" s="15"/>
    </row>
    <row r="9" customFormat="false" ht="7.5" hidden="false" customHeight="true" outlineLevel="0" collapsed="false"/>
    <row r="10" customFormat="false" ht="19.5" hidden="false" customHeight="true" outlineLevel="0" collapsed="false">
      <c r="A10" s="10" t="s">
        <v>11</v>
      </c>
      <c r="B10" s="10"/>
      <c r="C10" s="10"/>
      <c r="D10" s="10"/>
      <c r="F10" s="4" t="s">
        <v>12</v>
      </c>
      <c r="G10" s="4"/>
      <c r="H10" s="4"/>
      <c r="I10" s="4"/>
      <c r="K10" s="16" t="s">
        <v>13</v>
      </c>
      <c r="L10" s="16"/>
      <c r="M10" s="16"/>
      <c r="N10" s="16"/>
      <c r="P10" s="16" t="s">
        <v>14</v>
      </c>
      <c r="Q10" s="16"/>
      <c r="R10" s="16"/>
      <c r="S10" s="16"/>
      <c r="U10" s="16" t="s">
        <v>15</v>
      </c>
      <c r="V10" s="16"/>
      <c r="W10" s="16"/>
      <c r="X10" s="16"/>
    </row>
    <row r="11" customFormat="false" ht="33.75" hidden="false" customHeight="true" outlineLevel="0" collapsed="false">
      <c r="A11" s="17" t="n">
        <f aca="false">SUM(Purchase_Register!$AA$6:$AA$205)/100000</f>
        <v>9.6835635</v>
      </c>
      <c r="B11" s="17"/>
      <c r="C11" s="17"/>
      <c r="D11" s="17"/>
      <c r="F11" s="13" t="n">
        <f aca="false">IFERROR(COUNTIF(Purchase_Register!$BE$6:$BE$205,"OTIF")/COUNTIF(Purchase_Register!$BE$6:$BE$205,"*OTIF"),0)</f>
        <v>0.5</v>
      </c>
      <c r="G11" s="13"/>
      <c r="H11" s="13"/>
      <c r="I11" s="13"/>
      <c r="K11" s="18" t="n">
        <f aca="false">IFERROR(AVERAGE(Purchase_Register!$AZ$6:$AZ$205),0)</f>
        <v>2.92857142857143</v>
      </c>
      <c r="L11" s="18"/>
      <c r="M11" s="18"/>
      <c r="N11" s="18"/>
      <c r="P11" s="18" t="n">
        <f aca="false">IFERROR(AVERAGE(Purchase_Register!$BA$6:$BA$205),0)</f>
        <v>3.07692307692308</v>
      </c>
      <c r="Q11" s="18"/>
      <c r="R11" s="18"/>
      <c r="S11" s="18"/>
      <c r="U11" s="18" t="n">
        <f aca="false">IFERROR(AVERAGE(Purchase_Register!$BB$6:$BB$205),0)</f>
        <v>21.7647058823529</v>
      </c>
      <c r="V11" s="18"/>
      <c r="W11" s="18"/>
      <c r="X11" s="18"/>
    </row>
    <row r="12" customFormat="false" ht="7.5" hidden="false" customHeight="true" outlineLevel="0" collapsed="false"/>
    <row r="13" customFormat="false" ht="19.5" hidden="false" customHeight="true" outlineLevel="0" collapsed="false">
      <c r="A13" s="16" t="s">
        <v>16</v>
      </c>
      <c r="B13" s="16"/>
      <c r="C13" s="16"/>
      <c r="D13" s="16"/>
      <c r="F13" s="5" t="s">
        <v>17</v>
      </c>
      <c r="G13" s="5"/>
      <c r="H13" s="5"/>
      <c r="I13" s="5"/>
      <c r="K13" s="5" t="s">
        <v>18</v>
      </c>
      <c r="L13" s="5"/>
      <c r="M13" s="5"/>
      <c r="N13" s="5"/>
      <c r="P13" s="10" t="s">
        <v>19</v>
      </c>
      <c r="Q13" s="10"/>
      <c r="R13" s="10"/>
      <c r="S13" s="10"/>
      <c r="U13" s="10" t="s">
        <v>20</v>
      </c>
      <c r="V13" s="10"/>
      <c r="W13" s="10"/>
      <c r="X13" s="10"/>
    </row>
    <row r="14" customFormat="false" ht="33.75" hidden="false" customHeight="true" outlineLevel="0" collapsed="false">
      <c r="A14" s="18" t="n">
        <f aca="false">IFERROR(AVERAGE(Purchase_Register!$BC$6:$BC$205),0)</f>
        <v>28.0882352941177</v>
      </c>
      <c r="B14" s="18"/>
      <c r="C14" s="18"/>
      <c r="D14" s="18"/>
      <c r="F14" s="19" t="n">
        <f aca="false">COUNTIF(Purchase_Register!$BI$6:$BI$205,"Awaiting Approval")</f>
        <v>3</v>
      </c>
      <c r="G14" s="19"/>
      <c r="H14" s="19"/>
      <c r="I14" s="19"/>
      <c r="K14" s="19" t="n">
        <f aca="false">COUNTIF(Purchase_Register!$BI$6:$BI$205,"PO Issued*")+COUNTIF(Purchase_Register!$BI$6:$BI$205,"Receiving*")</f>
        <v>5</v>
      </c>
      <c r="L14" s="19"/>
      <c r="M14" s="19"/>
      <c r="N14" s="19"/>
      <c r="P14" s="20" t="n">
        <f aca="false">COUNTIF(Purchase_Register!$BD$6:$BD$205,"&gt;0")</f>
        <v>12</v>
      </c>
      <c r="Q14" s="20"/>
      <c r="R14" s="20"/>
      <c r="S14" s="20"/>
      <c r="U14" s="20" t="n">
        <f aca="false">COUNTIFS(Purchase_Register!$O$6:$O$205,"&lt;&gt;",Purchase_Register!$K$6:$K$205,"&lt;&gt;Approved")</f>
        <v>0</v>
      </c>
      <c r="V14" s="20"/>
      <c r="W14" s="20"/>
      <c r="X14" s="20"/>
    </row>
    <row r="15" customFormat="false" ht="7.5" hidden="false" customHeight="true" outlineLevel="0" collapsed="false"/>
    <row r="16" customFormat="false" ht="19.5" hidden="false" customHeight="true" outlineLevel="0" collapsed="false">
      <c r="A16" s="4" t="s">
        <v>21</v>
      </c>
      <c r="B16" s="4"/>
      <c r="C16" s="4"/>
      <c r="D16" s="4"/>
      <c r="F16" s="5" t="s">
        <v>22</v>
      </c>
      <c r="G16" s="5"/>
      <c r="H16" s="5"/>
      <c r="I16" s="5"/>
      <c r="K16" s="10" t="s">
        <v>23</v>
      </c>
      <c r="L16" s="10"/>
      <c r="M16" s="10"/>
      <c r="N16" s="10"/>
      <c r="P16" s="4" t="s">
        <v>24</v>
      </c>
      <c r="Q16" s="4"/>
      <c r="R16" s="4"/>
      <c r="S16" s="4"/>
      <c r="U16" s="10" t="s">
        <v>25</v>
      </c>
      <c r="V16" s="10"/>
      <c r="W16" s="10"/>
      <c r="X16" s="10"/>
    </row>
    <row r="17" customFormat="false" ht="33.75" hidden="false" customHeight="true" outlineLevel="0" collapsed="false">
      <c r="A17" s="8" t="n">
        <f aca="false">-SUMIF(Purchase_Register!$AA$6:$AA$205,"&lt;0")/100000</f>
        <v>3.7346886</v>
      </c>
      <c r="B17" s="8"/>
      <c r="C17" s="8"/>
      <c r="D17" s="8"/>
      <c r="F17" s="9" t="n">
        <f aca="false">SUMIFS(Purchase_Register!$AW$6:$AW$205,Purchase_Register!$AY$6:$AY$205,"")/100000</f>
        <v>101.0573845</v>
      </c>
      <c r="G17" s="9"/>
      <c r="H17" s="9"/>
      <c r="I17" s="9"/>
      <c r="K17" s="12" t="n">
        <f aca="false">SUM(Purchase_Register!$AL$6:$AL$205)/100000</f>
        <v>42.7851</v>
      </c>
      <c r="L17" s="12"/>
      <c r="M17" s="12"/>
      <c r="N17" s="12"/>
      <c r="P17" s="13" t="n">
        <f aca="false">IFERROR(COUNTIFS(Purchase_Register!$BE$6:$BE$205,"*OTIF",Purchase_Register!$AX$6:$AX$205,"All In-house*")/COUNTIF(Purchase_Register!$BE$6:$BE$205,"*OTIF"),0)</f>
        <v>0.794117647058824</v>
      </c>
      <c r="Q17" s="13"/>
      <c r="R17" s="13"/>
      <c r="S17" s="13"/>
      <c r="U17" s="20" t="n">
        <f aca="false">COUNTIF(Purchase_Register!$BL$6:$BL$205,"High")</f>
        <v>12</v>
      </c>
      <c r="V17" s="20"/>
      <c r="W17" s="20"/>
      <c r="X17" s="20"/>
    </row>
    <row r="18" customFormat="false" ht="7.5" hidden="false" customHeight="true" outlineLevel="0" collapsed="false"/>
    <row r="19" customFormat="false" ht="21.75" hidden="false" customHeight="true" outlineLevel="0" collapsed="false">
      <c r="A19" s="21" t="str">
        <f aca="false">"ACTIONS: "&amp;COUNT(Purchase_Register!$BM$6:$BM$205)&amp;" line(s) — see Action_Tracker"</f>
        <v>ACTIONS: 22 line(s) — see Action_Tracker</v>
      </c>
      <c r="B19" s="21"/>
      <c r="C19" s="21"/>
      <c r="D19" s="21"/>
      <c r="E19" s="21"/>
      <c r="F19" s="22" t="str">
        <f aca="false">IF(COUNTIF(Purchase_Register!$BJ$6:$BJ$205,"?*")-COUNTIF(Purchase_Register!$BJ$6:$BJ$205,"OK")=0,"DATA CHECK: all register lines complete and consistent ✓","DATA CHECK: "&amp;(COUNTIF(Purchase_Register!$BJ$6:$BJ$205,"?*")-COUNTIF(Purchase_Register!$BJ$6:$BJ$205,"OK"))&amp;" register line(s) need correction — see Data Check column")</f>
        <v>DATA CHECK: 1 register line(s) need correction — see Data Check column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 t="str">
        <f aca="false">"PENDING IN-HOUSE: "&amp;(COUNTIF(Purchase_Register!$AX$6:$AX$205,"Pending*")+COUNTIF(Purchase_Register!$AX$6:$AX$205,"Not Started*"))&amp;" open PO line(s), BDT "&amp;TEXT(SUMIFS(Purchase_Register!$AW$6:$AW$205,Purchase_Register!$AY$6:$AY$205,"")/100000,"#,##0.00")&amp;" Lakh   |   Short closed: "&amp;COUNTIF(Purchase_Register!$AX$6:$AX$205,"Short Closed*")</f>
        <v>PENDING IN-HOUSE: 5 open PO line(s), BDT 101.06 Lakh   |   Short closed: 7</v>
      </c>
      <c r="R19" s="23"/>
      <c r="S19" s="23"/>
      <c r="T19" s="23"/>
      <c r="U19" s="23"/>
      <c r="V19" s="23"/>
      <c r="W19" s="23"/>
      <c r="X19" s="23"/>
    </row>
    <row r="21" customFormat="false" ht="15" hidden="false" customHeight="false" outlineLevel="0" collapsed="false">
      <c r="A21" s="24" t="s">
        <v>26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customFormat="false" ht="30" hidden="false" customHeight="true" outlineLevel="0" collapsed="false">
      <c r="A22" s="25" t="str">
        <f aca="false">"▸ Spend: BDT "&amp;TEXT((SUM(Purchase_Register!$AD$6:$AD$205))/100000,"#,##0.00")&amp;" Lakh committed on "&amp;COUNTA(Purchase_Register!$O$6:$O$205)&amp;" POs — "&amp;TEXT(IFERROR(SUM(Purchase_Register!$AI$6:$AI$205)/SUM(Purchase_Register!$AD$6:$AD$205),0),"0%")&amp;" paid; BDT "&amp;TEXT((SUM(Purchase_Register!$AK$6:$AK$205))/100000,"#,##0.00")&amp;" Lakh outstanding, of which BDT "&amp;TEXT((SUMIFS(Purchase_Register!$AK$6:$AK$205,Purchase_Register!$AP$6:$AP$205,"&gt;0"))/100000,"#,##0.00")&amp;" Lakh is overdue."</f>
        <v>▸ Spend: BDT 565.19 Lakh committed on 39 POs — 60% paid; BDT 226.72 Lakh outstanding, of which BDT 33.24 Lakh is overdue.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customFormat="false" ht="30" hidden="false" customHeight="true" outlineLevel="0" collapsed="false">
      <c r="A23" s="26" t="str">
        <f aca="false">"▸ Concentration: largest supplier is "&amp;IFERROR(INDEX(Supplier_Scorecard!$A$5:$A$34,MATCH(MAX(Supplier_Scorecard!$D$5:$D$34),Supplier_Scorecard!$D$5:$D$34,0)),"-")&amp;" with "&amp;TEXT(MAX(Supplier_Scorecard!$D$5:$D$34),"0%")&amp;" of spend — "&amp;LOWER(Supplier_Scorecard!$C$41)&amp;" (HHI "&amp;TEXT(Supplier_Scorecard!$C$40,"#,##0")&amp;"). Top category: "&amp;Spend_Analysis!$B$6&amp;" at "&amp;TEXT(N(Spend_Analysis!$F$6),"0%")&amp;"; "&amp;COUNTIF(Spend_Analysis!$H$6:$H$25,"A")&amp;" A-class categories carry "&amp;TEXT(SUMIF(Spend_Analysis!$H$6:$H$25,"A",Spend_Analysis!$F$6:$F$25),"0%")&amp;" of spend."</f>
        <v>▸ Concentration: largest supplier is Savar Leather Works Ltd with 32% of spend — moderately concentrated (HHI 1,959). Top category: Leather &amp; Upper at 32%; 4 A-class categories carry 89% of spend.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customFormat="false" ht="30" hidden="false" customHeight="true" outlineLevel="0" collapsed="false">
      <c r="A24" s="25" t="str">
        <f aca="false">"▸ Supplier performance: "&amp;COUNTIF(Supplier_Scorecard!$R$5:$R$34,"A*")&amp;" rated A-Preferred, "&amp;COUNTIF(Supplier_Scorecard!$R$5:$R$34,"B*")&amp;" B-Approved, "&amp;COUNTIF(Supplier_Scorecard!$R$5:$R$34,"C*")&amp;" C-Review. "&amp;IF(COUNT(Supplier_Scorecard!$Q$5:$Q$34)=0,"No supplier scored yet.","Best: "&amp;INDEX(Supplier_Scorecard!$A$5:$A$34,MATCH(MAX(Supplier_Scorecard!$Q$5:$Q$34),Supplier_Scorecard!$Q$5:$Q$34,0))&amp;" ("&amp;MAX(Supplier_Scorecard!$Q$5:$Q$34)&amp;"); weakest: "&amp;INDEX(Supplier_Scorecard!$A$5:$A$34,MATCH(MIN(Supplier_Scorecard!$Q$5:$Q$34),Supplier_Scorecard!$Q$5:$Q$34,0))&amp;" ("&amp;MIN(Supplier_Scorecard!$Q$5:$Q$34)&amp;").")</f>
        <v>▸ Supplier performance: 3 rated A-Preferred, 4 B-Approved, 3 C-Review. Best: Chattogram Packaging Ltd (100); weakest: Gazipur Chem Trade (51).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customFormat="false" ht="30" hidden="false" customHeight="true" outlineLevel="0" collapsed="false">
      <c r="A25" s="26" t="str">
        <f aca="false">"▸ Delivery: OTIF "&amp;TEXT(IFERROR(COUNTIF(Purchase_Register!$BE$6:$BE$205,"OTIF")/COUNTIF(Purchase_Register!$BE$6:$BE$205,"*OTIF"),0),"0%")&amp;", in-full "&amp;TEXT(IFERROR(COUNTIFS(Purchase_Register!$BE$6:$BE$205,"*OTIF",Purchase_Register!$AX$6:$AX$205,"All In-house*")/COUNTIF(Purchase_Register!$BE$6:$BE$205,"*OTIF"),0),"0%")&amp;", average lead time "&amp;TEXT(IFERROR(AVERAGE(Purchase_Register!$BB$6:$BB$205),0),"0")&amp;" days. "&amp;COUNTIFS(Purchase_Register!$O$6:$O$205,"&lt;&gt;",Purchase_Register!$AY$6:$AY$205,"",Purchase_Register!$BD$6:$BD$205,"&gt;0")&amp;" open PO(s) are late; BDT "&amp;TEXT((SUMIFS(Purchase_Register!$AW$6:$AW$205,Purchase_Register!$AY$6:$AY$205,""))/100000,"#,##0.00")&amp;" Lakh of material still to come in-house; "&amp;COUNTIF(Purchase_Register!$AX$6:$AX$205,"Short Closed*")&amp;" line(s) short-closed."</f>
        <v>▸ Delivery: OTIF 50%, in-full 79%, average lead time 22 days. 0 open PO(s) are late; BDT 101.06 Lakh of material still to come in-house; 7 line(s) short-closed.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customFormat="false" ht="30" hidden="false" customHeight="true" outlineLevel="0" collapsed="false">
      <c r="A26" s="25" t="str">
        <f aca="false">"▸ Budget &amp; price: "&amp;COUNTIF(Budget_Control!$M$5:$M$24,"Over Budget")&amp;" department(s) over budget, "&amp;COUNTIF(Budget_Control!$M$5:$M$24,"Watch")&amp;" on watch (overall "&amp;TEXT(IFERROR(Budget_Control!$I$25/Budget_Control!$H$25,0),"0%")&amp;" used). Buying vs budget price: BDT "&amp;TEXT((-SUMIF(Purchase_Register!$AA$6:$AA$205,"&lt;0"))/100000,"#,##0.00")&amp;" Lakh saved, BDT "&amp;TEXT((SUMIF(Purchase_Register!$AA$6:$AA$205,"&gt;0"))/100000,"#,##0.00")&amp;" Lakh overspent; "&amp;COUNTIF(Purchase_Register!$Z$6:$Z$205,"&gt;0")&amp;" line(s) bought dearer than the previous PO."</f>
        <v>▸ Budget &amp; price: 1 department(s) over budget, 1 on watch (overall 44% used). Buying vs budget price: BDT 3.73 Lakh saved, BDT 13.42 Lakh overspent; 6 line(s) bought dearer than the previous PO.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customFormat="false" ht="30" hidden="false" customHeight="true" outlineLevel="0" collapsed="false">
      <c r="A27" s="26" t="str">
        <f aca="false">"▸ Cash &amp; risk: BDT "&amp;TEXT((SUM(Purchase_Register!$AL$6:$AL$205))/100000,"#,##0.00")&amp;" Lakh paid ahead of goods received; "&amp;COUNTIF(Purchase_Register!$BL$6:$BL$205,"High")&amp;" high, "&amp;COUNTIF(Purchase_Register!$BL$6:$BL$205,"Medium")&amp;" medium and "&amp;COUNTIF(Purchase_Register!$BL$6:$BL$205,"Low")&amp;" low priority action line(s) open; "&amp;COUNTIFS(Purchase_Register!$O$6:$O$205,"&lt;&gt;",Purchase_Register!$K$6:$K$205,"&lt;&gt;Approved")&amp;" PO(s) without approval."</f>
        <v>▸ Cash &amp; risk: BDT 42.79 Lakh paid ahead of goods received; 12 high, 7 medium and 3 low priority action line(s) open; 0 PO(s) without approval.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139" customFormat="false" ht="15" hidden="false" customHeight="false" outlineLevel="0" collapsed="false">
      <c r="A139" s="27" t="s">
        <v>27</v>
      </c>
    </row>
    <row r="140" customFormat="false" ht="30" hidden="false" customHeight="true" outlineLevel="0" collapsed="false">
      <c r="A140" s="28" t="s">
        <v>28</v>
      </c>
      <c r="B140" s="28" t="s">
        <v>29</v>
      </c>
      <c r="C140" s="28" t="s">
        <v>30</v>
      </c>
      <c r="D140" s="28" t="s">
        <v>31</v>
      </c>
      <c r="F140" s="28" t="s">
        <v>32</v>
      </c>
      <c r="G140" s="28" t="s">
        <v>29</v>
      </c>
      <c r="I140" s="28" t="s">
        <v>33</v>
      </c>
      <c r="J140" s="28" t="s">
        <v>34</v>
      </c>
      <c r="K140" s="28" t="s">
        <v>35</v>
      </c>
      <c r="M140" s="28" t="s">
        <v>36</v>
      </c>
      <c r="N140" s="28" t="s">
        <v>37</v>
      </c>
      <c r="O140" s="28" t="s">
        <v>30</v>
      </c>
      <c r="P140" s="28" t="s">
        <v>38</v>
      </c>
      <c r="R140" s="28" t="s">
        <v>39</v>
      </c>
      <c r="S140" s="28" t="s">
        <v>40</v>
      </c>
      <c r="T140" s="28" t="s">
        <v>41</v>
      </c>
      <c r="U140" s="28" t="s">
        <v>42</v>
      </c>
    </row>
    <row r="141" customFormat="false" ht="15" hidden="false" customHeight="false" outlineLevel="0" collapsed="false">
      <c r="A141" s="29" t="str">
        <f aca="false">Spend_Analysis!B6</f>
        <v>Leather &amp; Upper</v>
      </c>
      <c r="B141" s="30" t="n">
        <f aca="false">IF($A141="","",SUMIFS(Purchase_Register!$AD$6:$AD$205,Purchase_Register!$F$6:$F$205,$A141)/100000)</f>
        <v>178.2994815</v>
      </c>
      <c r="C141" s="30" t="n">
        <f aca="false">IF($A141="","",SUMIFS(Purchase_Register!$AI$6:$AI$205,Purchase_Register!$F$6:$F$205,$A141)/100000)</f>
        <v>119.6353273</v>
      </c>
      <c r="D141" s="30" t="n">
        <f aca="false">IF($A141="","",SUMIFS(Purchase_Register!$AK$6:$AK$205,Purchase_Register!$F$6:$F$205,$A141)/100000)</f>
        <v>58.6641542</v>
      </c>
      <c r="F141" s="31" t="s">
        <v>43</v>
      </c>
      <c r="G141" s="30" t="n">
        <f aca="false">SUMIFS(Purchase_Register!$AD$6:$AD$205,Purchase_Register!$H$6:$H$205,$F141)/100000</f>
        <v>439.6495435</v>
      </c>
      <c r="I141" s="32" t="s">
        <v>44</v>
      </c>
      <c r="J141" s="33" t="n">
        <f aca="false">COUNTIF(Purchase_Register!$AM$6:$AM$205,$I141)</f>
        <v>5</v>
      </c>
      <c r="K141" s="30" t="n">
        <f aca="false">SUMIFS(Purchase_Register!$AD$6:$AD$205,Purchase_Register!$AM$6:$AM$205,$I141)/100000</f>
        <v>44.915228</v>
      </c>
      <c r="M141" s="34" t="str">
        <f aca="false">Cash_Forecast!C5</f>
        <v>Jul-26</v>
      </c>
      <c r="N141" s="35" t="n">
        <f aca="false">Cash_Forecast!F5/100000</f>
        <v>49.3302855</v>
      </c>
      <c r="O141" s="35" t="n">
        <f aca="false">Cash_Forecast!I5/100000</f>
        <v>33.576362</v>
      </c>
      <c r="P141" s="35" t="n">
        <f aca="false">Cash_Forecast!J5/100000</f>
        <v>0</v>
      </c>
      <c r="R141" s="29" t="str">
        <f aca="false">INDEX(Supplier_Scorecard!$A$5:$A$34,MATCH(LARGE(Supplier_Scorecard!$S$5:$S$34,1),Supplier_Scorecard!$S$5:$S$34,0))&amp;""</f>
        <v>Savar Leather Works Ltd</v>
      </c>
      <c r="S141" s="35" t="n">
        <f aca="false">IF($R141="","",N(INDEX(Supplier_Scorecard!$C$5:$C$34,MATCH(LARGE(Supplier_Scorecard!$S$5:$S$34,1),Supplier_Scorecard!$S$5:$S$34,0)))/100000)</f>
        <v>178.2994815</v>
      </c>
      <c r="T141" s="36" t="n">
        <f aca="false">IF($R141="","",INDEX(Supplier_Scorecard!$H$5:$H$34,MATCH(LARGE(Supplier_Scorecard!$S$5:$S$34,1),Supplier_Scorecard!$S$5:$S$34,0)))</f>
        <v>0.6</v>
      </c>
      <c r="U141" s="37" t="n">
        <f aca="false">IF($R141="","",INDEX(Supplier_Scorecard!$Q$5:$Q$34,MATCH(LARGE(Supplier_Scorecard!$S$5:$S$34,1),Supplier_Scorecard!$S$5:$S$34,0)))</f>
        <v>66</v>
      </c>
    </row>
    <row r="142" customFormat="false" ht="15" hidden="false" customHeight="false" outlineLevel="0" collapsed="false">
      <c r="A142" s="29" t="str">
        <f aca="false">Spend_Analysis!B7</f>
        <v>Machinery &amp; Equipment</v>
      </c>
      <c r="B142" s="30" t="n">
        <f aca="false">IF($A142="","",SUMIFS(Purchase_Register!$AD$6:$AD$205,Purchase_Register!$F$6:$F$205,$A142)/100000)</f>
        <v>117.92225795</v>
      </c>
      <c r="C142" s="30" t="n">
        <f aca="false">IF($A142="","",SUMIFS(Purchase_Register!$AI$6:$AI$205,Purchase_Register!$F$6:$F$205,$A142)/100000)</f>
        <v>66.9986944</v>
      </c>
      <c r="D142" s="30" t="n">
        <f aca="false">IF($A142="","",SUMIFS(Purchase_Register!$AK$6:$AK$205,Purchase_Register!$F$6:$F$205,$A142)/100000)</f>
        <v>50.9235636</v>
      </c>
      <c r="F142" s="31" t="s">
        <v>45</v>
      </c>
      <c r="G142" s="30" t="n">
        <f aca="false">SUMIFS(Purchase_Register!$AD$6:$AD$205,Purchase_Register!$H$6:$H$205,$F142)/100000</f>
        <v>125.54045945</v>
      </c>
      <c r="I142" s="32" t="s">
        <v>46</v>
      </c>
      <c r="J142" s="33" t="n">
        <f aca="false">COUNTIF(Purchase_Register!$AM$6:$AM$205,$I142)</f>
        <v>9</v>
      </c>
      <c r="K142" s="30" t="n">
        <f aca="false">SUMIFS(Purchase_Register!$AD$6:$AD$205,Purchase_Register!$AM$6:$AM$205,$I142)/100000</f>
        <v>182.6326332</v>
      </c>
      <c r="M142" s="34" t="str">
        <f aca="false">Cash_Forecast!C6</f>
        <v>Aug-26</v>
      </c>
      <c r="N142" s="35" t="n">
        <f aca="false">Cash_Forecast!F6/100000</f>
        <v>165.19153945</v>
      </c>
      <c r="O142" s="35" t="n">
        <f aca="false">Cash_Forecast!I6/100000</f>
        <v>116.0370252</v>
      </c>
      <c r="P142" s="35" t="n">
        <f aca="false">Cash_Forecast!J6/100000</f>
        <v>14.83293</v>
      </c>
      <c r="R142" s="29" t="str">
        <f aca="false">INDEX(Supplier_Scorecard!$A$5:$A$34,MATCH(LARGE(Supplier_Scorecard!$S$5:$S$34,2),Supplier_Scorecard!$S$5:$S$34,0))&amp;""</f>
        <v>Dongguan Sole Tech Co.</v>
      </c>
      <c r="S142" s="35" t="n">
        <f aca="false">IF($R142="","",N(INDEX(Supplier_Scorecard!$C$5:$C$34,MATCH(LARGE(Supplier_Scorecard!$S$5:$S$34,2),Supplier_Scorecard!$S$5:$S$34,0)))/100000)</f>
        <v>105.898969</v>
      </c>
      <c r="T142" s="36" t="n">
        <f aca="false">IF($R142="","",INDEX(Supplier_Scorecard!$H$5:$H$34,MATCH(LARGE(Supplier_Scorecard!$S$5:$S$34,2),Supplier_Scorecard!$S$5:$S$34,0)))</f>
        <v>1</v>
      </c>
      <c r="U142" s="37" t="n">
        <f aca="false">IF($R142="","",INDEX(Supplier_Scorecard!$Q$5:$Q$34,MATCH(LARGE(Supplier_Scorecard!$S$5:$S$34,2),Supplier_Scorecard!$S$5:$S$34,0)))</f>
        <v>98</v>
      </c>
    </row>
    <row r="143" customFormat="false" ht="15" hidden="false" customHeight="false" outlineLevel="0" collapsed="false">
      <c r="A143" s="29" t="str">
        <f aca="false">Spend_Analysis!B8</f>
        <v>Sole &amp; Bottom</v>
      </c>
      <c r="B143" s="30" t="n">
        <f aca="false">IF($A143="","",SUMIFS(Purchase_Register!$AD$6:$AD$205,Purchase_Register!$F$6:$F$205,$A143)/100000)</f>
        <v>103.987652</v>
      </c>
      <c r="C143" s="30" t="n">
        <f aca="false">IF($A143="","",SUMIFS(Purchase_Register!$AI$6:$AI$205,Purchase_Register!$F$6:$F$205,$A143)/100000)</f>
        <v>35.31309</v>
      </c>
      <c r="D143" s="30" t="n">
        <f aca="false">IF($A143="","",SUMIFS(Purchase_Register!$AK$6:$AK$205,Purchase_Register!$F$6:$F$205,$A143)/100000)</f>
        <v>68.674562</v>
      </c>
      <c r="I143" s="32" t="s">
        <v>47</v>
      </c>
      <c r="J143" s="33" t="n">
        <f aca="false">COUNTIF(Purchase_Register!$AM$6:$AM$205,$I143)</f>
        <v>5</v>
      </c>
      <c r="K143" s="30" t="n">
        <f aca="false">SUMIFS(Purchase_Register!$AD$6:$AD$205,Purchase_Register!$AM$6:$AM$205,$I143)/100000</f>
        <v>33.66531</v>
      </c>
      <c r="M143" s="34" t="str">
        <f aca="false">Cash_Forecast!C7</f>
        <v>Sep-26</v>
      </c>
      <c r="N143" s="35" t="n">
        <f aca="false">Cash_Forecast!F7/100000</f>
        <v>95.140112</v>
      </c>
      <c r="O143" s="35" t="n">
        <f aca="false">Cash_Forecast!I7/100000</f>
        <v>93.2187938</v>
      </c>
      <c r="P143" s="35" t="n">
        <f aca="false">Cash_Forecast!J7/100000</f>
        <v>16.9553874</v>
      </c>
      <c r="R143" s="29" t="str">
        <f aca="false">INDEX(Supplier_Scorecard!$A$5:$A$34,MATCH(LARGE(Supplier_Scorecard!$S$5:$S$34,3),Supplier_Scorecard!$S$5:$S$34,0))&amp;""</f>
        <v>Jiangsu Footwear Machinery Co.</v>
      </c>
      <c r="S143" s="35" t="n">
        <f aca="false">IF($R143="","",N(INDEX(Supplier_Scorecard!$C$5:$C$34,MATCH(LARGE(Supplier_Scorecard!$S$5:$S$34,3),Supplier_Scorecard!$S$5:$S$34,0)))/100000)</f>
        <v>101.8471272</v>
      </c>
      <c r="T143" s="36" t="n">
        <f aca="false">IF($R143="","",INDEX(Supplier_Scorecard!$H$5:$H$34,MATCH(LARGE(Supplier_Scorecard!$S$5:$S$34,3),Supplier_Scorecard!$S$5:$S$34,0)))</f>
        <v>0</v>
      </c>
      <c r="U143" s="37" t="n">
        <f aca="false">IF($R143="","",INDEX(Supplier_Scorecard!$Q$5:$Q$34,MATCH(LARGE(Supplier_Scorecard!$S$5:$S$34,3),Supplier_Scorecard!$S$5:$S$34,0)))</f>
        <v>53</v>
      </c>
    </row>
    <row r="144" customFormat="false" ht="30" hidden="false" customHeight="true" outlineLevel="0" collapsed="false">
      <c r="A144" s="29" t="str">
        <f aca="false">Spend_Analysis!B9</f>
        <v>Synthetic &amp; Textile</v>
      </c>
      <c r="B144" s="30" t="n">
        <f aca="false">IF($A144="","",SUMIFS(Purchase_Register!$AD$6:$AD$205,Purchase_Register!$F$6:$F$205,$A144)/100000)</f>
        <v>101.057567</v>
      </c>
      <c r="C144" s="30" t="n">
        <f aca="false">IF($A144="","",SUMIFS(Purchase_Register!$AI$6:$AI$205,Purchase_Register!$F$6:$F$205,$A144)/100000)</f>
        <v>81.013451</v>
      </c>
      <c r="D144" s="30" t="n">
        <f aca="false">IF($A144="","",SUMIFS(Purchase_Register!$AK$6:$AK$205,Purchase_Register!$F$6:$F$205,$A144)/100000)</f>
        <v>20.044116</v>
      </c>
      <c r="F144" s="28" t="s">
        <v>48</v>
      </c>
      <c r="G144" s="28" t="s">
        <v>49</v>
      </c>
      <c r="I144" s="32" t="s">
        <v>50</v>
      </c>
      <c r="J144" s="33" t="n">
        <f aca="false">COUNTIF(Purchase_Register!$AM$6:$AM$205,$I144)</f>
        <v>20</v>
      </c>
      <c r="K144" s="30" t="n">
        <f aca="false">SUMIFS(Purchase_Register!$AD$6:$AD$205,Purchase_Register!$AM$6:$AM$205,$I144)/100000</f>
        <v>244.95764875</v>
      </c>
      <c r="M144" s="34" t="str">
        <f aca="false">Cash_Forecast!C8</f>
        <v>Oct-26</v>
      </c>
      <c r="N144" s="35" t="n">
        <f aca="false">Cash_Forecast!F8/100000</f>
        <v>68.928231</v>
      </c>
      <c r="O144" s="35" t="n">
        <f aca="false">Cash_Forecast!I8/100000</f>
        <v>39.8652085</v>
      </c>
      <c r="P144" s="35" t="n">
        <f aca="false">Cash_Forecast!J8/100000</f>
        <v>63.3744938</v>
      </c>
      <c r="R144" s="29" t="str">
        <f aca="false">INDEX(Supplier_Scorecard!$A$5:$A$34,MATCH(LARGE(Supplier_Scorecard!$S$5:$S$34,4),Supplier_Scorecard!$S$5:$S$34,0))&amp;""</f>
        <v>Bengal Sole Industries</v>
      </c>
      <c r="S144" s="35" t="n">
        <f aca="false">IF($R144="","",N(INDEX(Supplier_Scorecard!$C$5:$C$34,MATCH(LARGE(Supplier_Scorecard!$S$5:$S$34,4),Supplier_Scorecard!$S$5:$S$34,0)))/100000)</f>
        <v>86.46225</v>
      </c>
      <c r="T144" s="36" t="n">
        <f aca="false">IF($R144="","",INDEX(Supplier_Scorecard!$H$5:$H$34,MATCH(LARGE(Supplier_Scorecard!$S$5:$S$34,4),Supplier_Scorecard!$S$5:$S$34,0)))</f>
        <v>0.5</v>
      </c>
      <c r="U144" s="37" t="n">
        <f aca="false">IF($R144="","",INDEX(Supplier_Scorecard!$Q$5:$Q$34,MATCH(LARGE(Supplier_Scorecard!$S$5:$S$34,4),Supplier_Scorecard!$S$5:$S$34,0)))</f>
        <v>64</v>
      </c>
    </row>
    <row r="145" customFormat="false" ht="15" hidden="false" customHeight="false" outlineLevel="0" collapsed="false">
      <c r="A145" s="29" t="str">
        <f aca="false">Spend_Analysis!B10</f>
        <v>Chemicals &amp; Adhesives</v>
      </c>
      <c r="B145" s="30" t="n">
        <f aca="false">IF($A145="","",SUMIFS(Purchase_Register!$AD$6:$AD$205,Purchase_Register!$F$6:$F$205,$A145)/100000)</f>
        <v>23.8392</v>
      </c>
      <c r="C145" s="30" t="n">
        <f aca="false">IF($A145="","",SUMIFS(Purchase_Register!$AI$6:$AI$205,Purchase_Register!$F$6:$F$205,$A145)/100000)</f>
        <v>9.355725</v>
      </c>
      <c r="D145" s="30" t="n">
        <f aca="false">IF($A145="","",SUMIFS(Purchase_Register!$AK$6:$AK$205,Purchase_Register!$F$6:$F$205,$A145)/100000)</f>
        <v>14.483475</v>
      </c>
      <c r="F145" s="32" t="s">
        <v>17</v>
      </c>
      <c r="G145" s="33" t="n">
        <f aca="false">COUNTIF(Purchase_Register!$BI$6:$BI$205,$F145)</f>
        <v>3</v>
      </c>
      <c r="M145" s="34" t="str">
        <f aca="false">Cash_Forecast!C9</f>
        <v>Nov-26</v>
      </c>
      <c r="N145" s="35" t="n">
        <f aca="false">Cash_Forecast!F9/100000</f>
        <v>0</v>
      </c>
      <c r="O145" s="35" t="n">
        <f aca="false">Cash_Forecast!I9/100000</f>
        <v>0</v>
      </c>
      <c r="P145" s="35" t="n">
        <f aca="false">Cash_Forecast!J9/100000</f>
        <v>72.5348493</v>
      </c>
      <c r="R145" s="29" t="str">
        <f aca="false">INDEX(Supplier_Scorecard!$A$5:$A$34,MATCH(LARGE(Supplier_Scorecard!$S$5:$S$34,5),Supplier_Scorecard!$S$5:$S$34,0))&amp;""</f>
        <v>Dhaka Spares &amp; Tools</v>
      </c>
      <c r="S145" s="35" t="n">
        <f aca="false">IF($R145="","",N(INDEX(Supplier_Scorecard!$C$5:$C$34,MATCH(LARGE(Supplier_Scorecard!$S$5:$S$34,5),Supplier_Scorecard!$S$5:$S$34,0)))/100000)</f>
        <v>25.88532275</v>
      </c>
      <c r="T145" s="36" t="n">
        <f aca="false">IF($R145="","",INDEX(Supplier_Scorecard!$H$5:$H$34,MATCH(LARGE(Supplier_Scorecard!$S$5:$S$34,5),Supplier_Scorecard!$S$5:$S$34,0)))</f>
        <v>0.333333333333333</v>
      </c>
      <c r="U145" s="37" t="n">
        <f aca="false">IF($R145="","",INDEX(Supplier_Scorecard!$Q$5:$Q$34,MATCH(LARGE(Supplier_Scorecard!$S$5:$S$34,5),Supplier_Scorecard!$S$5:$S$34,0)))</f>
        <v>65</v>
      </c>
    </row>
    <row r="146" customFormat="false" ht="30" hidden="false" customHeight="true" outlineLevel="0" collapsed="false">
      <c r="A146" s="29" t="str">
        <f aca="false">Spend_Analysis!B11</f>
        <v>Trims &amp; Accessories</v>
      </c>
      <c r="B146" s="30" t="n">
        <f aca="false">IF($A146="","",SUMIFS(Purchase_Register!$AD$6:$AD$205,Purchase_Register!$F$6:$F$205,$A146)/100000)</f>
        <v>13.310388</v>
      </c>
      <c r="C146" s="30" t="n">
        <f aca="false">IF($A146="","",SUMIFS(Purchase_Register!$AI$6:$AI$205,Purchase_Register!$F$6:$F$205,$A146)/100000)</f>
        <v>7.286202</v>
      </c>
      <c r="D146" s="30" t="n">
        <f aca="false">IF($A146="","",SUMIFS(Purchase_Register!$AK$6:$AK$205,Purchase_Register!$F$6:$F$205,$A146)/100000)</f>
        <v>6.024186</v>
      </c>
      <c r="F146" s="32" t="s">
        <v>51</v>
      </c>
      <c r="G146" s="33" t="n">
        <f aca="false">COUNTIF(Purchase_Register!$BI$6:$BI$205,$F146)</f>
        <v>2</v>
      </c>
      <c r="I146" s="28" t="s">
        <v>52</v>
      </c>
      <c r="J146" s="28" t="s">
        <v>31</v>
      </c>
      <c r="M146" s="34" t="str">
        <f aca="false">Cash_Forecast!C10</f>
        <v>Dec-26</v>
      </c>
      <c r="N146" s="35" t="n">
        <f aca="false">Cash_Forecast!F10/100000</f>
        <v>0</v>
      </c>
      <c r="O146" s="35" t="n">
        <f aca="false">Cash_Forecast!I10/100000</f>
        <v>0</v>
      </c>
      <c r="P146" s="35" t="n">
        <f aca="false">Cash_Forecast!J10/100000</f>
        <v>0</v>
      </c>
      <c r="R146" s="29" t="str">
        <f aca="false">INDEX(Supplier_Scorecard!$A$5:$A$34,MATCH(LARGE(Supplier_Scorecard!$S$5:$S$34,6),Supplier_Scorecard!$S$5:$S$34,0))&amp;""</f>
        <v>Gazipur Chem Trade</v>
      </c>
      <c r="S146" s="35" t="n">
        <f aca="false">IF($R146="","",N(INDEX(Supplier_Scorecard!$C$5:$C$34,MATCH(LARGE(Supplier_Scorecard!$S$5:$S$34,6),Supplier_Scorecard!$S$5:$S$34,0)))/100000)</f>
        <v>23.8392</v>
      </c>
      <c r="T146" s="36" t="n">
        <f aca="false">IF($R146="","",INDEX(Supplier_Scorecard!$H$5:$H$34,MATCH(LARGE(Supplier_Scorecard!$S$5:$S$34,6),Supplier_Scorecard!$S$5:$S$34,0)))</f>
        <v>0.5</v>
      </c>
      <c r="U146" s="37" t="n">
        <f aca="false">IF($R146="","",INDEX(Supplier_Scorecard!$Q$5:$Q$34,MATCH(LARGE(Supplier_Scorecard!$S$5:$S$34,6),Supplier_Scorecard!$S$5:$S$34,0)))</f>
        <v>51</v>
      </c>
    </row>
    <row r="147" customFormat="false" ht="15" hidden="false" customHeight="false" outlineLevel="0" collapsed="false">
      <c r="A147" s="29" t="str">
        <f aca="false">Spend_Analysis!B12</f>
        <v>Packaging</v>
      </c>
      <c r="B147" s="30" t="n">
        <f aca="false">IF($A147="","",SUMIFS(Purchase_Register!$AD$6:$AD$205,Purchase_Register!$F$6:$F$205,$A147)/100000)</f>
        <v>9.345063</v>
      </c>
      <c r="C147" s="30" t="n">
        <f aca="false">IF($A147="","",SUMIFS(Purchase_Register!$AI$6:$AI$205,Purchase_Register!$F$6:$F$205,$A147)/100000)</f>
        <v>9.345063</v>
      </c>
      <c r="D147" s="30" t="n">
        <f aca="false">IF($A147="","",SUMIFS(Purchase_Register!$AK$6:$AK$205,Purchase_Register!$F$6:$F$205,$A147)/100000)</f>
        <v>0</v>
      </c>
      <c r="F147" s="32" t="s">
        <v>53</v>
      </c>
      <c r="G147" s="33" t="n">
        <f aca="false">COUNTIF(Purchase_Register!$BI$6:$BI$205,$F147)</f>
        <v>4</v>
      </c>
      <c r="I147" s="32" t="s">
        <v>54</v>
      </c>
      <c r="J147" s="30" t="n">
        <f aca="false">SUMIFS(Purchase_Register!$AK$6:$AK$205,Purchase_Register!$AQ$6:$AQ$205,$I147)/100000</f>
        <v>134.4600281</v>
      </c>
      <c r="M147" s="34" t="str">
        <f aca="false">Cash_Forecast!C11</f>
        <v>Jan-27</v>
      </c>
      <c r="N147" s="35" t="n">
        <f aca="false">Cash_Forecast!F11/100000</f>
        <v>0</v>
      </c>
      <c r="O147" s="35" t="n">
        <f aca="false">Cash_Forecast!I11/100000</f>
        <v>0</v>
      </c>
      <c r="P147" s="35" t="n">
        <f aca="false">Cash_Forecast!J11/100000</f>
        <v>0</v>
      </c>
      <c r="R147" s="29" t="str">
        <f aca="false">INDEX(Supplier_Scorecard!$A$5:$A$34,MATCH(LARGE(Supplier_Scorecard!$S$5:$S$34,7),Supplier_Scorecard!$S$5:$S$34,0))&amp;""</f>
        <v>Delta Thread &amp; Trims</v>
      </c>
      <c r="S147" s="35" t="n">
        <f aca="false">IF($R147="","",N(INDEX(Supplier_Scorecard!$C$5:$C$34,MATCH(LARGE(Supplier_Scorecard!$S$5:$S$34,7),Supplier_Scorecard!$S$5:$S$34,0)))/100000)</f>
        <v>13.310388</v>
      </c>
      <c r="T147" s="36" t="n">
        <f aca="false">IF($R147="","",INDEX(Supplier_Scorecard!$H$5:$H$34,MATCH(LARGE(Supplier_Scorecard!$S$5:$S$34,7),Supplier_Scorecard!$S$5:$S$34,0)))</f>
        <v>0.4</v>
      </c>
      <c r="U147" s="37" t="n">
        <f aca="false">IF($R147="","",INDEX(Supplier_Scorecard!$Q$5:$Q$34,MATCH(LARGE(Supplier_Scorecard!$S$5:$S$34,7),Supplier_Scorecard!$S$5:$S$34,0)))</f>
        <v>65</v>
      </c>
    </row>
    <row r="148" customFormat="false" ht="15" hidden="false" customHeight="false" outlineLevel="0" collapsed="false">
      <c r="A148" s="29" t="str">
        <f aca="false">Spend_Analysis!B13</f>
        <v>IT Equipment</v>
      </c>
      <c r="B148" s="30" t="n">
        <f aca="false">IF($A148="","",SUMIFS(Purchase_Register!$AD$6:$AD$205,Purchase_Register!$F$6:$F$205,$A148)/100000)</f>
        <v>7.6182015</v>
      </c>
      <c r="C148" s="30" t="n">
        <f aca="false">IF($A148="","",SUMIFS(Purchase_Register!$AI$6:$AI$205,Purchase_Register!$F$6:$F$205,$A148)/100000)</f>
        <v>3.8091008</v>
      </c>
      <c r="D148" s="30" t="n">
        <f aca="false">IF($A148="","",SUMIFS(Purchase_Register!$AK$6:$AK$205,Purchase_Register!$F$6:$F$205,$A148)/100000)</f>
        <v>3.8091007</v>
      </c>
      <c r="F148" s="32" t="s">
        <v>55</v>
      </c>
      <c r="G148" s="33" t="n">
        <f aca="false">COUNTIF(Purchase_Register!$BI$6:$BI$205,$F148)</f>
        <v>1</v>
      </c>
      <c r="I148" s="32" t="s">
        <v>56</v>
      </c>
      <c r="J148" s="30" t="n">
        <f aca="false">SUMIFS(Purchase_Register!$AK$6:$AK$205,Purchase_Register!$AQ$6:$AQ$205,$I148)/100000</f>
        <v>13.8027774</v>
      </c>
      <c r="M148" s="34" t="str">
        <f aca="false">Cash_Forecast!C12</f>
        <v>Feb-27</v>
      </c>
      <c r="N148" s="35" t="n">
        <f aca="false">Cash_Forecast!F12/100000</f>
        <v>0</v>
      </c>
      <c r="O148" s="35" t="n">
        <f aca="false">Cash_Forecast!I12/100000</f>
        <v>0</v>
      </c>
      <c r="P148" s="35" t="n">
        <f aca="false">Cash_Forecast!J12/100000</f>
        <v>0</v>
      </c>
      <c r="R148" s="29" t="str">
        <f aca="false">INDEX(Supplier_Scorecard!$A$5:$A$34,MATCH(LARGE(Supplier_Scorecard!$S$5:$S$34,8),Supplier_Scorecard!$S$5:$S$34,0))&amp;""</f>
        <v>Narayanganj Board Mills</v>
      </c>
      <c r="S148" s="35" t="n">
        <f aca="false">IF($R148="","",N(INDEX(Supplier_Scorecard!$C$5:$C$34,MATCH(LARGE(Supplier_Scorecard!$S$5:$S$34,8),Supplier_Scorecard!$S$5:$S$34,0)))/100000)</f>
        <v>12.684</v>
      </c>
      <c r="T148" s="36" t="n">
        <f aca="false">IF($R148="","",INDEX(Supplier_Scorecard!$H$5:$H$34,MATCH(LARGE(Supplier_Scorecard!$S$5:$S$34,8),Supplier_Scorecard!$S$5:$S$34,0)))</f>
        <v>0</v>
      </c>
      <c r="U148" s="37" t="n">
        <f aca="false">IF($R148="","",INDEX(Supplier_Scorecard!$Q$5:$Q$34,MATCH(LARGE(Supplier_Scorecard!$S$5:$S$34,8),Supplier_Scorecard!$S$5:$S$34,0)))</f>
        <v>59</v>
      </c>
    </row>
    <row r="149" customFormat="false" ht="15" hidden="false" customHeight="false" outlineLevel="0" collapsed="false">
      <c r="A149" s="29" t="str">
        <f aca="false">Spend_Analysis!B14</f>
        <v>Safety &amp; Facility</v>
      </c>
      <c r="B149" s="30" t="n">
        <f aca="false">IF($A149="","",SUMIFS(Purchase_Register!$AD$6:$AD$205,Purchase_Register!$F$6:$F$205,$A149)/100000)</f>
        <v>6.18125</v>
      </c>
      <c r="C149" s="30" t="n">
        <f aca="false">IF($A149="","",SUMIFS(Purchase_Register!$AI$6:$AI$205,Purchase_Register!$F$6:$F$205,$A149)/100000)</f>
        <v>3.65801</v>
      </c>
      <c r="D149" s="30" t="n">
        <f aca="false">IF($A149="","",SUMIFS(Purchase_Register!$AK$6:$AK$205,Purchase_Register!$F$6:$F$205,$A149)/100000)</f>
        <v>2.52324</v>
      </c>
      <c r="F149" s="32" t="s">
        <v>57</v>
      </c>
      <c r="G149" s="33" t="n">
        <f aca="false">COUNTIF(Purchase_Register!$BI$6:$BI$205,$F149)</f>
        <v>16</v>
      </c>
      <c r="I149" s="32" t="s">
        <v>58</v>
      </c>
      <c r="J149" s="30" t="n">
        <f aca="false">SUMIFS(Purchase_Register!$AK$6:$AK$205,Purchase_Register!$AQ$6:$AQ$205,$I149)/100000</f>
        <v>5.688675</v>
      </c>
      <c r="M149" s="34" t="str">
        <f aca="false">Cash_Forecast!C13</f>
        <v>Mar-27</v>
      </c>
      <c r="N149" s="35" t="n">
        <f aca="false">Cash_Forecast!F13/100000</f>
        <v>0</v>
      </c>
      <c r="O149" s="35" t="n">
        <f aca="false">Cash_Forecast!I13/100000</f>
        <v>0</v>
      </c>
      <c r="P149" s="35" t="n">
        <f aca="false">Cash_Forecast!J13/100000</f>
        <v>0</v>
      </c>
      <c r="R149" s="29" t="str">
        <f aca="false">INDEX(Supplier_Scorecard!$A$5:$A$34,MATCH(LARGE(Supplier_Scorecard!$S$5:$S$34,9),Supplier_Scorecard!$S$5:$S$34,0))&amp;""</f>
        <v>Chattogram Packaging Ltd</v>
      </c>
      <c r="S149" s="35" t="n">
        <f aca="false">IF($R149="","",N(INDEX(Supplier_Scorecard!$C$5:$C$34,MATCH(LARGE(Supplier_Scorecard!$S$5:$S$34,9),Supplier_Scorecard!$S$5:$S$34,0)))/100000)</f>
        <v>9.345063</v>
      </c>
      <c r="T149" s="36" t="n">
        <f aca="false">IF($R149="","",INDEX(Supplier_Scorecard!$H$5:$H$34,MATCH(LARGE(Supplier_Scorecard!$S$5:$S$34,9),Supplier_Scorecard!$S$5:$S$34,0)))</f>
        <v>1</v>
      </c>
      <c r="U149" s="37" t="n">
        <f aca="false">IF($R149="","",INDEX(Supplier_Scorecard!$Q$5:$Q$34,MATCH(LARGE(Supplier_Scorecard!$S$5:$S$34,9),Supplier_Scorecard!$S$5:$S$34,0)))</f>
        <v>100</v>
      </c>
    </row>
    <row r="150" customFormat="false" ht="15" hidden="false" customHeight="false" outlineLevel="0" collapsed="false">
      <c r="A150" s="29" t="str">
        <f aca="false">Spend_Analysis!B15</f>
        <v>Spare Parts</v>
      </c>
      <c r="B150" s="30" t="n">
        <f aca="false">IF($A150="","",SUMIFS(Purchase_Register!$AD$6:$AD$205,Purchase_Register!$F$6:$F$205,$A150)/100000)</f>
        <v>3.628942</v>
      </c>
      <c r="C150" s="30" t="n">
        <f aca="false">IF($A150="","",SUMIFS(Purchase_Register!$AI$6:$AI$205,Purchase_Register!$F$6:$F$205,$A150)/100000)</f>
        <v>2.058496</v>
      </c>
      <c r="D150" s="30" t="n">
        <f aca="false">IF($A150="","",SUMIFS(Purchase_Register!$AK$6:$AK$205,Purchase_Register!$F$6:$F$205,$A150)/100000)</f>
        <v>1.570446</v>
      </c>
      <c r="F150" s="32" t="s">
        <v>59</v>
      </c>
      <c r="G150" s="33" t="n">
        <f aca="false">COUNTIF(Purchase_Register!$BI$6:$BI$205,$F150)</f>
        <v>18</v>
      </c>
      <c r="I150" s="32" t="s">
        <v>60</v>
      </c>
      <c r="J150" s="30" t="n">
        <f aca="false">SUMIFS(Purchase_Register!$AK$6:$AK$205,Purchase_Register!$AQ$6:$AQ$205,$I150)/100000</f>
        <v>13.74618</v>
      </c>
      <c r="M150" s="34" t="str">
        <f aca="false">Cash_Forecast!C14</f>
        <v>Apr-27</v>
      </c>
      <c r="N150" s="35" t="n">
        <f aca="false">Cash_Forecast!F14/100000</f>
        <v>0</v>
      </c>
      <c r="O150" s="35" t="n">
        <f aca="false">Cash_Forecast!I14/100000</f>
        <v>0</v>
      </c>
      <c r="P150" s="35" t="n">
        <f aca="false">Cash_Forecast!J14/100000</f>
        <v>0</v>
      </c>
      <c r="R150" s="29" t="str">
        <f aca="false">INDEX(Supplier_Scorecard!$A$5:$A$34,MATCH(LARGE(Supplier_Scorecard!$S$5:$S$34,10),Supplier_Scorecard!$S$5:$S$34,0))&amp;""</f>
        <v>Tech Point BD</v>
      </c>
      <c r="S150" s="35" t="n">
        <f aca="false">IF($R150="","",N(INDEX(Supplier_Scorecard!$C$5:$C$34,MATCH(LARGE(Supplier_Scorecard!$S$5:$S$34,10),Supplier_Scorecard!$S$5:$S$34,0)))/100000)</f>
        <v>7.6182015</v>
      </c>
      <c r="T150" s="36" t="n">
        <f aca="false">IF($R150="","",INDEX(Supplier_Scorecard!$H$5:$H$34,MATCH(LARGE(Supplier_Scorecard!$S$5:$S$34,10),Supplier_Scorecard!$S$5:$S$34,0)))</f>
        <v>1</v>
      </c>
      <c r="U150" s="37" t="n">
        <f aca="false">IF($R150="","",INDEX(Supplier_Scorecard!$Q$5:$Q$34,MATCH(LARGE(Supplier_Scorecard!$S$5:$S$34,10),Supplier_Scorecard!$S$5:$S$34,0)))</f>
        <v>88</v>
      </c>
    </row>
    <row r="151" customFormat="false" ht="15" hidden="false" customHeight="false" outlineLevel="0" collapsed="false">
      <c r="F151" s="32" t="s">
        <v>61</v>
      </c>
      <c r="G151" s="33" t="n">
        <f aca="false">COUNTIF(Purchase_Register!$BI$6:$BI$205,$F151)</f>
        <v>1</v>
      </c>
      <c r="I151" s="32" t="s">
        <v>62</v>
      </c>
      <c r="J151" s="30" t="n">
        <f aca="false">SUMIFS(Purchase_Register!$AK$6:$AK$205,Purchase_Register!$AQ$6:$AQ$205,$I151)/100000</f>
        <v>0</v>
      </c>
      <c r="M151" s="34" t="str">
        <f aca="false">Cash_Forecast!C15</f>
        <v>May-27</v>
      </c>
      <c r="N151" s="35" t="n">
        <f aca="false">Cash_Forecast!F15/100000</f>
        <v>0</v>
      </c>
      <c r="O151" s="35" t="n">
        <f aca="false">Cash_Forecast!I15/100000</f>
        <v>0</v>
      </c>
      <c r="P151" s="35" t="n">
        <f aca="false">Cash_Forecast!J15/100000</f>
        <v>0</v>
      </c>
    </row>
    <row r="152" customFormat="false" ht="15" hidden="false" customHeight="false" outlineLevel="0" collapsed="false">
      <c r="I152" s="32" t="s">
        <v>63</v>
      </c>
      <c r="J152" s="30" t="n">
        <f aca="false">SUMIFS(Purchase_Register!$AK$6:$AK$205,Purchase_Register!$AQ$6:$AQ$205,$I152)/100000</f>
        <v>59.019183</v>
      </c>
      <c r="M152" s="34" t="str">
        <f aca="false">Cash_Forecast!C16</f>
        <v>Jun-27</v>
      </c>
      <c r="N152" s="35" t="n">
        <f aca="false">Cash_Forecast!F16/100000</f>
        <v>0</v>
      </c>
      <c r="O152" s="35" t="n">
        <f aca="false">Cash_Forecast!I16/100000</f>
        <v>0</v>
      </c>
      <c r="P152" s="35" t="n">
        <f aca="false">Cash_Forecast!J16/100000</f>
        <v>0</v>
      </c>
    </row>
    <row r="153" customFormat="false" ht="30" hidden="false" customHeight="true" outlineLevel="0" collapsed="false">
      <c r="M153" s="28" t="s">
        <v>64</v>
      </c>
      <c r="N153" s="28" t="s">
        <v>65</v>
      </c>
      <c r="O153" s="28" t="s">
        <v>29</v>
      </c>
      <c r="P153" s="28" t="s">
        <v>66</v>
      </c>
    </row>
    <row r="154" customFormat="false" ht="15" hidden="false" customHeight="false" outlineLevel="0" collapsed="false">
      <c r="M154" s="29" t="str">
        <f aca="false">INDEX(Budget_Control!$A$5:$A$24,MATCH(LARGE(Budget_Control!$N$5:$N$24,1),Budget_Control!$N$5:$N$24,0))&amp;""</f>
        <v>Lasting &amp; Assembly</v>
      </c>
      <c r="N154" s="35" t="n">
        <f aca="false">IF($M154="","",N(INDEX(Budget_Control!$H$5:$H$24,MATCH(LARGE(Budget_Control!$N$5:$N$24,1),Budget_Control!$N$5:$N$24,0)))/100000)</f>
        <v>340</v>
      </c>
      <c r="O154" s="35" t="n">
        <f aca="false">IF($M154="","",N(INDEX(Budget_Control!$I$5:$I$24,MATCH(LARGE(Budget_Control!$N$5:$N$24,1),Budget_Control!$N$5:$N$24,0)))/100000)</f>
        <v>100.693427</v>
      </c>
      <c r="P154" s="38" t="n">
        <f aca="false">IF(OR($M154="",N(N154)=0),"",O154/N154)</f>
        <v>0.296157138235294</v>
      </c>
    </row>
    <row r="155" customFormat="false" ht="15" hidden="false" customHeight="false" outlineLevel="0" collapsed="false">
      <c r="M155" s="29" t="str">
        <f aca="false">INDEX(Budget_Control!$A$5:$A$24,MATCH(LARGE(Budget_Control!$N$5:$N$24,2),Budget_Control!$N$5:$N$24,0))&amp;""</f>
        <v>Cutting</v>
      </c>
      <c r="N155" s="35" t="n">
        <f aca="false">IF($M155="","",N(INDEX(Budget_Control!$H$5:$H$24,MATCH(LARGE(Budget_Control!$N$5:$N$24,2),Budget_Control!$N$5:$N$24,0)))/100000)</f>
        <v>320</v>
      </c>
      <c r="O155" s="35" t="n">
        <f aca="false">IF($M155="","",N(INDEX(Budget_Control!$I$5:$I$24,MATCH(LARGE(Budget_Control!$N$5:$N$24,2),Budget_Control!$N$5:$N$24,0)))/100000)</f>
        <v>279.3570485</v>
      </c>
      <c r="P155" s="38" t="n">
        <f aca="false">IF(OR($M155="",N(N155)=0),"",O155/N155)</f>
        <v>0.8729907765625</v>
      </c>
    </row>
    <row r="156" customFormat="false" ht="15" hidden="false" customHeight="false" outlineLevel="0" collapsed="false">
      <c r="M156" s="29" t="str">
        <f aca="false">INDEX(Budget_Control!$A$5:$A$24,MATCH(LARGE(Budget_Control!$N$5:$N$24,3),Budget_Control!$N$5:$N$24,0))&amp;""</f>
        <v>Stitching</v>
      </c>
      <c r="N156" s="35" t="n">
        <f aca="false">IF($M156="","",N(INDEX(Budget_Control!$H$5:$H$24,MATCH(LARGE(Budget_Control!$N$5:$N$24,3),Budget_Control!$N$5:$N$24,0)))/100000)</f>
        <v>150</v>
      </c>
      <c r="O156" s="35" t="n">
        <f aca="false">IF($M156="","",N(INDEX(Budget_Control!$I$5:$I$24,MATCH(LARGE(Budget_Control!$N$5:$N$24,3),Budget_Control!$N$5:$N$24,0)))/100000)</f>
        <v>13.310388</v>
      </c>
      <c r="P156" s="38" t="n">
        <f aca="false">IF(OR($M156="",N(N156)=0),"",O156/N156)</f>
        <v>0.08873592</v>
      </c>
    </row>
    <row r="157" customFormat="false" ht="15" hidden="false" customHeight="false" outlineLevel="0" collapsed="false">
      <c r="M157" s="29" t="str">
        <f aca="false">INDEX(Budget_Control!$A$5:$A$24,MATCH(LARGE(Budget_Control!$N$5:$N$24,4),Budget_Control!$N$5:$N$24,0))&amp;""</f>
        <v>Finishing &amp; Packing</v>
      </c>
      <c r="N157" s="35" t="n">
        <f aca="false">IF($M157="","",N(INDEX(Budget_Control!$H$5:$H$24,MATCH(LARGE(Budget_Control!$N$5:$N$24,4),Budget_Control!$N$5:$N$24,0)))/100000)</f>
        <v>140</v>
      </c>
      <c r="O157" s="35" t="n">
        <f aca="false">IF($M157="","",N(INDEX(Budget_Control!$I$5:$I$24,MATCH(LARGE(Budget_Control!$N$5:$N$24,4),Budget_Control!$N$5:$N$24,0)))/100000)</f>
        <v>9.345063</v>
      </c>
      <c r="P157" s="38" t="n">
        <f aca="false">IF(OR($M157="",N(N157)=0),"",O157/N157)</f>
        <v>0.06675045</v>
      </c>
    </row>
    <row r="158" customFormat="false" ht="15" hidden="false" customHeight="false" outlineLevel="0" collapsed="false">
      <c r="M158" s="29" t="str">
        <f aca="false">INDEX(Budget_Control!$A$5:$A$24,MATCH(LARGE(Budget_Control!$N$5:$N$24,5),Budget_Control!$N$5:$N$24,0))&amp;""</f>
        <v>Maintenance</v>
      </c>
      <c r="N158" s="35" t="n">
        <f aca="false">IF($M158="","",N(INDEX(Budget_Control!$H$5:$H$24,MATCH(LARGE(Budget_Control!$N$5:$N$24,5),Budget_Control!$N$5:$N$24,0)))/100000)</f>
        <v>100</v>
      </c>
      <c r="O158" s="35" t="n">
        <f aca="false">IF($M158="","",N(INDEX(Budget_Control!$I$5:$I$24,MATCH(LARGE(Budget_Control!$N$5:$N$24,5),Budget_Control!$N$5:$N$24,0)))/100000)</f>
        <v>120.38323395</v>
      </c>
      <c r="P158" s="38" t="n">
        <f aca="false">IF(OR($M158="",N(N158)=0),"",O158/N158)</f>
        <v>1.2038323395</v>
      </c>
    </row>
    <row r="159" customFormat="false" ht="15" hidden="false" customHeight="false" outlineLevel="0" collapsed="false">
      <c r="M159" s="29" t="str">
        <f aca="false">INDEX(Budget_Control!$A$5:$A$24,MATCH(LARGE(Budget_Control!$N$5:$N$24,6),Budget_Control!$N$5:$N$24,0))&amp;""</f>
        <v>Product Development</v>
      </c>
      <c r="N159" s="35" t="n">
        <f aca="false">IF($M159="","",N(INDEX(Budget_Control!$H$5:$H$24,MATCH(LARGE(Budget_Control!$N$5:$N$24,6),Budget_Control!$N$5:$N$24,0)))/100000)</f>
        <v>60</v>
      </c>
      <c r="O159" s="35" t="n">
        <f aca="false">IF($M159="","",N(INDEX(Budget_Control!$I$5:$I$24,MATCH(LARGE(Budget_Control!$N$5:$N$24,6),Budget_Control!$N$5:$N$24,0)))/100000)</f>
        <v>0</v>
      </c>
      <c r="P159" s="38" t="n">
        <f aca="false">IF(OR($M159="",N(N159)=0),"",O159/N159)</f>
        <v>0</v>
      </c>
    </row>
    <row r="160" customFormat="false" ht="15" hidden="false" customHeight="false" outlineLevel="0" collapsed="false">
      <c r="M160" s="29" t="str">
        <f aca="false">INDEX(Budget_Control!$A$5:$A$24,MATCH(LARGE(Budget_Control!$N$5:$N$24,7),Budget_Control!$N$5:$N$24,0))&amp;""</f>
        <v>IT</v>
      </c>
      <c r="N160" s="35" t="n">
        <f aca="false">IF($M160="","",N(INDEX(Budget_Control!$H$5:$H$24,MATCH(LARGE(Budget_Control!$N$5:$N$24,7),Budget_Control!$N$5:$N$24,0)))/100000)</f>
        <v>30</v>
      </c>
      <c r="O160" s="35" t="n">
        <f aca="false">IF($M160="","",N(INDEX(Budget_Control!$I$5:$I$24,MATCH(LARGE(Budget_Control!$N$5:$N$24,7),Budget_Control!$N$5:$N$24,0)))/100000)</f>
        <v>7.6182015</v>
      </c>
      <c r="P160" s="38" t="n">
        <f aca="false">IF(OR($M160="",N(N160)=0),"",O160/N160)</f>
        <v>0.25394005</v>
      </c>
    </row>
    <row r="161" customFormat="false" ht="15" hidden="false" customHeight="false" outlineLevel="0" collapsed="false">
      <c r="M161" s="29" t="str">
        <f aca="false">INDEX(Budget_Control!$A$5:$A$24,MATCH(LARGE(Budget_Control!$N$5:$N$24,8),Budget_Control!$N$5:$N$24,0))&amp;""</f>
        <v>Store &amp; Warehouse</v>
      </c>
      <c r="N161" s="35" t="n">
        <f aca="false">IF($M161="","",N(INDEX(Budget_Control!$H$5:$H$24,MATCH(LARGE(Budget_Control!$N$5:$N$24,8),Budget_Control!$N$5:$N$24,0)))/100000)</f>
        <v>30</v>
      </c>
      <c r="O161" s="35" t="n">
        <f aca="false">IF($M161="","",N(INDEX(Budget_Control!$I$5:$I$24,MATCH(LARGE(Budget_Control!$N$5:$N$24,8),Budget_Control!$N$5:$N$24,0)))/100000)</f>
        <v>0</v>
      </c>
      <c r="P161" s="38" t="n">
        <f aca="false">IF(OR($M161="",N(N161)=0),"",O161/N161)</f>
        <v>0</v>
      </c>
    </row>
    <row r="162" customFormat="false" ht="15" hidden="false" customHeight="false" outlineLevel="0" collapsed="false">
      <c r="M162" s="29" t="str">
        <f aca="false">INDEX(Budget_Control!$A$5:$A$24,MATCH(LARGE(Budget_Control!$N$5:$N$24,9),Budget_Control!$N$5:$N$24,0))&amp;""</f>
        <v>Compliance &amp; HSE</v>
      </c>
      <c r="N162" s="35" t="n">
        <f aca="false">IF($M162="","",N(INDEX(Budget_Control!$H$5:$H$24,MATCH(LARGE(Budget_Control!$N$5:$N$24,9),Budget_Control!$N$5:$N$24,0)))/100000)</f>
        <v>25</v>
      </c>
      <c r="O162" s="35" t="n">
        <f aca="false">IF($M162="","",N(INDEX(Budget_Control!$I$5:$I$24,MATCH(LARGE(Budget_Control!$N$5:$N$24,9),Budget_Control!$N$5:$N$24,0)))/100000)</f>
        <v>6.18125</v>
      </c>
      <c r="P162" s="38" t="n">
        <f aca="false">IF(OR($M162="",N(N162)=0),"",O162/N162)</f>
        <v>0.24725</v>
      </c>
    </row>
    <row r="163" customFormat="false" ht="15" hidden="false" customHeight="false" outlineLevel="0" collapsed="false">
      <c r="M163" s="29" t="str">
        <f aca="false">INDEX(Budget_Control!$A$5:$A$24,MATCH(LARGE(Budget_Control!$N$5:$N$24,10),Budget_Control!$N$5:$N$24,0))&amp;""</f>
        <v>Admin</v>
      </c>
      <c r="N163" s="35" t="n">
        <f aca="false">IF($M163="","",N(INDEX(Budget_Control!$H$5:$H$24,MATCH(LARGE(Budget_Control!$N$5:$N$24,10),Budget_Control!$N$5:$N$24,0)))/100000)</f>
        <v>20</v>
      </c>
      <c r="O163" s="35" t="n">
        <f aca="false">IF($M163="","",N(INDEX(Budget_Control!$I$5:$I$24,MATCH(LARGE(Budget_Control!$N$5:$N$24,10),Budget_Control!$N$5:$N$24,0)))/100000)</f>
        <v>0</v>
      </c>
      <c r="P163" s="38" t="n">
        <f aca="false">IF(OR($M163="",N(N163)=0),"",O163/N163)</f>
        <v>0</v>
      </c>
    </row>
  </sheetData>
  <sheetProtection sheet="true" formatCells="false" formatColumns="false" formatRows="false" sort="false" autoFilter="false"/>
  <mergeCells count="62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7:D7"/>
    <mergeCell ref="F7:I7"/>
    <mergeCell ref="K7:N7"/>
    <mergeCell ref="P7:S7"/>
    <mergeCell ref="U7:X7"/>
    <mergeCell ref="A8:D8"/>
    <mergeCell ref="F8:I8"/>
    <mergeCell ref="K8:N8"/>
    <mergeCell ref="P8:S8"/>
    <mergeCell ref="U8:X8"/>
    <mergeCell ref="A10:D10"/>
    <mergeCell ref="F10:I10"/>
    <mergeCell ref="K10:N10"/>
    <mergeCell ref="P10:S10"/>
    <mergeCell ref="U10:X10"/>
    <mergeCell ref="A11:D11"/>
    <mergeCell ref="F11:I11"/>
    <mergeCell ref="K11:N11"/>
    <mergeCell ref="P11:S11"/>
    <mergeCell ref="U11:X11"/>
    <mergeCell ref="A13:D13"/>
    <mergeCell ref="F13:I13"/>
    <mergeCell ref="K13:N13"/>
    <mergeCell ref="P13:S13"/>
    <mergeCell ref="U13:X13"/>
    <mergeCell ref="A14:D14"/>
    <mergeCell ref="F14:I14"/>
    <mergeCell ref="K14:N14"/>
    <mergeCell ref="P14:S14"/>
    <mergeCell ref="U14:X14"/>
    <mergeCell ref="A16:D16"/>
    <mergeCell ref="F16:I16"/>
    <mergeCell ref="K16:N16"/>
    <mergeCell ref="P16:S16"/>
    <mergeCell ref="U16:X16"/>
    <mergeCell ref="A17:D17"/>
    <mergeCell ref="F17:I17"/>
    <mergeCell ref="K17:N17"/>
    <mergeCell ref="P17:S17"/>
    <mergeCell ref="U17:X17"/>
    <mergeCell ref="A19:E19"/>
    <mergeCell ref="F19:P19"/>
    <mergeCell ref="Q19:X19"/>
    <mergeCell ref="A21:X21"/>
    <mergeCell ref="A22:X22"/>
    <mergeCell ref="A23:X23"/>
    <mergeCell ref="A24:X24"/>
    <mergeCell ref="A25:X25"/>
    <mergeCell ref="A26:X26"/>
    <mergeCell ref="A27:X27"/>
  </mergeCells>
  <conditionalFormatting sqref="F19:P19">
    <cfRule type="expression" priority="2" aboveAverage="0" equalAverage="0" bottom="0" percent="0" rank="0" text="" dxfId="0">
      <formula>LEFT($F$19,16)="DATA CHECK: all "</formula>
    </cfRule>
    <cfRule type="expression" priority="3" aboveAverage="0" equalAverage="0" bottom="0" percent="0" rank="0" text="" dxfId="1">
      <formula>LEFT($F$19,16)&lt;&gt;"DATA CHECK: all 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tru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1" min="10" style="0" width="15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39" t="s">
        <v>67</v>
      </c>
    </row>
    <row r="2" customFormat="false" ht="15" hidden="false" customHeight="false" outlineLevel="0" collapsed="false">
      <c r="A2" s="40" t="s">
        <v>68</v>
      </c>
    </row>
    <row r="3" customFormat="false" ht="21.75" hidden="false" customHeight="true" outlineLevel="0" collapsed="false">
      <c r="C3" s="10" t="s">
        <v>69</v>
      </c>
      <c r="D3" s="10"/>
      <c r="E3" s="41" t="s">
        <v>70</v>
      </c>
      <c r="F3" s="42" t="s">
        <v>71</v>
      </c>
      <c r="G3" s="10" t="s">
        <v>72</v>
      </c>
      <c r="H3" s="10"/>
      <c r="I3" s="41" t="s">
        <v>73</v>
      </c>
      <c r="J3" s="10" t="s">
        <v>74</v>
      </c>
      <c r="K3" s="10"/>
      <c r="L3" s="10"/>
    </row>
    <row r="4" customFormat="false" ht="27.75" hidden="false" customHeight="true" outlineLevel="0" collapsed="false">
      <c r="C4" s="43" t="n">
        <f aca="false">COUNTIF(Purchase_Register!$BL$6:$BL$205,"High")</f>
        <v>12</v>
      </c>
      <c r="D4" s="43"/>
      <c r="E4" s="44" t="n">
        <f aca="false">COUNTIF(Purchase_Register!$BL$6:$BL$205,"Medium")</f>
        <v>7</v>
      </c>
      <c r="F4" s="45" t="n">
        <f aca="false">COUNTIF(Purchase_Register!$BL$6:$BL$205,"Low")</f>
        <v>3</v>
      </c>
      <c r="G4" s="43" t="n">
        <f aca="false">SUMIFS(Purchase_Register!$AK$6:$AK$205,Purchase_Register!$AP$6:$AP$205,"&gt;0")</f>
        <v>3323763.24</v>
      </c>
      <c r="H4" s="43"/>
      <c r="I4" s="44" t="n">
        <f aca="false">SUM(Purchase_Register!$AL$6:$AL$205)</f>
        <v>4278510</v>
      </c>
      <c r="J4" s="43" t="n">
        <f aca="false">COUNTIFS(Purchase_Register!$O$6:$O$205,"&lt;&gt;",Purchase_Register!$AY$6:$AY$205,"",Purchase_Register!$BD$6:$BD$205,"&gt;0")</f>
        <v>0</v>
      </c>
      <c r="K4" s="43"/>
      <c r="L4" s="43"/>
    </row>
    <row r="6" customFormat="false" ht="31.5" hidden="false" customHeight="true" outlineLevel="0" collapsed="false">
      <c r="A6" s="28" t="s">
        <v>75</v>
      </c>
      <c r="B6" s="28" t="s">
        <v>76</v>
      </c>
      <c r="C6" s="28" t="s">
        <v>77</v>
      </c>
      <c r="D6" s="28" t="s">
        <v>78</v>
      </c>
      <c r="E6" s="28" t="s">
        <v>79</v>
      </c>
      <c r="F6" s="28" t="s">
        <v>80</v>
      </c>
      <c r="G6" s="28" t="s">
        <v>64</v>
      </c>
      <c r="H6" s="28" t="s">
        <v>81</v>
      </c>
      <c r="I6" s="28" t="s">
        <v>82</v>
      </c>
      <c r="J6" s="28" t="s">
        <v>83</v>
      </c>
      <c r="K6" s="28" t="s">
        <v>84</v>
      </c>
      <c r="L6" s="28" t="s">
        <v>85</v>
      </c>
    </row>
    <row r="7" customFormat="false" ht="15" hidden="false" customHeight="false" outlineLevel="0" collapsed="false">
      <c r="A7" s="33" t="n">
        <f aca="false">IF(ROWS($A$7:A7)&gt;COUNT(Purchase_Register!$BM$6:$BM$205),"",ROWS($A$7:A7))</f>
        <v>1</v>
      </c>
      <c r="B7" s="33" t="n">
        <f aca="false">IF($A7="","",MATCH(SMALL(Purchase_Register!$BM$6:$BM$205,$A7),Purchase_Register!$BM$6:$BM$205,0))</f>
        <v>2</v>
      </c>
      <c r="C7" s="46" t="str">
        <f aca="false">IF($B7="","",INDEX(Purchase_Register!$BL$6:$BL$205,$B7)&amp;"")</f>
        <v>High</v>
      </c>
      <c r="D7" s="31" t="str">
        <f aca="false">IF($B7="","",INDEX(Purchase_Register!$A$6:$A$205,$B7)&amp;"")</f>
        <v>PSIL-PR-2026-0002</v>
      </c>
      <c r="E7" s="32" t="str">
        <f aca="false">IF($B7="","",INDEX(Purchase_Register!$E$6:$E$205,$B7)&amp;"")</f>
        <v>Suede Split Leather</v>
      </c>
      <c r="F7" s="32" t="str">
        <f aca="false">IF($B7="","",INDEX(Purchase_Register!$M$6:$M$205,$B7)&amp;"")</f>
        <v>Savar Leather Works Ltd</v>
      </c>
      <c r="G7" s="32" t="str">
        <f aca="false">IF($B7="","",INDEX(Purchase_Register!$C$6:$C$205,$B7)&amp;"")</f>
        <v>Cutting</v>
      </c>
      <c r="H7" s="32" t="str">
        <f aca="false">IF($B7="","",INDEX(Purchase_Register!$BI$6:$BI$205,$B7)&amp;"")</f>
        <v>Closed</v>
      </c>
      <c r="I7" s="32" t="str">
        <f aca="false">IF($B7="","",INDEX(Purchase_Register!$AX$6:$AX$205,$B7)&amp;"")</f>
        <v>All In-house</v>
      </c>
      <c r="J7" s="47" t="n">
        <f aca="false">IF($B7="","",N(INDEX(Purchase_Register!$AK$6:$AK$205,$B7)))</f>
        <v>0</v>
      </c>
      <c r="K7" s="47" t="n">
        <f aca="false">IF($B7="","",N(INDEX(Purchase_Register!$AL$6:$AL$205,$B7)))</f>
        <v>0</v>
      </c>
      <c r="L7" s="32" t="str">
        <f aca="false">IF($B7="","",INDEX(Purchase_Register!$BK$6:$BK$205,$B7)&amp;"")</f>
        <v>QC rejected: return / replace; </v>
      </c>
    </row>
    <row r="8" customFormat="false" ht="15" hidden="false" customHeight="false" outlineLevel="0" collapsed="false">
      <c r="A8" s="33" t="n">
        <f aca="false">IF(ROWS($A$7:A8)&gt;COUNT(Purchase_Register!$BM$6:$BM$205),"",ROWS($A$7:A8))</f>
        <v>2</v>
      </c>
      <c r="B8" s="33" t="n">
        <f aca="false">IF($A8="","",MATCH(SMALL(Purchase_Register!$BM$6:$BM$205,$A8),Purchase_Register!$BM$6:$BM$205,0))</f>
        <v>5</v>
      </c>
      <c r="C8" s="46" t="str">
        <f aca="false">IF($B8="","",INDEX(Purchase_Register!$BL$6:$BL$205,$B8)&amp;"")</f>
        <v>High</v>
      </c>
      <c r="D8" s="31" t="str">
        <f aca="false">IF($B8="","",INDEX(Purchase_Register!$A$6:$A$205,$B8)&amp;"")</f>
        <v>PSIL-PR-2026-0005</v>
      </c>
      <c r="E8" s="32" t="str">
        <f aca="false">IF($B8="","",INDEX(Purchase_Register!$E$6:$E$205,$B8)&amp;"")</f>
        <v>Rubber Outsole – Men's Derby</v>
      </c>
      <c r="F8" s="32" t="str">
        <f aca="false">IF($B8="","",INDEX(Purchase_Register!$M$6:$M$205,$B8)&amp;"")</f>
        <v>Bengal Sole Industries</v>
      </c>
      <c r="G8" s="32" t="str">
        <f aca="false">IF($B8="","",INDEX(Purchase_Register!$C$6:$C$205,$B8)&amp;"")</f>
        <v>Lasting &amp; Assembly</v>
      </c>
      <c r="H8" s="32" t="str">
        <f aca="false">IF($B8="","",INDEX(Purchase_Register!$BI$6:$BI$205,$B8)&amp;"")</f>
        <v>In-house Closed - Payment Due</v>
      </c>
      <c r="I8" s="32" t="str">
        <f aca="false">IF($B8="","",INDEX(Purchase_Register!$AX$6:$AX$205,$B8)&amp;"")</f>
        <v>Short Closed - 561 pair not received</v>
      </c>
      <c r="J8" s="47" t="n">
        <f aca="false">IF($B8="","",N(INDEX(Purchase_Register!$AK$6:$AK$205,$B8)))</f>
        <v>1074150</v>
      </c>
      <c r="K8" s="47" t="n">
        <f aca="false">IF($B8="","",N(INDEX(Purchase_Register!$AL$6:$AL$205,$B8)))</f>
        <v>0</v>
      </c>
      <c r="L8" s="32" t="str">
        <f aca="false">IF($B8="","",INDEX(Purchase_Register!$BK$6:$BK$205,$B8)&amp;"")</f>
        <v>Pay supplier: 71 days overdue; Short closed: claim balance / credit note; </v>
      </c>
    </row>
    <row r="9" customFormat="false" ht="15" hidden="false" customHeight="false" outlineLevel="0" collapsed="false">
      <c r="A9" s="33" t="n">
        <f aca="false">IF(ROWS($A$7:A9)&gt;COUNT(Purchase_Register!$BM$6:$BM$205),"",ROWS($A$7:A9))</f>
        <v>3</v>
      </c>
      <c r="B9" s="33" t="n">
        <f aca="false">IF($A9="","",MATCH(SMALL(Purchase_Register!$BM$6:$BM$205,$A9),Purchase_Register!$BM$6:$BM$205,0))</f>
        <v>8</v>
      </c>
      <c r="C9" s="46" t="str">
        <f aca="false">IF($B9="","",INDEX(Purchase_Register!$BL$6:$BL$205,$B9)&amp;"")</f>
        <v>High</v>
      </c>
      <c r="D9" s="31" t="str">
        <f aca="false">IF($B9="","",INDEX(Purchase_Register!$A$6:$A$205,$B9)&amp;"")</f>
        <v>PSIL-PR-2026-0008</v>
      </c>
      <c r="E9" s="32" t="str">
        <f aca="false">IF($B9="","",INDEX(Purchase_Register!$E$6:$E$205,$B9)&amp;"")</f>
        <v>PU Adhesive (Solvent Based)</v>
      </c>
      <c r="F9" s="32" t="str">
        <f aca="false">IF($B9="","",INDEX(Purchase_Register!$M$6:$M$205,$B9)&amp;"")</f>
        <v>Gazipur Chem Trade</v>
      </c>
      <c r="G9" s="32" t="str">
        <f aca="false">IF($B9="","",INDEX(Purchase_Register!$C$6:$C$205,$B9)&amp;"")</f>
        <v>Lasting &amp; Assembly</v>
      </c>
      <c r="H9" s="32" t="str">
        <f aca="false">IF($B9="","",INDEX(Purchase_Register!$BI$6:$BI$205,$B9)&amp;"")</f>
        <v>Closed</v>
      </c>
      <c r="I9" s="32" t="str">
        <f aca="false">IF($B9="","",INDEX(Purchase_Register!$AX$6:$AX$205,$B9)&amp;"")</f>
        <v>Short Closed - 36 kg not received</v>
      </c>
      <c r="J9" s="47" t="n">
        <f aca="false">IF($B9="","",N(INDEX(Purchase_Register!$AK$6:$AK$205,$B9)))</f>
        <v>0</v>
      </c>
      <c r="K9" s="47" t="n">
        <f aca="false">IF($B9="","",N(INDEX(Purchase_Register!$AL$6:$AL$205,$B9)))</f>
        <v>16680</v>
      </c>
      <c r="L9" s="32" t="str">
        <f aca="false">IF($B9="","",INDEX(Purchase_Register!$BK$6:$BK$205,$B9)&amp;"")</f>
        <v>Short closed: claim balance / credit note BDT 16,680; QC rejected: return / replace; </v>
      </c>
    </row>
    <row r="10" customFormat="false" ht="15" hidden="false" customHeight="false" outlineLevel="0" collapsed="false">
      <c r="A10" s="33" t="n">
        <f aca="false">IF(ROWS($A$7:A10)&gt;COUNT(Purchase_Register!$BM$6:$BM$205),"",ROWS($A$7:A10))</f>
        <v>4</v>
      </c>
      <c r="B10" s="33" t="n">
        <f aca="false">IF($A10="","",MATCH(SMALL(Purchase_Register!$BM$6:$BM$205,$A10),Purchase_Register!$BM$6:$BM$205,0))</f>
        <v>10</v>
      </c>
      <c r="C10" s="46" t="str">
        <f aca="false">IF($B10="","",INDEX(Purchase_Register!$BL$6:$BL$205,$B10)&amp;"")</f>
        <v>High</v>
      </c>
      <c r="D10" s="31" t="str">
        <f aca="false">IF($B10="","",INDEX(Purchase_Register!$A$6:$A$205,$B10)&amp;"")</f>
        <v>PSIL-PR-2026-0010</v>
      </c>
      <c r="E10" s="32" t="str">
        <f aca="false">IF($B10="","",INDEX(Purchase_Register!$E$6:$E$205,$B10)&amp;"")</f>
        <v>Bonded Nylon Thread</v>
      </c>
      <c r="F10" s="32" t="str">
        <f aca="false">IF($B10="","",INDEX(Purchase_Register!$M$6:$M$205,$B10)&amp;"")</f>
        <v>Delta Thread &amp; Trims</v>
      </c>
      <c r="G10" s="32" t="str">
        <f aca="false">IF($B10="","",INDEX(Purchase_Register!$C$6:$C$205,$B10)&amp;"")</f>
        <v>Stitching</v>
      </c>
      <c r="H10" s="32" t="str">
        <f aca="false">IF($B10="","",INDEX(Purchase_Register!$BI$6:$BI$205,$B10)&amp;"")</f>
        <v>In-house Closed - Payment Due</v>
      </c>
      <c r="I10" s="32" t="str">
        <f aca="false">IF($B10="","",INDEX(Purchase_Register!$AX$6:$AX$205,$B10)&amp;"")</f>
        <v>Short Closed - 49 cone not received</v>
      </c>
      <c r="J10" s="47" t="n">
        <f aca="false">IF($B10="","",N(INDEX(Purchase_Register!$AK$6:$AK$205,$B10)))</f>
        <v>300468</v>
      </c>
      <c r="K10" s="47" t="n">
        <f aca="false">IF($B10="","",N(INDEX(Purchase_Register!$AL$6:$AL$205,$B10)))</f>
        <v>0</v>
      </c>
      <c r="L10" s="32" t="str">
        <f aca="false">IF($B10="","",INDEX(Purchase_Register!$BK$6:$BK$205,$B10)&amp;"")</f>
        <v>Pay supplier: 70 days overdue; Short closed: claim balance / credit note; </v>
      </c>
    </row>
    <row r="11" customFormat="false" ht="15" hidden="false" customHeight="false" outlineLevel="0" collapsed="false">
      <c r="A11" s="33" t="n">
        <f aca="false">IF(ROWS($A$7:A11)&gt;COUNT(Purchase_Register!$BM$6:$BM$205),"",ROWS($A$7:A11))</f>
        <v>5</v>
      </c>
      <c r="B11" s="33" t="n">
        <f aca="false">IF($A11="","",MATCH(SMALL(Purchase_Register!$BM$6:$BM$205,$A11),Purchase_Register!$BM$6:$BM$205,0))</f>
        <v>11</v>
      </c>
      <c r="C11" s="46" t="str">
        <f aca="false">IF($B11="","",INDEX(Purchase_Register!$BL$6:$BL$205,$B11)&amp;"")</f>
        <v>High</v>
      </c>
      <c r="D11" s="31" t="str">
        <f aca="false">IF($B11="","",INDEX(Purchase_Register!$A$6:$A$205,$B11)&amp;"")</f>
        <v>PSIL-PR-2026-0011</v>
      </c>
      <c r="E11" s="32" t="str">
        <f aca="false">IF($B11="","",INDEX(Purchase_Register!$E$6:$E$205,$B11)&amp;"")</f>
        <v>Metal Eyelets &amp; Hooks</v>
      </c>
      <c r="F11" s="32" t="str">
        <f aca="false">IF($B11="","",INDEX(Purchase_Register!$M$6:$M$205,$B11)&amp;"")</f>
        <v>Delta Thread &amp; Trims</v>
      </c>
      <c r="G11" s="32" t="str">
        <f aca="false">IF($B11="","",INDEX(Purchase_Register!$C$6:$C$205,$B11)&amp;"")</f>
        <v>Stitching</v>
      </c>
      <c r="H11" s="32" t="str">
        <f aca="false">IF($B11="","",INDEX(Purchase_Register!$BI$6:$BI$205,$B11)&amp;"")</f>
        <v>In-house Closed - Payment Due</v>
      </c>
      <c r="I11" s="32" t="str">
        <f aca="false">IF($B11="","",INDEX(Purchase_Register!$AX$6:$AX$205,$B11)&amp;"")</f>
        <v>All In-house</v>
      </c>
      <c r="J11" s="47" t="n">
        <f aca="false">IF($B11="","",N(INDEX(Purchase_Register!$AK$6:$AK$205,$B11)))</f>
        <v>108675</v>
      </c>
      <c r="K11" s="47" t="n">
        <f aca="false">IF($B11="","",N(INDEX(Purchase_Register!$AL$6:$AL$205,$B11)))</f>
        <v>0</v>
      </c>
      <c r="L11" s="32" t="str">
        <f aca="false">IF($B11="","",INDEX(Purchase_Register!$BK$6:$BK$205,$B11)&amp;"")</f>
        <v>Pay supplier: 54 days overdue; </v>
      </c>
    </row>
    <row r="12" customFormat="false" ht="15" hidden="false" customHeight="false" outlineLevel="0" collapsed="false">
      <c r="A12" s="33" t="n">
        <f aca="false">IF(ROWS($A$7:A12)&gt;COUNT(Purchase_Register!$BM$6:$BM$205),"",ROWS($A$7:A12))</f>
        <v>6</v>
      </c>
      <c r="B12" s="33" t="n">
        <f aca="false">IF($A12="","",MATCH(SMALL(Purchase_Register!$BM$6:$BM$205,$A12),Purchase_Register!$BM$6:$BM$205,0))</f>
        <v>12</v>
      </c>
      <c r="C12" s="46" t="str">
        <f aca="false">IF($B12="","",INDEX(Purchase_Register!$BL$6:$BL$205,$B12)&amp;"")</f>
        <v>High</v>
      </c>
      <c r="D12" s="31" t="str">
        <f aca="false">IF($B12="","",INDEX(Purchase_Register!$A$6:$A$205,$B12)&amp;"")</f>
        <v>PSIL-PR-2026-0012</v>
      </c>
      <c r="E12" s="32" t="str">
        <f aca="false">IF($B12="","",INDEX(Purchase_Register!$E$6:$E$205,$B12)&amp;"")</f>
        <v>Waxed Cotton Laces</v>
      </c>
      <c r="F12" s="32" t="str">
        <f aca="false">IF($B12="","",INDEX(Purchase_Register!$M$6:$M$205,$B12)&amp;"")</f>
        <v>Delta Thread &amp; Trims</v>
      </c>
      <c r="G12" s="32" t="str">
        <f aca="false">IF($B12="","",INDEX(Purchase_Register!$C$6:$C$205,$B12)&amp;"")</f>
        <v>Stitching</v>
      </c>
      <c r="H12" s="32" t="str">
        <f aca="false">IF($B12="","",INDEX(Purchase_Register!$BI$6:$BI$205,$B12)&amp;"")</f>
        <v>Closed</v>
      </c>
      <c r="I12" s="32" t="str">
        <f aca="false">IF($B12="","",INDEX(Purchase_Register!$AX$6:$AX$205,$B12)&amp;"")</f>
        <v>All In-house</v>
      </c>
      <c r="J12" s="47" t="n">
        <f aca="false">IF($B12="","",N(INDEX(Purchase_Register!$AK$6:$AK$205,$B12)))</f>
        <v>0</v>
      </c>
      <c r="K12" s="47" t="n">
        <f aca="false">IF($B12="","",N(INDEX(Purchase_Register!$AL$6:$AL$205,$B12)))</f>
        <v>0</v>
      </c>
      <c r="L12" s="32" t="str">
        <f aca="false">IF($B12="","",INDEX(Purchase_Register!$BK$6:$BK$205,$B12)&amp;"")</f>
        <v>QC rejected: return / replace; </v>
      </c>
    </row>
    <row r="13" customFormat="false" ht="15" hidden="false" customHeight="false" outlineLevel="0" collapsed="false">
      <c r="A13" s="33" t="n">
        <f aca="false">IF(ROWS($A$7:A13)&gt;COUNT(Purchase_Register!$BM$6:$BM$205),"",ROWS($A$7:A13))</f>
        <v>7</v>
      </c>
      <c r="B13" s="33" t="n">
        <f aca="false">IF($A13="","",MATCH(SMALL(Purchase_Register!$BM$6:$BM$205,$A13),Purchase_Register!$BM$6:$BM$205,0))</f>
        <v>13</v>
      </c>
      <c r="C13" s="46" t="str">
        <f aca="false">IF($B13="","",INDEX(Purchase_Register!$BL$6:$BL$205,$B13)&amp;"")</f>
        <v>High</v>
      </c>
      <c r="D13" s="31" t="str">
        <f aca="false">IF($B13="","",INDEX(Purchase_Register!$A$6:$A$205,$B13)&amp;"")</f>
        <v>PSIL-PR-2026-0013</v>
      </c>
      <c r="E13" s="32" t="str">
        <f aca="false">IF($B13="","",INDEX(Purchase_Register!$E$6:$E$205,$B13)&amp;"")</f>
        <v>Cellulose Insole Board</v>
      </c>
      <c r="F13" s="32" t="str">
        <f aca="false">IF($B13="","",INDEX(Purchase_Register!$M$6:$M$205,$B13)&amp;"")</f>
        <v>Narayanganj Board Mills</v>
      </c>
      <c r="G13" s="32" t="str">
        <f aca="false">IF($B13="","",INDEX(Purchase_Register!$C$6:$C$205,$B13)&amp;"")</f>
        <v>Cutting</v>
      </c>
      <c r="H13" s="32" t="str">
        <f aca="false">IF($B13="","",INDEX(Purchase_Register!$BI$6:$BI$205,$B13)&amp;"")</f>
        <v>In-house Closed - Payment Due</v>
      </c>
      <c r="I13" s="32" t="str">
        <f aca="false">IF($B13="","",INDEX(Purchase_Register!$AX$6:$AX$205,$B13)&amp;"")</f>
        <v>All In-house</v>
      </c>
      <c r="J13" s="47" t="n">
        <f aca="false">IF($B13="","",N(INDEX(Purchase_Register!$AK$6:$AK$205,$B13)))</f>
        <v>352800</v>
      </c>
      <c r="K13" s="47" t="n">
        <f aca="false">IF($B13="","",N(INDEX(Purchase_Register!$AL$6:$AL$205,$B13)))</f>
        <v>0</v>
      </c>
      <c r="L13" s="32" t="str">
        <f aca="false">IF($B13="","",INDEX(Purchase_Register!$BK$6:$BK$205,$B13)&amp;"")</f>
        <v>Pay supplier: 31 days overdue; </v>
      </c>
    </row>
    <row r="14" customFormat="false" ht="15" hidden="false" customHeight="false" outlineLevel="0" collapsed="false">
      <c r="A14" s="33" t="n">
        <f aca="false">IF(ROWS($A$7:A14)&gt;COUNT(Purchase_Register!$BM$6:$BM$205),"",ROWS($A$7:A14))</f>
        <v>8</v>
      </c>
      <c r="B14" s="33" t="n">
        <f aca="false">IF($A14="","",MATCH(SMALL(Purchase_Register!$BM$6:$BM$205,$A14),Purchase_Register!$BM$6:$BM$205,0))</f>
        <v>17</v>
      </c>
      <c r="C14" s="46" t="str">
        <f aca="false">IF($B14="","",INDEX(Purchase_Register!$BL$6:$BL$205,$B14)&amp;"")</f>
        <v>High</v>
      </c>
      <c r="D14" s="31" t="str">
        <f aca="false">IF($B14="","",INDEX(Purchase_Register!$A$6:$A$205,$B14)&amp;"")</f>
        <v>PSIL-PR-2026-0017</v>
      </c>
      <c r="E14" s="32" t="str">
        <f aca="false">IF($B14="","",INDEX(Purchase_Register!$E$6:$E$205,$B14)&amp;"")</f>
        <v>Sewing Machine Needles &amp; Spares</v>
      </c>
      <c r="F14" s="32" t="str">
        <f aca="false">IF($B14="","",INDEX(Purchase_Register!$M$6:$M$205,$B14)&amp;"")</f>
        <v>Dhaka Spares &amp; Tools</v>
      </c>
      <c r="G14" s="32" t="str">
        <f aca="false">IF($B14="","",INDEX(Purchase_Register!$C$6:$C$205,$B14)&amp;"")</f>
        <v>Maintenance</v>
      </c>
      <c r="H14" s="32" t="str">
        <f aca="false">IF($B14="","",INDEX(Purchase_Register!$BI$6:$BI$205,$B14)&amp;"")</f>
        <v>In-house Closed - Payment Due</v>
      </c>
      <c r="I14" s="32" t="str">
        <f aca="false">IF($B14="","",INDEX(Purchase_Register!$AX$6:$AX$205,$B14)&amp;"")</f>
        <v>All In-house</v>
      </c>
      <c r="J14" s="47" t="n">
        <f aca="false">IF($B14="","",N(INDEX(Purchase_Register!$AK$6:$AK$205,$B14)))</f>
        <v>40248</v>
      </c>
      <c r="K14" s="47" t="n">
        <f aca="false">IF($B14="","",N(INDEX(Purchase_Register!$AL$6:$AL$205,$B14)))</f>
        <v>0</v>
      </c>
      <c r="L14" s="32" t="str">
        <f aca="false">IF($B14="","",INDEX(Purchase_Register!$BK$6:$BK$205,$B14)&amp;"")</f>
        <v>Pay supplier: 25 days overdue; QC rejected: return / replace; </v>
      </c>
    </row>
    <row r="15" customFormat="false" ht="15" hidden="false" customHeight="false" outlineLevel="0" collapsed="false">
      <c r="A15" s="33" t="n">
        <f aca="false">IF(ROWS($A$7:A15)&gt;COUNT(Purchase_Register!$BM$6:$BM$205),"",ROWS($A$7:A15))</f>
        <v>9</v>
      </c>
      <c r="B15" s="33" t="n">
        <f aca="false">IF($A15="","",MATCH(SMALL(Purchase_Register!$BM$6:$BM$205,$A15),Purchase_Register!$BM$6:$BM$205,0))</f>
        <v>18</v>
      </c>
      <c r="C15" s="46" t="str">
        <f aca="false">IF($B15="","",INDEX(Purchase_Register!$BL$6:$BL$205,$B15)&amp;"")</f>
        <v>High</v>
      </c>
      <c r="D15" s="31" t="str">
        <f aca="false">IF($B15="","",INDEX(Purchase_Register!$A$6:$A$205,$B15)&amp;"")</f>
        <v>PSIL-PR-2026-0018</v>
      </c>
      <c r="E15" s="32" t="str">
        <f aca="false">IF($B15="","",INDEX(Purchase_Register!$E$6:$E$205,$B15)&amp;"")</f>
        <v>Safety PPE (Masks, Gloves, Goggles)</v>
      </c>
      <c r="F15" s="32" t="str">
        <f aca="false">IF($B15="","",INDEX(Purchase_Register!$M$6:$M$205,$B15)&amp;"")</f>
        <v>Dhaka Spares &amp; Tools</v>
      </c>
      <c r="G15" s="32" t="str">
        <f aca="false">IF($B15="","",INDEX(Purchase_Register!$C$6:$C$205,$B15)&amp;"")</f>
        <v>Compliance &amp; HSE</v>
      </c>
      <c r="H15" s="32" t="str">
        <f aca="false">IF($B15="","",INDEX(Purchase_Register!$BI$6:$BI$205,$B15)&amp;"")</f>
        <v>In-house Closed - Payment Due</v>
      </c>
      <c r="I15" s="32" t="str">
        <f aca="false">IF($B15="","",INDEX(Purchase_Register!$AX$6:$AX$205,$B15)&amp;"")</f>
        <v>All In-house</v>
      </c>
      <c r="J15" s="47" t="n">
        <f aca="false">IF($B15="","",N(INDEX(Purchase_Register!$AK$6:$AK$205,$B15)))</f>
        <v>107392.5</v>
      </c>
      <c r="K15" s="47" t="n">
        <f aca="false">IF($B15="","",N(INDEX(Purchase_Register!$AL$6:$AL$205,$B15)))</f>
        <v>0</v>
      </c>
      <c r="L15" s="32" t="str">
        <f aca="false">IF($B15="","",INDEX(Purchase_Register!$BK$6:$BK$205,$B15)&amp;"")</f>
        <v>Pay supplier: 36 days overdue; </v>
      </c>
    </row>
    <row r="16" customFormat="false" ht="15" hidden="false" customHeight="false" outlineLevel="0" collapsed="false">
      <c r="A16" s="33" t="n">
        <f aca="false">IF(ROWS($A$7:A16)&gt;COUNT(Purchase_Register!$BM$6:$BM$205),"",ROWS($A$7:A16))</f>
        <v>10</v>
      </c>
      <c r="B16" s="33" t="n">
        <f aca="false">IF($A16="","",MATCH(SMALL(Purchase_Register!$BM$6:$BM$205,$A16),Purchase_Register!$BM$6:$BM$205,0))</f>
        <v>24</v>
      </c>
      <c r="C16" s="46" t="str">
        <f aca="false">IF($B16="","",INDEX(Purchase_Register!$BL$6:$BL$205,$B16)&amp;"")</f>
        <v>High</v>
      </c>
      <c r="D16" s="31" t="str">
        <f aca="false">IF($B16="","",INDEX(Purchase_Register!$A$6:$A$205,$B16)&amp;"")</f>
        <v>PSIL-PR-2026-0024</v>
      </c>
      <c r="E16" s="32" t="str">
        <f aca="false">IF($B16="","",INDEX(Purchase_Register!$E$6:$E$205,$B16)&amp;"")</f>
        <v>Pig Lining Leather</v>
      </c>
      <c r="F16" s="32" t="str">
        <f aca="false">IF($B16="","",INDEX(Purchase_Register!$M$6:$M$205,$B16)&amp;"")</f>
        <v>Savar Leather Works Ltd</v>
      </c>
      <c r="G16" s="32" t="str">
        <f aca="false">IF($B16="","",INDEX(Purchase_Register!$C$6:$C$205,$B16)&amp;"")</f>
        <v>Cutting</v>
      </c>
      <c r="H16" s="32" t="str">
        <f aca="false">IF($B16="","",INDEX(Purchase_Register!$BI$6:$BI$205,$B16)&amp;"")</f>
        <v>In-house Closed - Payment Due</v>
      </c>
      <c r="I16" s="32" t="str">
        <f aca="false">IF($B16="","",INDEX(Purchase_Register!$AX$6:$AX$205,$B16)&amp;"")</f>
        <v>All In-house</v>
      </c>
      <c r="J16" s="47" t="n">
        <f aca="false">IF($B16="","",N(INDEX(Purchase_Register!$AK$6:$AK$205,$B16)))</f>
        <v>814188.17</v>
      </c>
      <c r="K16" s="47" t="n">
        <f aca="false">IF($B16="","",N(INDEX(Purchase_Register!$AL$6:$AL$205,$B16)))</f>
        <v>0</v>
      </c>
      <c r="L16" s="32" t="str">
        <f aca="false">IF($B16="","",INDEX(Purchase_Register!$BK$6:$BK$205,$B16)&amp;"")</f>
        <v>Pay supplier: 22 days overdue; QC rejected: return / replace; </v>
      </c>
    </row>
    <row r="17" customFormat="false" ht="15" hidden="false" customHeight="false" outlineLevel="0" collapsed="false">
      <c r="A17" s="33" t="n">
        <f aca="false">IF(ROWS($A$7:A17)&gt;COUNT(Purchase_Register!$BM$6:$BM$205),"",ROWS($A$7:A17))</f>
        <v>11</v>
      </c>
      <c r="B17" s="33" t="n">
        <f aca="false">IF($A17="","",MATCH(SMALL(Purchase_Register!$BM$6:$BM$205,$A17),Purchase_Register!$BM$6:$BM$205,0))</f>
        <v>33</v>
      </c>
      <c r="C17" s="46" t="str">
        <f aca="false">IF($B17="","",INDEX(Purchase_Register!$BL$6:$BL$205,$B17)&amp;"")</f>
        <v>High</v>
      </c>
      <c r="D17" s="31" t="str">
        <f aca="false">IF($B17="","",INDEX(Purchase_Register!$A$6:$A$205,$B17)&amp;"")</f>
        <v>PSIL-PR-2026-0033</v>
      </c>
      <c r="E17" s="32" t="str">
        <f aca="false">IF($B17="","",INDEX(Purchase_Register!$E$6:$E$205,$B17)&amp;"")</f>
        <v>Cow Nappa Upper Leather</v>
      </c>
      <c r="F17" s="32" t="str">
        <f aca="false">IF($B17="","",INDEX(Purchase_Register!$M$6:$M$205,$B17)&amp;"")</f>
        <v>Savar Leather Works Ltd</v>
      </c>
      <c r="G17" s="32" t="str">
        <f aca="false">IF($B17="","",INDEX(Purchase_Register!$C$6:$C$205,$B17)&amp;"")</f>
        <v>Cutting</v>
      </c>
      <c r="H17" s="32" t="str">
        <f aca="false">IF($B17="","",INDEX(Purchase_Register!$BI$6:$BI$205,$B17)&amp;"")</f>
        <v>Closed</v>
      </c>
      <c r="I17" s="32" t="str">
        <f aca="false">IF($B17="","",INDEX(Purchase_Register!$AX$6:$AX$205,$B17)&amp;"")</f>
        <v>Short Closed - 915 sqft not received</v>
      </c>
      <c r="J17" s="47" t="n">
        <f aca="false">IF($B17="","",N(INDEX(Purchase_Register!$AK$6:$AK$205,$B17)))</f>
        <v>0</v>
      </c>
      <c r="K17" s="47" t="n">
        <f aca="false">IF($B17="","",N(INDEX(Purchase_Register!$AL$6:$AL$205,$B17)))</f>
        <v>281308</v>
      </c>
      <c r="L17" s="32" t="str">
        <f aca="false">IF($B17="","",INDEX(Purchase_Register!$BK$6:$BK$205,$B17)&amp;"")</f>
        <v>Short closed: claim balance / credit note BDT 281,308; </v>
      </c>
    </row>
    <row r="18" customFormat="false" ht="15" hidden="false" customHeight="false" outlineLevel="0" collapsed="false">
      <c r="A18" s="33" t="n">
        <f aca="false">IF(ROWS($A$7:A18)&gt;COUNT(Purchase_Register!$BM$6:$BM$205),"",ROWS($A$7:A18))</f>
        <v>12</v>
      </c>
      <c r="B18" s="33" t="n">
        <f aca="false">IF($A18="","",MATCH(SMALL(Purchase_Register!$BM$6:$BM$205,$A18),Purchase_Register!$BM$6:$BM$205,0))</f>
        <v>34</v>
      </c>
      <c r="C18" s="46" t="str">
        <f aca="false">IF($B18="","",INDEX(Purchase_Register!$BL$6:$BL$205,$B18)&amp;"")</f>
        <v>High</v>
      </c>
      <c r="D18" s="31" t="str">
        <f aca="false">IF($B18="","",INDEX(Purchase_Register!$A$6:$A$205,$B18)&amp;"")</f>
        <v>PSIL-PR-2026-0034</v>
      </c>
      <c r="E18" s="32" t="str">
        <f aca="false">IF($B18="","",INDEX(Purchase_Register!$E$6:$E$205,$B18)&amp;"")</f>
        <v>PU Adhesive (Solvent Based)</v>
      </c>
      <c r="F18" s="32" t="str">
        <f aca="false">IF($B18="","",INDEX(Purchase_Register!$M$6:$M$205,$B18)&amp;"")</f>
        <v>Gazipur Chem Trade</v>
      </c>
      <c r="G18" s="32" t="str">
        <f aca="false">IF($B18="","",INDEX(Purchase_Register!$C$6:$C$205,$B18)&amp;"")</f>
        <v>Lasting &amp; Assembly</v>
      </c>
      <c r="H18" s="32" t="str">
        <f aca="false">IF($B18="","",INDEX(Purchase_Register!$BI$6:$BI$205,$B18)&amp;"")</f>
        <v>In-house Closed - Payment Due</v>
      </c>
      <c r="I18" s="32" t="str">
        <f aca="false">IF($B18="","",INDEX(Purchase_Register!$AX$6:$AX$205,$B18)&amp;"")</f>
        <v>All In-house</v>
      </c>
      <c r="J18" s="47" t="n">
        <f aca="false">IF($B18="","",N(INDEX(Purchase_Register!$AK$6:$AK$205,$B18)))</f>
        <v>563730</v>
      </c>
      <c r="K18" s="47" t="n">
        <f aca="false">IF($B18="","",N(INDEX(Purchase_Register!$AL$6:$AL$205,$B18)))</f>
        <v>0</v>
      </c>
      <c r="L18" s="32" t="str">
        <f aca="false">IF($B18="","",INDEX(Purchase_Register!$BK$6:$BK$205,$B18)&amp;"")</f>
        <v>QC rejected: return / replace; </v>
      </c>
    </row>
    <row r="19" customFormat="false" ht="15" hidden="false" customHeight="false" outlineLevel="0" collapsed="false">
      <c r="A19" s="33" t="n">
        <f aca="false">IF(ROWS($A$7:A19)&gt;COUNT(Purchase_Register!$BM$6:$BM$205),"",ROWS($A$7:A19))</f>
        <v>13</v>
      </c>
      <c r="B19" s="33" t="n">
        <f aca="false">IF($A19="","",MATCH(SMALL(Purchase_Register!$BM$6:$BM$205,$A19),Purchase_Register!$BM$6:$BM$205,0))</f>
        <v>19</v>
      </c>
      <c r="C19" s="46" t="str">
        <f aca="false">IF($B19="","",INDEX(Purchase_Register!$BL$6:$BL$205,$B19)&amp;"")</f>
        <v>Medium</v>
      </c>
      <c r="D19" s="31" t="str">
        <f aca="false">IF($B19="","",INDEX(Purchase_Register!$A$6:$A$205,$B19)&amp;"")</f>
        <v>PSIL-PR-2026-0019</v>
      </c>
      <c r="E19" s="32" t="str">
        <f aca="false">IF($B19="","",INDEX(Purchase_Register!$E$6:$E$205,$B19)&amp;"")</f>
        <v>Computerised Post-bed Sewing Machine</v>
      </c>
      <c r="F19" s="32" t="str">
        <f aca="false">IF($B19="","",INDEX(Purchase_Register!$M$6:$M$205,$B19)&amp;"")</f>
        <v>Jiangsu Footwear Machinery Co.</v>
      </c>
      <c r="G19" s="32" t="str">
        <f aca="false">IF($B19="","",INDEX(Purchase_Register!$C$6:$C$205,$B19)&amp;"")</f>
        <v>Maintenance</v>
      </c>
      <c r="H19" s="32" t="str">
        <f aca="false">IF($B19="","",INDEX(Purchase_Register!$BI$6:$BI$205,$B19)&amp;"")</f>
        <v>In-house Closed - Payment Due</v>
      </c>
      <c r="I19" s="32" t="str">
        <f aca="false">IF($B19="","",INDEX(Purchase_Register!$AX$6:$AX$205,$B19)&amp;"")</f>
        <v>Short Closed - 1 unit not received</v>
      </c>
      <c r="J19" s="47" t="n">
        <f aca="false">IF($B19="","",N(INDEX(Purchase_Register!$AK$6:$AK$205,$B19)))</f>
        <v>2779880.68</v>
      </c>
      <c r="K19" s="47" t="n">
        <f aca="false">IF($B19="","",N(INDEX(Purchase_Register!$AL$6:$AL$205,$B19)))</f>
        <v>0</v>
      </c>
      <c r="L19" s="32" t="str">
        <f aca="false">IF($B19="","",INDEX(Purchase_Register!$BK$6:$BK$205,$B19)&amp;"")</f>
        <v>Short closed: claim balance / credit note; </v>
      </c>
    </row>
    <row r="20" customFormat="false" ht="15" hidden="false" customHeight="false" outlineLevel="0" collapsed="false">
      <c r="A20" s="33" t="n">
        <f aca="false">IF(ROWS($A$7:A20)&gt;COUNT(Purchase_Register!$BM$6:$BM$205),"",ROWS($A$7:A20))</f>
        <v>14</v>
      </c>
      <c r="B20" s="33" t="n">
        <f aca="false">IF($A20="","",MATCH(SMALL(Purchase_Register!$BM$6:$BM$205,$A20),Purchase_Register!$BM$6:$BM$205,0))</f>
        <v>23</v>
      </c>
      <c r="C20" s="46" t="str">
        <f aca="false">IF($B20="","",INDEX(Purchase_Register!$BL$6:$BL$205,$B20)&amp;"")</f>
        <v>Medium</v>
      </c>
      <c r="D20" s="31" t="str">
        <f aca="false">IF($B20="","",INDEX(Purchase_Register!$A$6:$A$205,$B20)&amp;"")</f>
        <v>PSIL-PR-2026-0023</v>
      </c>
      <c r="E20" s="32" t="str">
        <f aca="false">IF($B20="","",INDEX(Purchase_Register!$E$6:$E$205,$B20)&amp;"")</f>
        <v>Laptop for PPC &amp; Costing Team</v>
      </c>
      <c r="F20" s="32" t="str">
        <f aca="false">IF($B20="","",INDEX(Purchase_Register!$M$6:$M$205,$B20)&amp;"")</f>
        <v>Tech Point BD</v>
      </c>
      <c r="G20" s="32" t="str">
        <f aca="false">IF($B20="","",INDEX(Purchase_Register!$C$6:$C$205,$B20)&amp;"")</f>
        <v>IT</v>
      </c>
      <c r="H20" s="32" t="str">
        <f aca="false">IF($B20="","",INDEX(Purchase_Register!$BI$6:$BI$205,$B20)&amp;"")</f>
        <v>In-house Closed - Payment Due</v>
      </c>
      <c r="I20" s="32" t="str">
        <f aca="false">IF($B20="","",INDEX(Purchase_Register!$AX$6:$AX$205,$B20)&amp;"")</f>
        <v>All In-house</v>
      </c>
      <c r="J20" s="47" t="n">
        <f aca="false">IF($B20="","",N(INDEX(Purchase_Register!$AK$6:$AK$205,$B20)))</f>
        <v>380910.07</v>
      </c>
      <c r="K20" s="47" t="n">
        <f aca="false">IF($B20="","",N(INDEX(Purchase_Register!$AL$6:$AL$205,$B20)))</f>
        <v>0</v>
      </c>
      <c r="L20" s="32" t="str">
        <f aca="false">IF($B20="","",INDEX(Purchase_Register!$BK$6:$BK$205,$B20)&amp;"")</f>
        <v>Pay supplier: 19 days overdue; </v>
      </c>
    </row>
    <row r="21" customFormat="false" ht="15" hidden="false" customHeight="false" outlineLevel="0" collapsed="false">
      <c r="A21" s="33" t="n">
        <f aca="false">IF(ROWS($A$7:A21)&gt;COUNT(Purchase_Register!$BM$6:$BM$205),"",ROWS($A$7:A21))</f>
        <v>15</v>
      </c>
      <c r="B21" s="33" t="n">
        <f aca="false">IF($A21="","",MATCH(SMALL(Purchase_Register!$BM$6:$BM$205,$A21),Purchase_Register!$BM$6:$BM$205,0))</f>
        <v>30</v>
      </c>
      <c r="C21" s="46" t="str">
        <f aca="false">IF($B21="","",INDEX(Purchase_Register!$BL$6:$BL$205,$B21)&amp;"")</f>
        <v>Medium</v>
      </c>
      <c r="D21" s="31" t="str">
        <f aca="false">IF($B21="","",INDEX(Purchase_Register!$A$6:$A$205,$B21)&amp;"")</f>
        <v>PSIL-PR-2026-0030</v>
      </c>
      <c r="E21" s="32" t="str">
        <f aca="false">IF($B21="","",INDEX(Purchase_Register!$E$6:$E$205,$B21)&amp;"")</f>
        <v>Safety PPE (Masks, Gloves, Goggles)</v>
      </c>
      <c r="F21" s="32" t="str">
        <f aca="false">IF($B21="","",INDEX(Purchase_Register!$M$6:$M$205,$B21)&amp;"")</f>
        <v>Dhaka Spares &amp; Tools</v>
      </c>
      <c r="G21" s="32" t="str">
        <f aca="false">IF($B21="","",INDEX(Purchase_Register!$C$6:$C$205,$B21)&amp;"")</f>
        <v>Compliance &amp; HSE</v>
      </c>
      <c r="H21" s="32" t="str">
        <f aca="false">IF($B21="","",INDEX(Purchase_Register!$BI$6:$BI$205,$B21)&amp;"")</f>
        <v>In-house Closed - Payment Due</v>
      </c>
      <c r="I21" s="32" t="str">
        <f aca="false">IF($B21="","",INDEX(Purchase_Register!$AX$6:$AX$205,$B21)&amp;"")</f>
        <v>All In-house</v>
      </c>
      <c r="J21" s="47" t="n">
        <f aca="false">IF($B21="","",N(INDEX(Purchase_Register!$AK$6:$AK$205,$B21)))</f>
        <v>144931.5</v>
      </c>
      <c r="K21" s="47" t="n">
        <f aca="false">IF($B21="","",N(INDEX(Purchase_Register!$AL$6:$AL$205,$B21)))</f>
        <v>0</v>
      </c>
      <c r="L21" s="32" t="str">
        <f aca="false">IF($B21="","",INDEX(Purchase_Register!$BK$6:$BK$205,$B21)&amp;"")</f>
        <v>Pay supplier: 12 days overdue; </v>
      </c>
    </row>
    <row r="22" customFormat="false" ht="15" hidden="false" customHeight="false" outlineLevel="0" collapsed="false">
      <c r="A22" s="33" t="n">
        <f aca="false">IF(ROWS($A$7:A22)&gt;COUNT(Purchase_Register!$BM$6:$BM$205),"",ROWS($A$7:A22))</f>
        <v>16</v>
      </c>
      <c r="B22" s="33" t="n">
        <f aca="false">IF($A22="","",MATCH(SMALL(Purchase_Register!$BM$6:$BM$205,$A22),Purchase_Register!$BM$6:$BM$205,0))</f>
        <v>31</v>
      </c>
      <c r="C22" s="46" t="str">
        <f aca="false">IF($B22="","",INDEX(Purchase_Register!$BL$6:$BL$205,$B22)&amp;"")</f>
        <v>Medium</v>
      </c>
      <c r="D22" s="31" t="str">
        <f aca="false">IF($B22="","",INDEX(Purchase_Register!$A$6:$A$205,$B22)&amp;"")</f>
        <v>PSIL-PR-2026-0031</v>
      </c>
      <c r="E22" s="32" t="str">
        <f aca="false">IF($B22="","",INDEX(Purchase_Register!$E$6:$E$205,$B22)&amp;"")</f>
        <v>PU Adhesive (Solvent Based)</v>
      </c>
      <c r="F22" s="32" t="str">
        <f aca="false">IF($B22="","",INDEX(Purchase_Register!$M$6:$M$205,$B22)&amp;"")</f>
        <v>Gazipur Chem Trade</v>
      </c>
      <c r="G22" s="32" t="str">
        <f aca="false">IF($B22="","",INDEX(Purchase_Register!$C$6:$C$205,$B22)&amp;"")</f>
        <v>Lasting &amp; Assembly</v>
      </c>
      <c r="H22" s="32" t="str">
        <f aca="false">IF($B22="","",INDEX(Purchase_Register!$BI$6:$BI$205,$B22)&amp;"")</f>
        <v>In-house Closed - Payment Due</v>
      </c>
      <c r="I22" s="32" t="str">
        <f aca="false">IF($B22="","",INDEX(Purchase_Register!$AX$6:$AX$205,$B22)&amp;"")</f>
        <v>Short Closed - 34 kg not received</v>
      </c>
      <c r="J22" s="47" t="n">
        <f aca="false">IF($B22="","",N(INDEX(Purchase_Register!$AK$6:$AK$205,$B22)))</f>
        <v>612105</v>
      </c>
      <c r="K22" s="47" t="n">
        <f aca="false">IF($B22="","",N(INDEX(Purchase_Register!$AL$6:$AL$205,$B22)))</f>
        <v>0</v>
      </c>
      <c r="L22" s="32" t="str">
        <f aca="false">IF($B22="","",INDEX(Purchase_Register!$BK$6:$BK$205,$B22)&amp;"")</f>
        <v>Short closed: claim balance / credit note; </v>
      </c>
    </row>
    <row r="23" customFormat="false" ht="15" hidden="false" customHeight="false" outlineLevel="0" collapsed="false">
      <c r="A23" s="33" t="n">
        <f aca="false">IF(ROWS($A$7:A23)&gt;COUNT(Purchase_Register!$BM$6:$BM$205),"",ROWS($A$7:A23))</f>
        <v>17</v>
      </c>
      <c r="B23" s="33" t="n">
        <f aca="false">IF($A23="","",MATCH(SMALL(Purchase_Register!$BM$6:$BM$205,$A23),Purchase_Register!$BM$6:$BM$205,0))</f>
        <v>32</v>
      </c>
      <c r="C23" s="46" t="str">
        <f aca="false">IF($B23="","",INDEX(Purchase_Register!$BL$6:$BL$205,$B23)&amp;"")</f>
        <v>Medium</v>
      </c>
      <c r="D23" s="31" t="str">
        <f aca="false">IF($B23="","",INDEX(Purchase_Register!$A$6:$A$205,$B23)&amp;"")</f>
        <v>PSIL-PR-2026-0032</v>
      </c>
      <c r="E23" s="32" t="str">
        <f aca="false">IF($B23="","",INDEX(Purchase_Register!$E$6:$E$205,$B23)&amp;"")</f>
        <v>TPR Outsole – Ladies Casual</v>
      </c>
      <c r="F23" s="32" t="str">
        <f aca="false">IF($B23="","",INDEX(Purchase_Register!$M$6:$M$205,$B23)&amp;"")</f>
        <v>Bengal Sole Industries</v>
      </c>
      <c r="G23" s="32" t="str">
        <f aca="false">IF($B23="","",INDEX(Purchase_Register!$C$6:$C$205,$B23)&amp;"")</f>
        <v>Lasting &amp; Assembly</v>
      </c>
      <c r="H23" s="32" t="str">
        <f aca="false">IF($B23="","",INDEX(Purchase_Register!$BI$6:$BI$205,$B23)&amp;"")</f>
        <v>In-house Closed - Payment Due</v>
      </c>
      <c r="I23" s="32" t="str">
        <f aca="false">IF($B23="","",INDEX(Purchase_Register!$AX$6:$AX$205,$B23)&amp;"")</f>
        <v>Short Closed - 167 pair not received</v>
      </c>
      <c r="J23" s="47" t="n">
        <f aca="false">IF($B23="","",N(INDEX(Purchase_Register!$AK$6:$AK$205,$B23)))</f>
        <v>859320</v>
      </c>
      <c r="K23" s="47" t="n">
        <f aca="false">IF($B23="","",N(INDEX(Purchase_Register!$AL$6:$AL$205,$B23)))</f>
        <v>0</v>
      </c>
      <c r="L23" s="32" t="str">
        <f aca="false">IF($B23="","",INDEX(Purchase_Register!$BK$6:$BK$205,$B23)&amp;"")</f>
        <v>Short closed: claim balance / credit note; </v>
      </c>
    </row>
    <row r="24" customFormat="false" ht="15" hidden="false" customHeight="false" outlineLevel="0" collapsed="false">
      <c r="A24" s="33" t="n">
        <f aca="false">IF(ROWS($A$7:A24)&gt;COUNT(Purchase_Register!$BM$6:$BM$205),"",ROWS($A$7:A24))</f>
        <v>18</v>
      </c>
      <c r="B24" s="33" t="n">
        <f aca="false">IF($A24="","",MATCH(SMALL(Purchase_Register!$BM$6:$BM$205,$A24),Purchase_Register!$BM$6:$BM$205,0))</f>
        <v>39</v>
      </c>
      <c r="C24" s="46" t="str">
        <f aca="false">IF($B24="","",INDEX(Purchase_Register!$BL$6:$BL$205,$B24)&amp;"")</f>
        <v>Medium</v>
      </c>
      <c r="D24" s="31" t="str">
        <f aca="false">IF($B24="","",INDEX(Purchase_Register!$A$6:$A$205,$B24)&amp;"")</f>
        <v>PSIL-PR-2026-0039</v>
      </c>
      <c r="E24" s="32" t="str">
        <f aca="false">IF($B24="","",INDEX(Purchase_Register!$E$6:$E$205,$B24)&amp;"")</f>
        <v>Rubber Outsole – Men's Derby</v>
      </c>
      <c r="F24" s="32" t="str">
        <f aca="false">IF($B24="","",INDEX(Purchase_Register!$M$6:$M$205,$B24)&amp;"")</f>
        <v>Bengal Sole Industries</v>
      </c>
      <c r="G24" s="32" t="str">
        <f aca="false">IF($B24="","",INDEX(Purchase_Register!$C$6:$C$205,$B24)&amp;"")</f>
        <v>Lasting &amp; Assembly</v>
      </c>
      <c r="H24" s="32" t="str">
        <f aca="false">IF($B24="","",INDEX(Purchase_Register!$BI$6:$BI$205,$B24)&amp;"")</f>
        <v>Awaiting Approval</v>
      </c>
      <c r="I24" s="32" t="str">
        <f aca="false">IF($B24="","",INDEX(Purchase_Register!$AX$6:$AX$205,$B24)&amp;"")</f>
        <v>No PO Yet</v>
      </c>
      <c r="J24" s="47" t="n">
        <f aca="false">IF($B24="","",N(INDEX(Purchase_Register!$AK$6:$AK$205,$B24)))</f>
        <v>2440830</v>
      </c>
      <c r="K24" s="47" t="n">
        <f aca="false">IF($B24="","",N(INDEX(Purchase_Register!$AL$6:$AL$205,$B24)))</f>
        <v>0</v>
      </c>
      <c r="L24" s="32" t="str">
        <f aca="false">IF($B24="","",INDEX(Purchase_Register!$BK$6:$BK$205,$B24)&amp;"")</f>
        <v>Get approval: PR waiting 21 days; </v>
      </c>
    </row>
    <row r="25" customFormat="false" ht="15" hidden="false" customHeight="false" outlineLevel="0" collapsed="false">
      <c r="A25" s="33" t="n">
        <f aca="false">IF(ROWS($A$7:A25)&gt;COUNT(Purchase_Register!$BM$6:$BM$205),"",ROWS($A$7:A25))</f>
        <v>19</v>
      </c>
      <c r="B25" s="33" t="n">
        <f aca="false">IF($A25="","",MATCH(SMALL(Purchase_Register!$BM$6:$BM$205,$A25),Purchase_Register!$BM$6:$BM$205,0))</f>
        <v>41</v>
      </c>
      <c r="C25" s="46" t="str">
        <f aca="false">IF($B25="","",INDEX(Purchase_Register!$BL$6:$BL$205,$B25)&amp;"")</f>
        <v>Medium</v>
      </c>
      <c r="D25" s="31" t="str">
        <f aca="false">IF($B25="","",INDEX(Purchase_Register!$A$6:$A$205,$B25)&amp;"")</f>
        <v>PSIL-PR-2026-0041</v>
      </c>
      <c r="E25" s="32" t="str">
        <f aca="false">IF($B25="","",INDEX(Purchase_Register!$E$6:$E$205,$B25)&amp;"")</f>
        <v>Rubber Outsole – Men's Derby</v>
      </c>
      <c r="F25" s="32" t="str">
        <f aca="false">IF($B25="","",INDEX(Purchase_Register!$M$6:$M$205,$B25)&amp;"")</f>
        <v>Bengal Sole Industries</v>
      </c>
      <c r="G25" s="32" t="str">
        <f aca="false">IF($B25="","",INDEX(Purchase_Register!$C$6:$C$205,$B25)&amp;"")</f>
        <v>Lasting &amp; Assembly</v>
      </c>
      <c r="H25" s="32" t="str">
        <f aca="false">IF($B25="","",INDEX(Purchase_Register!$BI$6:$BI$205,$B25)&amp;"")</f>
        <v>Approved - PO Pending</v>
      </c>
      <c r="I25" s="32" t="str">
        <f aca="false">IF($B25="","",INDEX(Purchase_Register!$AX$6:$AX$205,$B25)&amp;"")</f>
        <v>No PO Yet</v>
      </c>
      <c r="J25" s="47" t="n">
        <f aca="false">IF($B25="","",N(INDEX(Purchase_Register!$AK$6:$AK$205,$B25)))</f>
        <v>1688400</v>
      </c>
      <c r="K25" s="47" t="n">
        <f aca="false">IF($B25="","",N(INDEX(Purchase_Register!$AL$6:$AL$205,$B25)))</f>
        <v>0</v>
      </c>
      <c r="L25" s="32" t="str">
        <f aca="false">IF($B25="","",INDEX(Purchase_Register!$BK$6:$BK$205,$B25)&amp;"")</f>
        <v>Issue PO: approved 9 days ago; Negotiate price: 9% above budget; </v>
      </c>
    </row>
    <row r="26" customFormat="false" ht="15" hidden="false" customHeight="false" outlineLevel="0" collapsed="false">
      <c r="A26" s="33" t="n">
        <f aca="false">IF(ROWS($A$7:A26)&gt;COUNT(Purchase_Register!$BM$6:$BM$205),"",ROWS($A$7:A26))</f>
        <v>20</v>
      </c>
      <c r="B26" s="33" t="n">
        <f aca="false">IF($A26="","",MATCH(SMALL(Purchase_Register!$BM$6:$BM$205,$A26),Purchase_Register!$BM$6:$BM$205,0))</f>
        <v>43</v>
      </c>
      <c r="C26" s="46" t="str">
        <f aca="false">IF($B26="","",INDEX(Purchase_Register!$BL$6:$BL$205,$B26)&amp;"")</f>
        <v>Low</v>
      </c>
      <c r="D26" s="31" t="str">
        <f aca="false">IF($B26="","",INDEX(Purchase_Register!$A$6:$A$205,$B26)&amp;"")</f>
        <v>PSIL-PR-2026-0043</v>
      </c>
      <c r="E26" s="32" t="str">
        <f aca="false">IF($B26="","",INDEX(Purchase_Register!$E$6:$E$205,$B26)&amp;"")</f>
        <v>Pig Lining Leather</v>
      </c>
      <c r="F26" s="32" t="str">
        <f aca="false">IF($B26="","",INDEX(Purchase_Register!$M$6:$M$205,$B26)&amp;"")</f>
        <v>Savar Leather Works Ltd</v>
      </c>
      <c r="G26" s="32" t="str">
        <f aca="false">IF($B26="","",INDEX(Purchase_Register!$C$6:$C$205,$B26)&amp;"")</f>
        <v>Cutting</v>
      </c>
      <c r="H26" s="32" t="str">
        <f aca="false">IF($B26="","",INDEX(Purchase_Register!$BI$6:$BI$205,$B26)&amp;"")</f>
        <v>Approved - PO Pending</v>
      </c>
      <c r="I26" s="32" t="str">
        <f aca="false">IF($B26="","",INDEX(Purchase_Register!$AX$6:$AX$205,$B26)&amp;"")</f>
        <v>No PO Yet</v>
      </c>
      <c r="J26" s="47" t="n">
        <f aca="false">IF($B26="","",N(INDEX(Purchase_Register!$AK$6:$AK$205,$B26)))</f>
        <v>1383379.2</v>
      </c>
      <c r="K26" s="47" t="n">
        <f aca="false">IF($B26="","",N(INDEX(Purchase_Register!$AL$6:$AL$205,$B26)))</f>
        <v>0</v>
      </c>
      <c r="L26" s="32" t="str">
        <f aca="false">IF($B26="","",INDEX(Purchase_Register!$BK$6:$BK$205,$B26)&amp;"")</f>
        <v>Issue PO: approved 4 days ago; </v>
      </c>
    </row>
    <row r="27" customFormat="false" ht="15" hidden="false" customHeight="false" outlineLevel="0" collapsed="false">
      <c r="A27" s="33" t="n">
        <f aca="false">IF(ROWS($A$7:A27)&gt;COUNT(Purchase_Register!$BM$6:$BM$205),"",ROWS($A$7:A27))</f>
        <v>21</v>
      </c>
      <c r="B27" s="33" t="n">
        <f aca="false">IF($A27="","",MATCH(SMALL(Purchase_Register!$BM$6:$BM$205,$A27),Purchase_Register!$BM$6:$BM$205,0))</f>
        <v>44</v>
      </c>
      <c r="C27" s="46" t="str">
        <f aca="false">IF($B27="","",INDEX(Purchase_Register!$BL$6:$BL$205,$B27)&amp;"")</f>
        <v>Low</v>
      </c>
      <c r="D27" s="31" t="str">
        <f aca="false">IF($B27="","",INDEX(Purchase_Register!$A$6:$A$205,$B27)&amp;"")</f>
        <v>PSIL-PR-2026-0044</v>
      </c>
      <c r="E27" s="32" t="str">
        <f aca="false">IF($B27="","",INDEX(Purchase_Register!$E$6:$E$205,$B27)&amp;"")</f>
        <v>Primer &amp; Halogenating Agent</v>
      </c>
      <c r="F27" s="32" t="str">
        <f aca="false">IF($B27="","",INDEX(Purchase_Register!$M$6:$M$205,$B27)&amp;"")</f>
        <v>Gazipur Chem Trade</v>
      </c>
      <c r="G27" s="32" t="str">
        <f aca="false">IF($B27="","",INDEX(Purchase_Register!$C$6:$C$205,$B27)&amp;"")</f>
        <v>Lasting &amp; Assembly</v>
      </c>
      <c r="H27" s="32" t="str">
        <f aca="false">IF($B27="","",INDEX(Purchase_Register!$BI$6:$BI$205,$B27)&amp;"")</f>
        <v>Awaiting Approval</v>
      </c>
      <c r="I27" s="32" t="str">
        <f aca="false">IF($B27="","",INDEX(Purchase_Register!$AX$6:$AX$205,$B27)&amp;"")</f>
        <v>No PO Yet</v>
      </c>
      <c r="J27" s="47" t="n">
        <f aca="false">IF($B27="","",N(INDEX(Purchase_Register!$AK$6:$AK$205,$B27)))</f>
        <v>272512.5</v>
      </c>
      <c r="K27" s="47" t="n">
        <f aca="false">IF($B27="","",N(INDEX(Purchase_Register!$AL$6:$AL$205,$B27)))</f>
        <v>0</v>
      </c>
      <c r="L27" s="32" t="str">
        <f aca="false">IF($B27="","",INDEX(Purchase_Register!$BK$6:$BK$205,$B27)&amp;"")</f>
        <v>Get approval: PR waiting 6 days; </v>
      </c>
    </row>
    <row r="28" customFormat="false" ht="15" hidden="false" customHeight="false" outlineLevel="0" collapsed="false">
      <c r="A28" s="33" t="n">
        <f aca="false">IF(ROWS($A$7:A28)&gt;COUNT(Purchase_Register!$BM$6:$BM$205),"",ROWS($A$7:A28))</f>
        <v>22</v>
      </c>
      <c r="B28" s="33" t="n">
        <f aca="false">IF($A28="","",MATCH(SMALL(Purchase_Register!$BM$6:$BM$205,$A28),Purchase_Register!$BM$6:$BM$205,0))</f>
        <v>45</v>
      </c>
      <c r="C28" s="46" t="str">
        <f aca="false">IF($B28="","",INDEX(Purchase_Register!$BL$6:$BL$205,$B28)&amp;"")</f>
        <v>Low</v>
      </c>
      <c r="D28" s="31" t="str">
        <f aca="false">IF($B28="","",INDEX(Purchase_Register!$A$6:$A$205,$B28)&amp;"")</f>
        <v>PSIL-PR-2026-0045</v>
      </c>
      <c r="E28" s="32" t="str">
        <f aca="false">IF($B28="","",INDEX(Purchase_Register!$E$6:$E$205,$B28)&amp;"")</f>
        <v>Heel Counter Stiffener (demo: incomplete entry)</v>
      </c>
      <c r="F28" s="32" t="str">
        <f aca="false">IF($B28="","",INDEX(Purchase_Register!$M$6:$M$205,$B28)&amp;"")</f>
        <v/>
      </c>
      <c r="G28" s="32" t="str">
        <f aca="false">IF($B28="","",INDEX(Purchase_Register!$C$6:$C$205,$B28)&amp;"")</f>
        <v/>
      </c>
      <c r="H28" s="32" t="str">
        <f aca="false">IF($B28="","",INDEX(Purchase_Register!$BI$6:$BI$205,$B28)&amp;"")</f>
        <v>Awaiting Approval</v>
      </c>
      <c r="I28" s="32" t="str">
        <f aca="false">IF($B28="","",INDEX(Purchase_Register!$AX$6:$AX$205,$B28)&amp;"")</f>
        <v>No PO Yet</v>
      </c>
      <c r="J28" s="47" t="n">
        <f aca="false">IF($B28="","",N(INDEX(Purchase_Register!$AK$6:$AK$205,$B28)))</f>
        <v>0</v>
      </c>
      <c r="K28" s="47" t="n">
        <f aca="false">IF($B28="","",N(INDEX(Purchase_Register!$AL$6:$AL$205,$B28)))</f>
        <v>0</v>
      </c>
      <c r="L28" s="32" t="str">
        <f aca="false">IF($B28="","",INDEX(Purchase_Register!$BK$6:$BK$205,$B28)&amp;"")</f>
        <v>Fix data entry (see Data Check); </v>
      </c>
    </row>
    <row r="29" customFormat="false" ht="15" hidden="false" customHeight="false" outlineLevel="0" collapsed="false">
      <c r="A29" s="33" t="str">
        <f aca="false">IF(ROWS($A$7:A29)&gt;COUNT(Purchase_Register!$BM$6:$BM$205),"",ROWS($A$7:A29))</f>
        <v/>
      </c>
      <c r="B29" s="33" t="str">
        <f aca="false">IF($A29="","",MATCH(SMALL(Purchase_Register!$BM$6:$BM$205,$A29),Purchase_Register!$BM$6:$BM$205,0))</f>
        <v/>
      </c>
      <c r="C29" s="46" t="str">
        <f aca="false">IF($B29="","",INDEX(Purchase_Register!$BL$6:$BL$205,$B29)&amp;"")</f>
        <v/>
      </c>
      <c r="D29" s="31" t="str">
        <f aca="false">IF($B29="","",INDEX(Purchase_Register!$A$6:$A$205,$B29)&amp;"")</f>
        <v/>
      </c>
      <c r="E29" s="32" t="str">
        <f aca="false">IF($B29="","",INDEX(Purchase_Register!$E$6:$E$205,$B29)&amp;"")</f>
        <v/>
      </c>
      <c r="F29" s="32" t="str">
        <f aca="false">IF($B29="","",INDEX(Purchase_Register!$M$6:$M$205,$B29)&amp;"")</f>
        <v/>
      </c>
      <c r="G29" s="32" t="str">
        <f aca="false">IF($B29="","",INDEX(Purchase_Register!$C$6:$C$205,$B29)&amp;"")</f>
        <v/>
      </c>
      <c r="H29" s="32" t="str">
        <f aca="false">IF($B29="","",INDEX(Purchase_Register!$BI$6:$BI$205,$B29)&amp;"")</f>
        <v/>
      </c>
      <c r="I29" s="32" t="str">
        <f aca="false">IF($B29="","",INDEX(Purchase_Register!$AX$6:$AX$205,$B29)&amp;"")</f>
        <v/>
      </c>
      <c r="J29" s="47" t="str">
        <f aca="false">IF($B29="","",N(INDEX(Purchase_Register!$AK$6:$AK$205,$B29)))</f>
        <v/>
      </c>
      <c r="K29" s="47" t="str">
        <f aca="false">IF($B29="","",N(INDEX(Purchase_Register!$AL$6:$AL$205,$B29)))</f>
        <v/>
      </c>
      <c r="L29" s="32" t="str">
        <f aca="false">IF($B29="","",INDEX(Purchase_Register!$BK$6:$BK$205,$B29)&amp;"")</f>
        <v/>
      </c>
    </row>
    <row r="30" customFormat="false" ht="15" hidden="false" customHeight="false" outlineLevel="0" collapsed="false">
      <c r="A30" s="33" t="str">
        <f aca="false">IF(ROWS($A$7:A30)&gt;COUNT(Purchase_Register!$BM$6:$BM$205),"",ROWS($A$7:A30))</f>
        <v/>
      </c>
      <c r="B30" s="33" t="str">
        <f aca="false">IF($A30="","",MATCH(SMALL(Purchase_Register!$BM$6:$BM$205,$A30),Purchase_Register!$BM$6:$BM$205,0))</f>
        <v/>
      </c>
      <c r="C30" s="46" t="str">
        <f aca="false">IF($B30="","",INDEX(Purchase_Register!$BL$6:$BL$205,$B30)&amp;"")</f>
        <v/>
      </c>
      <c r="D30" s="31" t="str">
        <f aca="false">IF($B30="","",INDEX(Purchase_Register!$A$6:$A$205,$B30)&amp;"")</f>
        <v/>
      </c>
      <c r="E30" s="32" t="str">
        <f aca="false">IF($B30="","",INDEX(Purchase_Register!$E$6:$E$205,$B30)&amp;"")</f>
        <v/>
      </c>
      <c r="F30" s="32" t="str">
        <f aca="false">IF($B30="","",INDEX(Purchase_Register!$M$6:$M$205,$B30)&amp;"")</f>
        <v/>
      </c>
      <c r="G30" s="32" t="str">
        <f aca="false">IF($B30="","",INDEX(Purchase_Register!$C$6:$C$205,$B30)&amp;"")</f>
        <v/>
      </c>
      <c r="H30" s="32" t="str">
        <f aca="false">IF($B30="","",INDEX(Purchase_Register!$BI$6:$BI$205,$B30)&amp;"")</f>
        <v/>
      </c>
      <c r="I30" s="32" t="str">
        <f aca="false">IF($B30="","",INDEX(Purchase_Register!$AX$6:$AX$205,$B30)&amp;"")</f>
        <v/>
      </c>
      <c r="J30" s="47" t="str">
        <f aca="false">IF($B30="","",N(INDEX(Purchase_Register!$AK$6:$AK$205,$B30)))</f>
        <v/>
      </c>
      <c r="K30" s="47" t="str">
        <f aca="false">IF($B30="","",N(INDEX(Purchase_Register!$AL$6:$AL$205,$B30)))</f>
        <v/>
      </c>
      <c r="L30" s="32" t="str">
        <f aca="false">IF($B30="","",INDEX(Purchase_Register!$BK$6:$BK$205,$B30)&amp;"")</f>
        <v/>
      </c>
    </row>
    <row r="31" customFormat="false" ht="15" hidden="false" customHeight="false" outlineLevel="0" collapsed="false">
      <c r="A31" s="33" t="str">
        <f aca="false">IF(ROWS($A$7:A31)&gt;COUNT(Purchase_Register!$BM$6:$BM$205),"",ROWS($A$7:A31))</f>
        <v/>
      </c>
      <c r="B31" s="33" t="str">
        <f aca="false">IF($A31="","",MATCH(SMALL(Purchase_Register!$BM$6:$BM$205,$A31),Purchase_Register!$BM$6:$BM$205,0))</f>
        <v/>
      </c>
      <c r="C31" s="46" t="str">
        <f aca="false">IF($B31="","",INDEX(Purchase_Register!$BL$6:$BL$205,$B31)&amp;"")</f>
        <v/>
      </c>
      <c r="D31" s="31" t="str">
        <f aca="false">IF($B31="","",INDEX(Purchase_Register!$A$6:$A$205,$B31)&amp;"")</f>
        <v/>
      </c>
      <c r="E31" s="32" t="str">
        <f aca="false">IF($B31="","",INDEX(Purchase_Register!$E$6:$E$205,$B31)&amp;"")</f>
        <v/>
      </c>
      <c r="F31" s="32" t="str">
        <f aca="false">IF($B31="","",INDEX(Purchase_Register!$M$6:$M$205,$B31)&amp;"")</f>
        <v/>
      </c>
      <c r="G31" s="32" t="str">
        <f aca="false">IF($B31="","",INDEX(Purchase_Register!$C$6:$C$205,$B31)&amp;"")</f>
        <v/>
      </c>
      <c r="H31" s="32" t="str">
        <f aca="false">IF($B31="","",INDEX(Purchase_Register!$BI$6:$BI$205,$B31)&amp;"")</f>
        <v/>
      </c>
      <c r="I31" s="32" t="str">
        <f aca="false">IF($B31="","",INDEX(Purchase_Register!$AX$6:$AX$205,$B31)&amp;"")</f>
        <v/>
      </c>
      <c r="J31" s="47" t="str">
        <f aca="false">IF($B31="","",N(INDEX(Purchase_Register!$AK$6:$AK$205,$B31)))</f>
        <v/>
      </c>
      <c r="K31" s="47" t="str">
        <f aca="false">IF($B31="","",N(INDEX(Purchase_Register!$AL$6:$AL$205,$B31)))</f>
        <v/>
      </c>
      <c r="L31" s="32" t="str">
        <f aca="false">IF($B31="","",INDEX(Purchase_Register!$BK$6:$BK$205,$B31)&amp;"")</f>
        <v/>
      </c>
    </row>
    <row r="32" customFormat="false" ht="15" hidden="false" customHeight="false" outlineLevel="0" collapsed="false">
      <c r="A32" s="33" t="str">
        <f aca="false">IF(ROWS($A$7:A32)&gt;COUNT(Purchase_Register!$BM$6:$BM$205),"",ROWS($A$7:A32))</f>
        <v/>
      </c>
      <c r="B32" s="33" t="str">
        <f aca="false">IF($A32="","",MATCH(SMALL(Purchase_Register!$BM$6:$BM$205,$A32),Purchase_Register!$BM$6:$BM$205,0))</f>
        <v/>
      </c>
      <c r="C32" s="46" t="str">
        <f aca="false">IF($B32="","",INDEX(Purchase_Register!$BL$6:$BL$205,$B32)&amp;"")</f>
        <v/>
      </c>
      <c r="D32" s="31" t="str">
        <f aca="false">IF($B32="","",INDEX(Purchase_Register!$A$6:$A$205,$B32)&amp;"")</f>
        <v/>
      </c>
      <c r="E32" s="32" t="str">
        <f aca="false">IF($B32="","",INDEX(Purchase_Register!$E$6:$E$205,$B32)&amp;"")</f>
        <v/>
      </c>
      <c r="F32" s="32" t="str">
        <f aca="false">IF($B32="","",INDEX(Purchase_Register!$M$6:$M$205,$B32)&amp;"")</f>
        <v/>
      </c>
      <c r="G32" s="32" t="str">
        <f aca="false">IF($B32="","",INDEX(Purchase_Register!$C$6:$C$205,$B32)&amp;"")</f>
        <v/>
      </c>
      <c r="H32" s="32" t="str">
        <f aca="false">IF($B32="","",INDEX(Purchase_Register!$BI$6:$BI$205,$B32)&amp;"")</f>
        <v/>
      </c>
      <c r="I32" s="32" t="str">
        <f aca="false">IF($B32="","",INDEX(Purchase_Register!$AX$6:$AX$205,$B32)&amp;"")</f>
        <v/>
      </c>
      <c r="J32" s="47" t="str">
        <f aca="false">IF($B32="","",N(INDEX(Purchase_Register!$AK$6:$AK$205,$B32)))</f>
        <v/>
      </c>
      <c r="K32" s="47" t="str">
        <f aca="false">IF($B32="","",N(INDEX(Purchase_Register!$AL$6:$AL$205,$B32)))</f>
        <v/>
      </c>
      <c r="L32" s="32" t="str">
        <f aca="false">IF($B32="","",INDEX(Purchase_Register!$BK$6:$BK$205,$B32)&amp;"")</f>
        <v/>
      </c>
    </row>
    <row r="33" customFormat="false" ht="15" hidden="false" customHeight="false" outlineLevel="0" collapsed="false">
      <c r="A33" s="33" t="str">
        <f aca="false">IF(ROWS($A$7:A33)&gt;COUNT(Purchase_Register!$BM$6:$BM$205),"",ROWS($A$7:A33))</f>
        <v/>
      </c>
      <c r="B33" s="33" t="str">
        <f aca="false">IF($A33="","",MATCH(SMALL(Purchase_Register!$BM$6:$BM$205,$A33),Purchase_Register!$BM$6:$BM$205,0))</f>
        <v/>
      </c>
      <c r="C33" s="46" t="str">
        <f aca="false">IF($B33="","",INDEX(Purchase_Register!$BL$6:$BL$205,$B33)&amp;"")</f>
        <v/>
      </c>
      <c r="D33" s="31" t="str">
        <f aca="false">IF($B33="","",INDEX(Purchase_Register!$A$6:$A$205,$B33)&amp;"")</f>
        <v/>
      </c>
      <c r="E33" s="32" t="str">
        <f aca="false">IF($B33="","",INDEX(Purchase_Register!$E$6:$E$205,$B33)&amp;"")</f>
        <v/>
      </c>
      <c r="F33" s="32" t="str">
        <f aca="false">IF($B33="","",INDEX(Purchase_Register!$M$6:$M$205,$B33)&amp;"")</f>
        <v/>
      </c>
      <c r="G33" s="32" t="str">
        <f aca="false">IF($B33="","",INDEX(Purchase_Register!$C$6:$C$205,$B33)&amp;"")</f>
        <v/>
      </c>
      <c r="H33" s="32" t="str">
        <f aca="false">IF($B33="","",INDEX(Purchase_Register!$BI$6:$BI$205,$B33)&amp;"")</f>
        <v/>
      </c>
      <c r="I33" s="32" t="str">
        <f aca="false">IF($B33="","",INDEX(Purchase_Register!$AX$6:$AX$205,$B33)&amp;"")</f>
        <v/>
      </c>
      <c r="J33" s="47" t="str">
        <f aca="false">IF($B33="","",N(INDEX(Purchase_Register!$AK$6:$AK$205,$B33)))</f>
        <v/>
      </c>
      <c r="K33" s="47" t="str">
        <f aca="false">IF($B33="","",N(INDEX(Purchase_Register!$AL$6:$AL$205,$B33)))</f>
        <v/>
      </c>
      <c r="L33" s="32" t="str">
        <f aca="false">IF($B33="","",INDEX(Purchase_Register!$BK$6:$BK$205,$B33)&amp;"")</f>
        <v/>
      </c>
    </row>
    <row r="34" customFormat="false" ht="15" hidden="false" customHeight="false" outlineLevel="0" collapsed="false">
      <c r="A34" s="33" t="str">
        <f aca="false">IF(ROWS($A$7:A34)&gt;COUNT(Purchase_Register!$BM$6:$BM$205),"",ROWS($A$7:A34))</f>
        <v/>
      </c>
      <c r="B34" s="33" t="str">
        <f aca="false">IF($A34="","",MATCH(SMALL(Purchase_Register!$BM$6:$BM$205,$A34),Purchase_Register!$BM$6:$BM$205,0))</f>
        <v/>
      </c>
      <c r="C34" s="46" t="str">
        <f aca="false">IF($B34="","",INDEX(Purchase_Register!$BL$6:$BL$205,$B34)&amp;"")</f>
        <v/>
      </c>
      <c r="D34" s="31" t="str">
        <f aca="false">IF($B34="","",INDEX(Purchase_Register!$A$6:$A$205,$B34)&amp;"")</f>
        <v/>
      </c>
      <c r="E34" s="32" t="str">
        <f aca="false">IF($B34="","",INDEX(Purchase_Register!$E$6:$E$205,$B34)&amp;"")</f>
        <v/>
      </c>
      <c r="F34" s="32" t="str">
        <f aca="false">IF($B34="","",INDEX(Purchase_Register!$M$6:$M$205,$B34)&amp;"")</f>
        <v/>
      </c>
      <c r="G34" s="32" t="str">
        <f aca="false">IF($B34="","",INDEX(Purchase_Register!$C$6:$C$205,$B34)&amp;"")</f>
        <v/>
      </c>
      <c r="H34" s="32" t="str">
        <f aca="false">IF($B34="","",INDEX(Purchase_Register!$BI$6:$BI$205,$B34)&amp;"")</f>
        <v/>
      </c>
      <c r="I34" s="32" t="str">
        <f aca="false">IF($B34="","",INDEX(Purchase_Register!$AX$6:$AX$205,$B34)&amp;"")</f>
        <v/>
      </c>
      <c r="J34" s="47" t="str">
        <f aca="false">IF($B34="","",N(INDEX(Purchase_Register!$AK$6:$AK$205,$B34)))</f>
        <v/>
      </c>
      <c r="K34" s="47" t="str">
        <f aca="false">IF($B34="","",N(INDEX(Purchase_Register!$AL$6:$AL$205,$B34)))</f>
        <v/>
      </c>
      <c r="L34" s="32" t="str">
        <f aca="false">IF($B34="","",INDEX(Purchase_Register!$BK$6:$BK$205,$B34)&amp;"")</f>
        <v/>
      </c>
    </row>
    <row r="35" customFormat="false" ht="15" hidden="false" customHeight="false" outlineLevel="0" collapsed="false">
      <c r="A35" s="33" t="str">
        <f aca="false">IF(ROWS($A$7:A35)&gt;COUNT(Purchase_Register!$BM$6:$BM$205),"",ROWS($A$7:A35))</f>
        <v/>
      </c>
      <c r="B35" s="33" t="str">
        <f aca="false">IF($A35="","",MATCH(SMALL(Purchase_Register!$BM$6:$BM$205,$A35),Purchase_Register!$BM$6:$BM$205,0))</f>
        <v/>
      </c>
      <c r="C35" s="46" t="str">
        <f aca="false">IF($B35="","",INDEX(Purchase_Register!$BL$6:$BL$205,$B35)&amp;"")</f>
        <v/>
      </c>
      <c r="D35" s="31" t="str">
        <f aca="false">IF($B35="","",INDEX(Purchase_Register!$A$6:$A$205,$B35)&amp;"")</f>
        <v/>
      </c>
      <c r="E35" s="32" t="str">
        <f aca="false">IF($B35="","",INDEX(Purchase_Register!$E$6:$E$205,$B35)&amp;"")</f>
        <v/>
      </c>
      <c r="F35" s="32" t="str">
        <f aca="false">IF($B35="","",INDEX(Purchase_Register!$M$6:$M$205,$B35)&amp;"")</f>
        <v/>
      </c>
      <c r="G35" s="32" t="str">
        <f aca="false">IF($B35="","",INDEX(Purchase_Register!$C$6:$C$205,$B35)&amp;"")</f>
        <v/>
      </c>
      <c r="H35" s="32" t="str">
        <f aca="false">IF($B35="","",INDEX(Purchase_Register!$BI$6:$BI$205,$B35)&amp;"")</f>
        <v/>
      </c>
      <c r="I35" s="32" t="str">
        <f aca="false">IF($B35="","",INDEX(Purchase_Register!$AX$6:$AX$205,$B35)&amp;"")</f>
        <v/>
      </c>
      <c r="J35" s="47" t="str">
        <f aca="false">IF($B35="","",N(INDEX(Purchase_Register!$AK$6:$AK$205,$B35)))</f>
        <v/>
      </c>
      <c r="K35" s="47" t="str">
        <f aca="false">IF($B35="","",N(INDEX(Purchase_Register!$AL$6:$AL$205,$B35)))</f>
        <v/>
      </c>
      <c r="L35" s="32" t="str">
        <f aca="false">IF($B35="","",INDEX(Purchase_Register!$BK$6:$BK$205,$B35)&amp;"")</f>
        <v/>
      </c>
    </row>
    <row r="36" customFormat="false" ht="15" hidden="false" customHeight="false" outlineLevel="0" collapsed="false">
      <c r="A36" s="33" t="str">
        <f aca="false">IF(ROWS($A$7:A36)&gt;COUNT(Purchase_Register!$BM$6:$BM$205),"",ROWS($A$7:A36))</f>
        <v/>
      </c>
      <c r="B36" s="33" t="str">
        <f aca="false">IF($A36="","",MATCH(SMALL(Purchase_Register!$BM$6:$BM$205,$A36),Purchase_Register!$BM$6:$BM$205,0))</f>
        <v/>
      </c>
      <c r="C36" s="46" t="str">
        <f aca="false">IF($B36="","",INDEX(Purchase_Register!$BL$6:$BL$205,$B36)&amp;"")</f>
        <v/>
      </c>
      <c r="D36" s="31" t="str">
        <f aca="false">IF($B36="","",INDEX(Purchase_Register!$A$6:$A$205,$B36)&amp;"")</f>
        <v/>
      </c>
      <c r="E36" s="32" t="str">
        <f aca="false">IF($B36="","",INDEX(Purchase_Register!$E$6:$E$205,$B36)&amp;"")</f>
        <v/>
      </c>
      <c r="F36" s="32" t="str">
        <f aca="false">IF($B36="","",INDEX(Purchase_Register!$M$6:$M$205,$B36)&amp;"")</f>
        <v/>
      </c>
      <c r="G36" s="32" t="str">
        <f aca="false">IF($B36="","",INDEX(Purchase_Register!$C$6:$C$205,$B36)&amp;"")</f>
        <v/>
      </c>
      <c r="H36" s="32" t="str">
        <f aca="false">IF($B36="","",INDEX(Purchase_Register!$BI$6:$BI$205,$B36)&amp;"")</f>
        <v/>
      </c>
      <c r="I36" s="32" t="str">
        <f aca="false">IF($B36="","",INDEX(Purchase_Register!$AX$6:$AX$205,$B36)&amp;"")</f>
        <v/>
      </c>
      <c r="J36" s="47" t="str">
        <f aca="false">IF($B36="","",N(INDEX(Purchase_Register!$AK$6:$AK$205,$B36)))</f>
        <v/>
      </c>
      <c r="K36" s="47" t="str">
        <f aca="false">IF($B36="","",N(INDEX(Purchase_Register!$AL$6:$AL$205,$B36)))</f>
        <v/>
      </c>
      <c r="L36" s="32" t="str">
        <f aca="false">IF($B36="","",INDEX(Purchase_Register!$BK$6:$BK$205,$B36)&amp;"")</f>
        <v/>
      </c>
    </row>
    <row r="37" customFormat="false" ht="15" hidden="false" customHeight="false" outlineLevel="0" collapsed="false">
      <c r="A37" s="33" t="str">
        <f aca="false">IF(ROWS($A$7:A37)&gt;COUNT(Purchase_Register!$BM$6:$BM$205),"",ROWS($A$7:A37))</f>
        <v/>
      </c>
      <c r="B37" s="33" t="str">
        <f aca="false">IF($A37="","",MATCH(SMALL(Purchase_Register!$BM$6:$BM$205,$A37),Purchase_Register!$BM$6:$BM$205,0))</f>
        <v/>
      </c>
      <c r="C37" s="46" t="str">
        <f aca="false">IF($B37="","",INDEX(Purchase_Register!$BL$6:$BL$205,$B37)&amp;"")</f>
        <v/>
      </c>
      <c r="D37" s="31" t="str">
        <f aca="false">IF($B37="","",INDEX(Purchase_Register!$A$6:$A$205,$B37)&amp;"")</f>
        <v/>
      </c>
      <c r="E37" s="32" t="str">
        <f aca="false">IF($B37="","",INDEX(Purchase_Register!$E$6:$E$205,$B37)&amp;"")</f>
        <v/>
      </c>
      <c r="F37" s="32" t="str">
        <f aca="false">IF($B37="","",INDEX(Purchase_Register!$M$6:$M$205,$B37)&amp;"")</f>
        <v/>
      </c>
      <c r="G37" s="32" t="str">
        <f aca="false">IF($B37="","",INDEX(Purchase_Register!$C$6:$C$205,$B37)&amp;"")</f>
        <v/>
      </c>
      <c r="H37" s="32" t="str">
        <f aca="false">IF($B37="","",INDEX(Purchase_Register!$BI$6:$BI$205,$B37)&amp;"")</f>
        <v/>
      </c>
      <c r="I37" s="32" t="str">
        <f aca="false">IF($B37="","",INDEX(Purchase_Register!$AX$6:$AX$205,$B37)&amp;"")</f>
        <v/>
      </c>
      <c r="J37" s="47" t="str">
        <f aca="false">IF($B37="","",N(INDEX(Purchase_Register!$AK$6:$AK$205,$B37)))</f>
        <v/>
      </c>
      <c r="K37" s="47" t="str">
        <f aca="false">IF($B37="","",N(INDEX(Purchase_Register!$AL$6:$AL$205,$B37)))</f>
        <v/>
      </c>
      <c r="L37" s="32" t="str">
        <f aca="false">IF($B37="","",INDEX(Purchase_Register!$BK$6:$BK$205,$B37)&amp;"")</f>
        <v/>
      </c>
    </row>
    <row r="38" customFormat="false" ht="15" hidden="false" customHeight="false" outlineLevel="0" collapsed="false">
      <c r="A38" s="33" t="str">
        <f aca="false">IF(ROWS($A$7:A38)&gt;COUNT(Purchase_Register!$BM$6:$BM$205),"",ROWS($A$7:A38))</f>
        <v/>
      </c>
      <c r="B38" s="33" t="str">
        <f aca="false">IF($A38="","",MATCH(SMALL(Purchase_Register!$BM$6:$BM$205,$A38),Purchase_Register!$BM$6:$BM$205,0))</f>
        <v/>
      </c>
      <c r="C38" s="46" t="str">
        <f aca="false">IF($B38="","",INDEX(Purchase_Register!$BL$6:$BL$205,$B38)&amp;"")</f>
        <v/>
      </c>
      <c r="D38" s="31" t="str">
        <f aca="false">IF($B38="","",INDEX(Purchase_Register!$A$6:$A$205,$B38)&amp;"")</f>
        <v/>
      </c>
      <c r="E38" s="32" t="str">
        <f aca="false">IF($B38="","",INDEX(Purchase_Register!$E$6:$E$205,$B38)&amp;"")</f>
        <v/>
      </c>
      <c r="F38" s="32" t="str">
        <f aca="false">IF($B38="","",INDEX(Purchase_Register!$M$6:$M$205,$B38)&amp;"")</f>
        <v/>
      </c>
      <c r="G38" s="32" t="str">
        <f aca="false">IF($B38="","",INDEX(Purchase_Register!$C$6:$C$205,$B38)&amp;"")</f>
        <v/>
      </c>
      <c r="H38" s="32" t="str">
        <f aca="false">IF($B38="","",INDEX(Purchase_Register!$BI$6:$BI$205,$B38)&amp;"")</f>
        <v/>
      </c>
      <c r="I38" s="32" t="str">
        <f aca="false">IF($B38="","",INDEX(Purchase_Register!$AX$6:$AX$205,$B38)&amp;"")</f>
        <v/>
      </c>
      <c r="J38" s="47" t="str">
        <f aca="false">IF($B38="","",N(INDEX(Purchase_Register!$AK$6:$AK$205,$B38)))</f>
        <v/>
      </c>
      <c r="K38" s="47" t="str">
        <f aca="false">IF($B38="","",N(INDEX(Purchase_Register!$AL$6:$AL$205,$B38)))</f>
        <v/>
      </c>
      <c r="L38" s="32" t="str">
        <f aca="false">IF($B38="","",INDEX(Purchase_Register!$BK$6:$BK$205,$B38)&amp;"")</f>
        <v/>
      </c>
    </row>
    <row r="39" customFormat="false" ht="15" hidden="false" customHeight="false" outlineLevel="0" collapsed="false">
      <c r="A39" s="33" t="str">
        <f aca="false">IF(ROWS($A$7:A39)&gt;COUNT(Purchase_Register!$BM$6:$BM$205),"",ROWS($A$7:A39))</f>
        <v/>
      </c>
      <c r="B39" s="33" t="str">
        <f aca="false">IF($A39="","",MATCH(SMALL(Purchase_Register!$BM$6:$BM$205,$A39),Purchase_Register!$BM$6:$BM$205,0))</f>
        <v/>
      </c>
      <c r="C39" s="46" t="str">
        <f aca="false">IF($B39="","",INDEX(Purchase_Register!$BL$6:$BL$205,$B39)&amp;"")</f>
        <v/>
      </c>
      <c r="D39" s="31" t="str">
        <f aca="false">IF($B39="","",INDEX(Purchase_Register!$A$6:$A$205,$B39)&amp;"")</f>
        <v/>
      </c>
      <c r="E39" s="32" t="str">
        <f aca="false">IF($B39="","",INDEX(Purchase_Register!$E$6:$E$205,$B39)&amp;"")</f>
        <v/>
      </c>
      <c r="F39" s="32" t="str">
        <f aca="false">IF($B39="","",INDEX(Purchase_Register!$M$6:$M$205,$B39)&amp;"")</f>
        <v/>
      </c>
      <c r="G39" s="32" t="str">
        <f aca="false">IF($B39="","",INDEX(Purchase_Register!$C$6:$C$205,$B39)&amp;"")</f>
        <v/>
      </c>
      <c r="H39" s="32" t="str">
        <f aca="false">IF($B39="","",INDEX(Purchase_Register!$BI$6:$BI$205,$B39)&amp;"")</f>
        <v/>
      </c>
      <c r="I39" s="32" t="str">
        <f aca="false">IF($B39="","",INDEX(Purchase_Register!$AX$6:$AX$205,$B39)&amp;"")</f>
        <v/>
      </c>
      <c r="J39" s="47" t="str">
        <f aca="false">IF($B39="","",N(INDEX(Purchase_Register!$AK$6:$AK$205,$B39)))</f>
        <v/>
      </c>
      <c r="K39" s="47" t="str">
        <f aca="false">IF($B39="","",N(INDEX(Purchase_Register!$AL$6:$AL$205,$B39)))</f>
        <v/>
      </c>
      <c r="L39" s="32" t="str">
        <f aca="false">IF($B39="","",INDEX(Purchase_Register!$BK$6:$BK$205,$B39)&amp;"")</f>
        <v/>
      </c>
    </row>
    <row r="40" customFormat="false" ht="15" hidden="false" customHeight="false" outlineLevel="0" collapsed="false">
      <c r="A40" s="33" t="str">
        <f aca="false">IF(ROWS($A$7:A40)&gt;COUNT(Purchase_Register!$BM$6:$BM$205),"",ROWS($A$7:A40))</f>
        <v/>
      </c>
      <c r="B40" s="33" t="str">
        <f aca="false">IF($A40="","",MATCH(SMALL(Purchase_Register!$BM$6:$BM$205,$A40),Purchase_Register!$BM$6:$BM$205,0))</f>
        <v/>
      </c>
      <c r="C40" s="46" t="str">
        <f aca="false">IF($B40="","",INDEX(Purchase_Register!$BL$6:$BL$205,$B40)&amp;"")</f>
        <v/>
      </c>
      <c r="D40" s="31" t="str">
        <f aca="false">IF($B40="","",INDEX(Purchase_Register!$A$6:$A$205,$B40)&amp;"")</f>
        <v/>
      </c>
      <c r="E40" s="32" t="str">
        <f aca="false">IF($B40="","",INDEX(Purchase_Register!$E$6:$E$205,$B40)&amp;"")</f>
        <v/>
      </c>
      <c r="F40" s="32" t="str">
        <f aca="false">IF($B40="","",INDEX(Purchase_Register!$M$6:$M$205,$B40)&amp;"")</f>
        <v/>
      </c>
      <c r="G40" s="32" t="str">
        <f aca="false">IF($B40="","",INDEX(Purchase_Register!$C$6:$C$205,$B40)&amp;"")</f>
        <v/>
      </c>
      <c r="H40" s="32" t="str">
        <f aca="false">IF($B40="","",INDEX(Purchase_Register!$BI$6:$BI$205,$B40)&amp;"")</f>
        <v/>
      </c>
      <c r="I40" s="32" t="str">
        <f aca="false">IF($B40="","",INDEX(Purchase_Register!$AX$6:$AX$205,$B40)&amp;"")</f>
        <v/>
      </c>
      <c r="J40" s="47" t="str">
        <f aca="false">IF($B40="","",N(INDEX(Purchase_Register!$AK$6:$AK$205,$B40)))</f>
        <v/>
      </c>
      <c r="K40" s="47" t="str">
        <f aca="false">IF($B40="","",N(INDEX(Purchase_Register!$AL$6:$AL$205,$B40)))</f>
        <v/>
      </c>
      <c r="L40" s="32" t="str">
        <f aca="false">IF($B40="","",INDEX(Purchase_Register!$BK$6:$BK$205,$B40)&amp;"")</f>
        <v/>
      </c>
    </row>
    <row r="41" customFormat="false" ht="15" hidden="false" customHeight="false" outlineLevel="0" collapsed="false">
      <c r="A41" s="33" t="str">
        <f aca="false">IF(ROWS($A$7:A41)&gt;COUNT(Purchase_Register!$BM$6:$BM$205),"",ROWS($A$7:A41))</f>
        <v/>
      </c>
      <c r="B41" s="33" t="str">
        <f aca="false">IF($A41="","",MATCH(SMALL(Purchase_Register!$BM$6:$BM$205,$A41),Purchase_Register!$BM$6:$BM$205,0))</f>
        <v/>
      </c>
      <c r="C41" s="46" t="str">
        <f aca="false">IF($B41="","",INDEX(Purchase_Register!$BL$6:$BL$205,$B41)&amp;"")</f>
        <v/>
      </c>
      <c r="D41" s="31" t="str">
        <f aca="false">IF($B41="","",INDEX(Purchase_Register!$A$6:$A$205,$B41)&amp;"")</f>
        <v/>
      </c>
      <c r="E41" s="32" t="str">
        <f aca="false">IF($B41="","",INDEX(Purchase_Register!$E$6:$E$205,$B41)&amp;"")</f>
        <v/>
      </c>
      <c r="F41" s="32" t="str">
        <f aca="false">IF($B41="","",INDEX(Purchase_Register!$M$6:$M$205,$B41)&amp;"")</f>
        <v/>
      </c>
      <c r="G41" s="32" t="str">
        <f aca="false">IF($B41="","",INDEX(Purchase_Register!$C$6:$C$205,$B41)&amp;"")</f>
        <v/>
      </c>
      <c r="H41" s="32" t="str">
        <f aca="false">IF($B41="","",INDEX(Purchase_Register!$BI$6:$BI$205,$B41)&amp;"")</f>
        <v/>
      </c>
      <c r="I41" s="32" t="str">
        <f aca="false">IF($B41="","",INDEX(Purchase_Register!$AX$6:$AX$205,$B41)&amp;"")</f>
        <v/>
      </c>
      <c r="J41" s="47" t="str">
        <f aca="false">IF($B41="","",N(INDEX(Purchase_Register!$AK$6:$AK$205,$B41)))</f>
        <v/>
      </c>
      <c r="K41" s="47" t="str">
        <f aca="false">IF($B41="","",N(INDEX(Purchase_Register!$AL$6:$AL$205,$B41)))</f>
        <v/>
      </c>
      <c r="L41" s="32" t="str">
        <f aca="false">IF($B41="","",INDEX(Purchase_Register!$BK$6:$BK$205,$B41)&amp;"")</f>
        <v/>
      </c>
    </row>
    <row r="42" customFormat="false" ht="15" hidden="false" customHeight="false" outlineLevel="0" collapsed="false">
      <c r="A42" s="33" t="str">
        <f aca="false">IF(ROWS($A$7:A42)&gt;COUNT(Purchase_Register!$BM$6:$BM$205),"",ROWS($A$7:A42))</f>
        <v/>
      </c>
      <c r="B42" s="33" t="str">
        <f aca="false">IF($A42="","",MATCH(SMALL(Purchase_Register!$BM$6:$BM$205,$A42),Purchase_Register!$BM$6:$BM$205,0))</f>
        <v/>
      </c>
      <c r="C42" s="46" t="str">
        <f aca="false">IF($B42="","",INDEX(Purchase_Register!$BL$6:$BL$205,$B42)&amp;"")</f>
        <v/>
      </c>
      <c r="D42" s="31" t="str">
        <f aca="false">IF($B42="","",INDEX(Purchase_Register!$A$6:$A$205,$B42)&amp;"")</f>
        <v/>
      </c>
      <c r="E42" s="32" t="str">
        <f aca="false">IF($B42="","",INDEX(Purchase_Register!$E$6:$E$205,$B42)&amp;"")</f>
        <v/>
      </c>
      <c r="F42" s="32" t="str">
        <f aca="false">IF($B42="","",INDEX(Purchase_Register!$M$6:$M$205,$B42)&amp;"")</f>
        <v/>
      </c>
      <c r="G42" s="32" t="str">
        <f aca="false">IF($B42="","",INDEX(Purchase_Register!$C$6:$C$205,$B42)&amp;"")</f>
        <v/>
      </c>
      <c r="H42" s="32" t="str">
        <f aca="false">IF($B42="","",INDEX(Purchase_Register!$BI$6:$BI$205,$B42)&amp;"")</f>
        <v/>
      </c>
      <c r="I42" s="32" t="str">
        <f aca="false">IF($B42="","",INDEX(Purchase_Register!$AX$6:$AX$205,$B42)&amp;"")</f>
        <v/>
      </c>
      <c r="J42" s="47" t="str">
        <f aca="false">IF($B42="","",N(INDEX(Purchase_Register!$AK$6:$AK$205,$B42)))</f>
        <v/>
      </c>
      <c r="K42" s="47" t="str">
        <f aca="false">IF($B42="","",N(INDEX(Purchase_Register!$AL$6:$AL$205,$B42)))</f>
        <v/>
      </c>
      <c r="L42" s="32" t="str">
        <f aca="false">IF($B42="","",INDEX(Purchase_Register!$BK$6:$BK$205,$B42)&amp;"")</f>
        <v/>
      </c>
    </row>
    <row r="43" customFormat="false" ht="15" hidden="false" customHeight="false" outlineLevel="0" collapsed="false">
      <c r="A43" s="33" t="str">
        <f aca="false">IF(ROWS($A$7:A43)&gt;COUNT(Purchase_Register!$BM$6:$BM$205),"",ROWS($A$7:A43))</f>
        <v/>
      </c>
      <c r="B43" s="33" t="str">
        <f aca="false">IF($A43="","",MATCH(SMALL(Purchase_Register!$BM$6:$BM$205,$A43),Purchase_Register!$BM$6:$BM$205,0))</f>
        <v/>
      </c>
      <c r="C43" s="46" t="str">
        <f aca="false">IF($B43="","",INDEX(Purchase_Register!$BL$6:$BL$205,$B43)&amp;"")</f>
        <v/>
      </c>
      <c r="D43" s="31" t="str">
        <f aca="false">IF($B43="","",INDEX(Purchase_Register!$A$6:$A$205,$B43)&amp;"")</f>
        <v/>
      </c>
      <c r="E43" s="32" t="str">
        <f aca="false">IF($B43="","",INDEX(Purchase_Register!$E$6:$E$205,$B43)&amp;"")</f>
        <v/>
      </c>
      <c r="F43" s="32" t="str">
        <f aca="false">IF($B43="","",INDEX(Purchase_Register!$M$6:$M$205,$B43)&amp;"")</f>
        <v/>
      </c>
      <c r="G43" s="32" t="str">
        <f aca="false">IF($B43="","",INDEX(Purchase_Register!$C$6:$C$205,$B43)&amp;"")</f>
        <v/>
      </c>
      <c r="H43" s="32" t="str">
        <f aca="false">IF($B43="","",INDEX(Purchase_Register!$BI$6:$BI$205,$B43)&amp;"")</f>
        <v/>
      </c>
      <c r="I43" s="32" t="str">
        <f aca="false">IF($B43="","",INDEX(Purchase_Register!$AX$6:$AX$205,$B43)&amp;"")</f>
        <v/>
      </c>
      <c r="J43" s="47" t="str">
        <f aca="false">IF($B43="","",N(INDEX(Purchase_Register!$AK$6:$AK$205,$B43)))</f>
        <v/>
      </c>
      <c r="K43" s="47" t="str">
        <f aca="false">IF($B43="","",N(INDEX(Purchase_Register!$AL$6:$AL$205,$B43)))</f>
        <v/>
      </c>
      <c r="L43" s="32" t="str">
        <f aca="false">IF($B43="","",INDEX(Purchase_Register!$BK$6:$BK$205,$B43)&amp;"")</f>
        <v/>
      </c>
    </row>
    <row r="44" customFormat="false" ht="15" hidden="false" customHeight="false" outlineLevel="0" collapsed="false">
      <c r="A44" s="33" t="str">
        <f aca="false">IF(ROWS($A$7:A44)&gt;COUNT(Purchase_Register!$BM$6:$BM$205),"",ROWS($A$7:A44))</f>
        <v/>
      </c>
      <c r="B44" s="33" t="str">
        <f aca="false">IF($A44="","",MATCH(SMALL(Purchase_Register!$BM$6:$BM$205,$A44),Purchase_Register!$BM$6:$BM$205,0))</f>
        <v/>
      </c>
      <c r="C44" s="46" t="str">
        <f aca="false">IF($B44="","",INDEX(Purchase_Register!$BL$6:$BL$205,$B44)&amp;"")</f>
        <v/>
      </c>
      <c r="D44" s="31" t="str">
        <f aca="false">IF($B44="","",INDEX(Purchase_Register!$A$6:$A$205,$B44)&amp;"")</f>
        <v/>
      </c>
      <c r="E44" s="32" t="str">
        <f aca="false">IF($B44="","",INDEX(Purchase_Register!$E$6:$E$205,$B44)&amp;"")</f>
        <v/>
      </c>
      <c r="F44" s="32" t="str">
        <f aca="false">IF($B44="","",INDEX(Purchase_Register!$M$6:$M$205,$B44)&amp;"")</f>
        <v/>
      </c>
      <c r="G44" s="32" t="str">
        <f aca="false">IF($B44="","",INDEX(Purchase_Register!$C$6:$C$205,$B44)&amp;"")</f>
        <v/>
      </c>
      <c r="H44" s="32" t="str">
        <f aca="false">IF($B44="","",INDEX(Purchase_Register!$BI$6:$BI$205,$B44)&amp;"")</f>
        <v/>
      </c>
      <c r="I44" s="32" t="str">
        <f aca="false">IF($B44="","",INDEX(Purchase_Register!$AX$6:$AX$205,$B44)&amp;"")</f>
        <v/>
      </c>
      <c r="J44" s="47" t="str">
        <f aca="false">IF($B44="","",N(INDEX(Purchase_Register!$AK$6:$AK$205,$B44)))</f>
        <v/>
      </c>
      <c r="K44" s="47" t="str">
        <f aca="false">IF($B44="","",N(INDEX(Purchase_Register!$AL$6:$AL$205,$B44)))</f>
        <v/>
      </c>
      <c r="L44" s="32" t="str">
        <f aca="false">IF($B44="","",INDEX(Purchase_Register!$BK$6:$BK$205,$B44)&amp;"")</f>
        <v/>
      </c>
    </row>
    <row r="45" customFormat="false" ht="15" hidden="false" customHeight="false" outlineLevel="0" collapsed="false">
      <c r="A45" s="33" t="str">
        <f aca="false">IF(ROWS($A$7:A45)&gt;COUNT(Purchase_Register!$BM$6:$BM$205),"",ROWS($A$7:A45))</f>
        <v/>
      </c>
      <c r="B45" s="33" t="str">
        <f aca="false">IF($A45="","",MATCH(SMALL(Purchase_Register!$BM$6:$BM$205,$A45),Purchase_Register!$BM$6:$BM$205,0))</f>
        <v/>
      </c>
      <c r="C45" s="46" t="str">
        <f aca="false">IF($B45="","",INDEX(Purchase_Register!$BL$6:$BL$205,$B45)&amp;"")</f>
        <v/>
      </c>
      <c r="D45" s="31" t="str">
        <f aca="false">IF($B45="","",INDEX(Purchase_Register!$A$6:$A$205,$B45)&amp;"")</f>
        <v/>
      </c>
      <c r="E45" s="32" t="str">
        <f aca="false">IF($B45="","",INDEX(Purchase_Register!$E$6:$E$205,$B45)&amp;"")</f>
        <v/>
      </c>
      <c r="F45" s="32" t="str">
        <f aca="false">IF($B45="","",INDEX(Purchase_Register!$M$6:$M$205,$B45)&amp;"")</f>
        <v/>
      </c>
      <c r="G45" s="32" t="str">
        <f aca="false">IF($B45="","",INDEX(Purchase_Register!$C$6:$C$205,$B45)&amp;"")</f>
        <v/>
      </c>
      <c r="H45" s="32" t="str">
        <f aca="false">IF($B45="","",INDEX(Purchase_Register!$BI$6:$BI$205,$B45)&amp;"")</f>
        <v/>
      </c>
      <c r="I45" s="32" t="str">
        <f aca="false">IF($B45="","",INDEX(Purchase_Register!$AX$6:$AX$205,$B45)&amp;"")</f>
        <v/>
      </c>
      <c r="J45" s="47" t="str">
        <f aca="false">IF($B45="","",N(INDEX(Purchase_Register!$AK$6:$AK$205,$B45)))</f>
        <v/>
      </c>
      <c r="K45" s="47" t="str">
        <f aca="false">IF($B45="","",N(INDEX(Purchase_Register!$AL$6:$AL$205,$B45)))</f>
        <v/>
      </c>
      <c r="L45" s="32" t="str">
        <f aca="false">IF($B45="","",INDEX(Purchase_Register!$BK$6:$BK$205,$B45)&amp;"")</f>
        <v/>
      </c>
    </row>
    <row r="46" customFormat="false" ht="15" hidden="false" customHeight="false" outlineLevel="0" collapsed="false">
      <c r="A46" s="33" t="str">
        <f aca="false">IF(ROWS($A$7:A46)&gt;COUNT(Purchase_Register!$BM$6:$BM$205),"",ROWS($A$7:A46))</f>
        <v/>
      </c>
      <c r="B46" s="33" t="str">
        <f aca="false">IF($A46="","",MATCH(SMALL(Purchase_Register!$BM$6:$BM$205,$A46),Purchase_Register!$BM$6:$BM$205,0))</f>
        <v/>
      </c>
      <c r="C46" s="46" t="str">
        <f aca="false">IF($B46="","",INDEX(Purchase_Register!$BL$6:$BL$205,$B46)&amp;"")</f>
        <v/>
      </c>
      <c r="D46" s="31" t="str">
        <f aca="false">IF($B46="","",INDEX(Purchase_Register!$A$6:$A$205,$B46)&amp;"")</f>
        <v/>
      </c>
      <c r="E46" s="32" t="str">
        <f aca="false">IF($B46="","",INDEX(Purchase_Register!$E$6:$E$205,$B46)&amp;"")</f>
        <v/>
      </c>
      <c r="F46" s="32" t="str">
        <f aca="false">IF($B46="","",INDEX(Purchase_Register!$M$6:$M$205,$B46)&amp;"")</f>
        <v/>
      </c>
      <c r="G46" s="32" t="str">
        <f aca="false">IF($B46="","",INDEX(Purchase_Register!$C$6:$C$205,$B46)&amp;"")</f>
        <v/>
      </c>
      <c r="H46" s="32" t="str">
        <f aca="false">IF($B46="","",INDEX(Purchase_Register!$BI$6:$BI$205,$B46)&amp;"")</f>
        <v/>
      </c>
      <c r="I46" s="32" t="str">
        <f aca="false">IF($B46="","",INDEX(Purchase_Register!$AX$6:$AX$205,$B46)&amp;"")</f>
        <v/>
      </c>
      <c r="J46" s="47" t="str">
        <f aca="false">IF($B46="","",N(INDEX(Purchase_Register!$AK$6:$AK$205,$B46)))</f>
        <v/>
      </c>
      <c r="K46" s="47" t="str">
        <f aca="false">IF($B46="","",N(INDEX(Purchase_Register!$AL$6:$AL$205,$B46)))</f>
        <v/>
      </c>
      <c r="L46" s="32" t="str">
        <f aca="false">IF($B46="","",INDEX(Purchase_Register!$BK$6:$BK$205,$B46)&amp;"")</f>
        <v/>
      </c>
    </row>
    <row r="47" customFormat="false" ht="15" hidden="false" customHeight="false" outlineLevel="0" collapsed="false">
      <c r="A47" s="33" t="str">
        <f aca="false">IF(ROWS($A$7:A47)&gt;COUNT(Purchase_Register!$BM$6:$BM$205),"",ROWS($A$7:A47))</f>
        <v/>
      </c>
      <c r="B47" s="33" t="str">
        <f aca="false">IF($A47="","",MATCH(SMALL(Purchase_Register!$BM$6:$BM$205,$A47),Purchase_Register!$BM$6:$BM$205,0))</f>
        <v/>
      </c>
      <c r="C47" s="46" t="str">
        <f aca="false">IF($B47="","",INDEX(Purchase_Register!$BL$6:$BL$205,$B47)&amp;"")</f>
        <v/>
      </c>
      <c r="D47" s="31" t="str">
        <f aca="false">IF($B47="","",INDEX(Purchase_Register!$A$6:$A$205,$B47)&amp;"")</f>
        <v/>
      </c>
      <c r="E47" s="32" t="str">
        <f aca="false">IF($B47="","",INDEX(Purchase_Register!$E$6:$E$205,$B47)&amp;"")</f>
        <v/>
      </c>
      <c r="F47" s="32" t="str">
        <f aca="false">IF($B47="","",INDEX(Purchase_Register!$M$6:$M$205,$B47)&amp;"")</f>
        <v/>
      </c>
      <c r="G47" s="32" t="str">
        <f aca="false">IF($B47="","",INDEX(Purchase_Register!$C$6:$C$205,$B47)&amp;"")</f>
        <v/>
      </c>
      <c r="H47" s="32" t="str">
        <f aca="false">IF($B47="","",INDEX(Purchase_Register!$BI$6:$BI$205,$B47)&amp;"")</f>
        <v/>
      </c>
      <c r="I47" s="32" t="str">
        <f aca="false">IF($B47="","",INDEX(Purchase_Register!$AX$6:$AX$205,$B47)&amp;"")</f>
        <v/>
      </c>
      <c r="J47" s="47" t="str">
        <f aca="false">IF($B47="","",N(INDEX(Purchase_Register!$AK$6:$AK$205,$B47)))</f>
        <v/>
      </c>
      <c r="K47" s="47" t="str">
        <f aca="false">IF($B47="","",N(INDEX(Purchase_Register!$AL$6:$AL$205,$B47)))</f>
        <v/>
      </c>
      <c r="L47" s="32" t="str">
        <f aca="false">IF($B47="","",INDEX(Purchase_Register!$BK$6:$BK$205,$B47)&amp;"")</f>
        <v/>
      </c>
    </row>
    <row r="48" customFormat="false" ht="15" hidden="false" customHeight="false" outlineLevel="0" collapsed="false">
      <c r="A48" s="33" t="str">
        <f aca="false">IF(ROWS($A$7:A48)&gt;COUNT(Purchase_Register!$BM$6:$BM$205),"",ROWS($A$7:A48))</f>
        <v/>
      </c>
      <c r="B48" s="33" t="str">
        <f aca="false">IF($A48="","",MATCH(SMALL(Purchase_Register!$BM$6:$BM$205,$A48),Purchase_Register!$BM$6:$BM$205,0))</f>
        <v/>
      </c>
      <c r="C48" s="46" t="str">
        <f aca="false">IF($B48="","",INDEX(Purchase_Register!$BL$6:$BL$205,$B48)&amp;"")</f>
        <v/>
      </c>
      <c r="D48" s="31" t="str">
        <f aca="false">IF($B48="","",INDEX(Purchase_Register!$A$6:$A$205,$B48)&amp;"")</f>
        <v/>
      </c>
      <c r="E48" s="32" t="str">
        <f aca="false">IF($B48="","",INDEX(Purchase_Register!$E$6:$E$205,$B48)&amp;"")</f>
        <v/>
      </c>
      <c r="F48" s="32" t="str">
        <f aca="false">IF($B48="","",INDEX(Purchase_Register!$M$6:$M$205,$B48)&amp;"")</f>
        <v/>
      </c>
      <c r="G48" s="32" t="str">
        <f aca="false">IF($B48="","",INDEX(Purchase_Register!$C$6:$C$205,$B48)&amp;"")</f>
        <v/>
      </c>
      <c r="H48" s="32" t="str">
        <f aca="false">IF($B48="","",INDEX(Purchase_Register!$BI$6:$BI$205,$B48)&amp;"")</f>
        <v/>
      </c>
      <c r="I48" s="32" t="str">
        <f aca="false">IF($B48="","",INDEX(Purchase_Register!$AX$6:$AX$205,$B48)&amp;"")</f>
        <v/>
      </c>
      <c r="J48" s="47" t="str">
        <f aca="false">IF($B48="","",N(INDEX(Purchase_Register!$AK$6:$AK$205,$B48)))</f>
        <v/>
      </c>
      <c r="K48" s="47" t="str">
        <f aca="false">IF($B48="","",N(INDEX(Purchase_Register!$AL$6:$AL$205,$B48)))</f>
        <v/>
      </c>
      <c r="L48" s="32" t="str">
        <f aca="false">IF($B48="","",INDEX(Purchase_Register!$BK$6:$BK$205,$B48)&amp;"")</f>
        <v/>
      </c>
    </row>
    <row r="49" customFormat="false" ht="15" hidden="false" customHeight="false" outlineLevel="0" collapsed="false">
      <c r="A49" s="33" t="str">
        <f aca="false">IF(ROWS($A$7:A49)&gt;COUNT(Purchase_Register!$BM$6:$BM$205),"",ROWS($A$7:A49))</f>
        <v/>
      </c>
      <c r="B49" s="33" t="str">
        <f aca="false">IF($A49="","",MATCH(SMALL(Purchase_Register!$BM$6:$BM$205,$A49),Purchase_Register!$BM$6:$BM$205,0))</f>
        <v/>
      </c>
      <c r="C49" s="46" t="str">
        <f aca="false">IF($B49="","",INDEX(Purchase_Register!$BL$6:$BL$205,$B49)&amp;"")</f>
        <v/>
      </c>
      <c r="D49" s="31" t="str">
        <f aca="false">IF($B49="","",INDEX(Purchase_Register!$A$6:$A$205,$B49)&amp;"")</f>
        <v/>
      </c>
      <c r="E49" s="32" t="str">
        <f aca="false">IF($B49="","",INDEX(Purchase_Register!$E$6:$E$205,$B49)&amp;"")</f>
        <v/>
      </c>
      <c r="F49" s="32" t="str">
        <f aca="false">IF($B49="","",INDEX(Purchase_Register!$M$6:$M$205,$B49)&amp;"")</f>
        <v/>
      </c>
      <c r="G49" s="32" t="str">
        <f aca="false">IF($B49="","",INDEX(Purchase_Register!$C$6:$C$205,$B49)&amp;"")</f>
        <v/>
      </c>
      <c r="H49" s="32" t="str">
        <f aca="false">IF($B49="","",INDEX(Purchase_Register!$BI$6:$BI$205,$B49)&amp;"")</f>
        <v/>
      </c>
      <c r="I49" s="32" t="str">
        <f aca="false">IF($B49="","",INDEX(Purchase_Register!$AX$6:$AX$205,$B49)&amp;"")</f>
        <v/>
      </c>
      <c r="J49" s="47" t="str">
        <f aca="false">IF($B49="","",N(INDEX(Purchase_Register!$AK$6:$AK$205,$B49)))</f>
        <v/>
      </c>
      <c r="K49" s="47" t="str">
        <f aca="false">IF($B49="","",N(INDEX(Purchase_Register!$AL$6:$AL$205,$B49)))</f>
        <v/>
      </c>
      <c r="L49" s="32" t="str">
        <f aca="false">IF($B49="","",INDEX(Purchase_Register!$BK$6:$BK$205,$B49)&amp;"")</f>
        <v/>
      </c>
    </row>
    <row r="50" customFormat="false" ht="15" hidden="false" customHeight="false" outlineLevel="0" collapsed="false">
      <c r="A50" s="33" t="str">
        <f aca="false">IF(ROWS($A$7:A50)&gt;COUNT(Purchase_Register!$BM$6:$BM$205),"",ROWS($A$7:A50))</f>
        <v/>
      </c>
      <c r="B50" s="33" t="str">
        <f aca="false">IF($A50="","",MATCH(SMALL(Purchase_Register!$BM$6:$BM$205,$A50),Purchase_Register!$BM$6:$BM$205,0))</f>
        <v/>
      </c>
      <c r="C50" s="46" t="str">
        <f aca="false">IF($B50="","",INDEX(Purchase_Register!$BL$6:$BL$205,$B50)&amp;"")</f>
        <v/>
      </c>
      <c r="D50" s="31" t="str">
        <f aca="false">IF($B50="","",INDEX(Purchase_Register!$A$6:$A$205,$B50)&amp;"")</f>
        <v/>
      </c>
      <c r="E50" s="32" t="str">
        <f aca="false">IF($B50="","",INDEX(Purchase_Register!$E$6:$E$205,$B50)&amp;"")</f>
        <v/>
      </c>
      <c r="F50" s="32" t="str">
        <f aca="false">IF($B50="","",INDEX(Purchase_Register!$M$6:$M$205,$B50)&amp;"")</f>
        <v/>
      </c>
      <c r="G50" s="32" t="str">
        <f aca="false">IF($B50="","",INDEX(Purchase_Register!$C$6:$C$205,$B50)&amp;"")</f>
        <v/>
      </c>
      <c r="H50" s="32" t="str">
        <f aca="false">IF($B50="","",INDEX(Purchase_Register!$BI$6:$BI$205,$B50)&amp;"")</f>
        <v/>
      </c>
      <c r="I50" s="32" t="str">
        <f aca="false">IF($B50="","",INDEX(Purchase_Register!$AX$6:$AX$205,$B50)&amp;"")</f>
        <v/>
      </c>
      <c r="J50" s="47" t="str">
        <f aca="false">IF($B50="","",N(INDEX(Purchase_Register!$AK$6:$AK$205,$B50)))</f>
        <v/>
      </c>
      <c r="K50" s="47" t="str">
        <f aca="false">IF($B50="","",N(INDEX(Purchase_Register!$AL$6:$AL$205,$B50)))</f>
        <v/>
      </c>
      <c r="L50" s="32" t="str">
        <f aca="false">IF($B50="","",INDEX(Purchase_Register!$BK$6:$BK$205,$B50)&amp;"")</f>
        <v/>
      </c>
    </row>
    <row r="51" customFormat="false" ht="15" hidden="false" customHeight="false" outlineLevel="0" collapsed="false">
      <c r="A51" s="33" t="str">
        <f aca="false">IF(ROWS($A$7:A51)&gt;COUNT(Purchase_Register!$BM$6:$BM$205),"",ROWS($A$7:A51))</f>
        <v/>
      </c>
      <c r="B51" s="33" t="str">
        <f aca="false">IF($A51="","",MATCH(SMALL(Purchase_Register!$BM$6:$BM$205,$A51),Purchase_Register!$BM$6:$BM$205,0))</f>
        <v/>
      </c>
      <c r="C51" s="46" t="str">
        <f aca="false">IF($B51="","",INDEX(Purchase_Register!$BL$6:$BL$205,$B51)&amp;"")</f>
        <v/>
      </c>
      <c r="D51" s="31" t="str">
        <f aca="false">IF($B51="","",INDEX(Purchase_Register!$A$6:$A$205,$B51)&amp;"")</f>
        <v/>
      </c>
      <c r="E51" s="32" t="str">
        <f aca="false">IF($B51="","",INDEX(Purchase_Register!$E$6:$E$205,$B51)&amp;"")</f>
        <v/>
      </c>
      <c r="F51" s="32" t="str">
        <f aca="false">IF($B51="","",INDEX(Purchase_Register!$M$6:$M$205,$B51)&amp;"")</f>
        <v/>
      </c>
      <c r="G51" s="32" t="str">
        <f aca="false">IF($B51="","",INDEX(Purchase_Register!$C$6:$C$205,$B51)&amp;"")</f>
        <v/>
      </c>
      <c r="H51" s="32" t="str">
        <f aca="false">IF($B51="","",INDEX(Purchase_Register!$BI$6:$BI$205,$B51)&amp;"")</f>
        <v/>
      </c>
      <c r="I51" s="32" t="str">
        <f aca="false">IF($B51="","",INDEX(Purchase_Register!$AX$6:$AX$205,$B51)&amp;"")</f>
        <v/>
      </c>
      <c r="J51" s="47" t="str">
        <f aca="false">IF($B51="","",N(INDEX(Purchase_Register!$AK$6:$AK$205,$B51)))</f>
        <v/>
      </c>
      <c r="K51" s="47" t="str">
        <f aca="false">IF($B51="","",N(INDEX(Purchase_Register!$AL$6:$AL$205,$B51)))</f>
        <v/>
      </c>
      <c r="L51" s="32" t="str">
        <f aca="false">IF($B51="","",INDEX(Purchase_Register!$BK$6:$BK$205,$B51)&amp;"")</f>
        <v/>
      </c>
    </row>
    <row r="52" customFormat="false" ht="15" hidden="false" customHeight="false" outlineLevel="0" collapsed="false">
      <c r="A52" s="33" t="str">
        <f aca="false">IF(ROWS($A$7:A52)&gt;COUNT(Purchase_Register!$BM$6:$BM$205),"",ROWS($A$7:A52))</f>
        <v/>
      </c>
      <c r="B52" s="33" t="str">
        <f aca="false">IF($A52="","",MATCH(SMALL(Purchase_Register!$BM$6:$BM$205,$A52),Purchase_Register!$BM$6:$BM$205,0))</f>
        <v/>
      </c>
      <c r="C52" s="46" t="str">
        <f aca="false">IF($B52="","",INDEX(Purchase_Register!$BL$6:$BL$205,$B52)&amp;"")</f>
        <v/>
      </c>
      <c r="D52" s="31" t="str">
        <f aca="false">IF($B52="","",INDEX(Purchase_Register!$A$6:$A$205,$B52)&amp;"")</f>
        <v/>
      </c>
      <c r="E52" s="32" t="str">
        <f aca="false">IF($B52="","",INDEX(Purchase_Register!$E$6:$E$205,$B52)&amp;"")</f>
        <v/>
      </c>
      <c r="F52" s="32" t="str">
        <f aca="false">IF($B52="","",INDEX(Purchase_Register!$M$6:$M$205,$B52)&amp;"")</f>
        <v/>
      </c>
      <c r="G52" s="32" t="str">
        <f aca="false">IF($B52="","",INDEX(Purchase_Register!$C$6:$C$205,$B52)&amp;"")</f>
        <v/>
      </c>
      <c r="H52" s="32" t="str">
        <f aca="false">IF($B52="","",INDEX(Purchase_Register!$BI$6:$BI$205,$B52)&amp;"")</f>
        <v/>
      </c>
      <c r="I52" s="32" t="str">
        <f aca="false">IF($B52="","",INDEX(Purchase_Register!$AX$6:$AX$205,$B52)&amp;"")</f>
        <v/>
      </c>
      <c r="J52" s="47" t="str">
        <f aca="false">IF($B52="","",N(INDEX(Purchase_Register!$AK$6:$AK$205,$B52)))</f>
        <v/>
      </c>
      <c r="K52" s="47" t="str">
        <f aca="false">IF($B52="","",N(INDEX(Purchase_Register!$AL$6:$AL$205,$B52)))</f>
        <v/>
      </c>
      <c r="L52" s="32" t="str">
        <f aca="false">IF($B52="","",INDEX(Purchase_Register!$BK$6:$BK$205,$B52)&amp;"")</f>
        <v/>
      </c>
    </row>
    <row r="53" customFormat="false" ht="15" hidden="false" customHeight="false" outlineLevel="0" collapsed="false">
      <c r="A53" s="33" t="str">
        <f aca="false">IF(ROWS($A$7:A53)&gt;COUNT(Purchase_Register!$BM$6:$BM$205),"",ROWS($A$7:A53))</f>
        <v/>
      </c>
      <c r="B53" s="33" t="str">
        <f aca="false">IF($A53="","",MATCH(SMALL(Purchase_Register!$BM$6:$BM$205,$A53),Purchase_Register!$BM$6:$BM$205,0))</f>
        <v/>
      </c>
      <c r="C53" s="46" t="str">
        <f aca="false">IF($B53="","",INDEX(Purchase_Register!$BL$6:$BL$205,$B53)&amp;"")</f>
        <v/>
      </c>
      <c r="D53" s="31" t="str">
        <f aca="false">IF($B53="","",INDEX(Purchase_Register!$A$6:$A$205,$B53)&amp;"")</f>
        <v/>
      </c>
      <c r="E53" s="32" t="str">
        <f aca="false">IF($B53="","",INDEX(Purchase_Register!$E$6:$E$205,$B53)&amp;"")</f>
        <v/>
      </c>
      <c r="F53" s="32" t="str">
        <f aca="false">IF($B53="","",INDEX(Purchase_Register!$M$6:$M$205,$B53)&amp;"")</f>
        <v/>
      </c>
      <c r="G53" s="32" t="str">
        <f aca="false">IF($B53="","",INDEX(Purchase_Register!$C$6:$C$205,$B53)&amp;"")</f>
        <v/>
      </c>
      <c r="H53" s="32" t="str">
        <f aca="false">IF($B53="","",INDEX(Purchase_Register!$BI$6:$BI$205,$B53)&amp;"")</f>
        <v/>
      </c>
      <c r="I53" s="32" t="str">
        <f aca="false">IF($B53="","",INDEX(Purchase_Register!$AX$6:$AX$205,$B53)&amp;"")</f>
        <v/>
      </c>
      <c r="J53" s="47" t="str">
        <f aca="false">IF($B53="","",N(INDEX(Purchase_Register!$AK$6:$AK$205,$B53)))</f>
        <v/>
      </c>
      <c r="K53" s="47" t="str">
        <f aca="false">IF($B53="","",N(INDEX(Purchase_Register!$AL$6:$AL$205,$B53)))</f>
        <v/>
      </c>
      <c r="L53" s="32" t="str">
        <f aca="false">IF($B53="","",INDEX(Purchase_Register!$BK$6:$BK$205,$B53)&amp;"")</f>
        <v/>
      </c>
    </row>
    <row r="54" customFormat="false" ht="15" hidden="false" customHeight="false" outlineLevel="0" collapsed="false">
      <c r="A54" s="33" t="str">
        <f aca="false">IF(ROWS($A$7:A54)&gt;COUNT(Purchase_Register!$BM$6:$BM$205),"",ROWS($A$7:A54))</f>
        <v/>
      </c>
      <c r="B54" s="33" t="str">
        <f aca="false">IF($A54="","",MATCH(SMALL(Purchase_Register!$BM$6:$BM$205,$A54),Purchase_Register!$BM$6:$BM$205,0))</f>
        <v/>
      </c>
      <c r="C54" s="46" t="str">
        <f aca="false">IF($B54="","",INDEX(Purchase_Register!$BL$6:$BL$205,$B54)&amp;"")</f>
        <v/>
      </c>
      <c r="D54" s="31" t="str">
        <f aca="false">IF($B54="","",INDEX(Purchase_Register!$A$6:$A$205,$B54)&amp;"")</f>
        <v/>
      </c>
      <c r="E54" s="32" t="str">
        <f aca="false">IF($B54="","",INDEX(Purchase_Register!$E$6:$E$205,$B54)&amp;"")</f>
        <v/>
      </c>
      <c r="F54" s="32" t="str">
        <f aca="false">IF($B54="","",INDEX(Purchase_Register!$M$6:$M$205,$B54)&amp;"")</f>
        <v/>
      </c>
      <c r="G54" s="32" t="str">
        <f aca="false">IF($B54="","",INDEX(Purchase_Register!$C$6:$C$205,$B54)&amp;"")</f>
        <v/>
      </c>
      <c r="H54" s="32" t="str">
        <f aca="false">IF($B54="","",INDEX(Purchase_Register!$BI$6:$BI$205,$B54)&amp;"")</f>
        <v/>
      </c>
      <c r="I54" s="32" t="str">
        <f aca="false">IF($B54="","",INDEX(Purchase_Register!$AX$6:$AX$205,$B54)&amp;"")</f>
        <v/>
      </c>
      <c r="J54" s="47" t="str">
        <f aca="false">IF($B54="","",N(INDEX(Purchase_Register!$AK$6:$AK$205,$B54)))</f>
        <v/>
      </c>
      <c r="K54" s="47" t="str">
        <f aca="false">IF($B54="","",N(INDEX(Purchase_Register!$AL$6:$AL$205,$B54)))</f>
        <v/>
      </c>
      <c r="L54" s="32" t="str">
        <f aca="false">IF($B54="","",INDEX(Purchase_Register!$BK$6:$BK$205,$B54)&amp;"")</f>
        <v/>
      </c>
    </row>
    <row r="55" customFormat="false" ht="15" hidden="false" customHeight="false" outlineLevel="0" collapsed="false">
      <c r="A55" s="33" t="str">
        <f aca="false">IF(ROWS($A$7:A55)&gt;COUNT(Purchase_Register!$BM$6:$BM$205),"",ROWS($A$7:A55))</f>
        <v/>
      </c>
      <c r="B55" s="33" t="str">
        <f aca="false">IF($A55="","",MATCH(SMALL(Purchase_Register!$BM$6:$BM$205,$A55),Purchase_Register!$BM$6:$BM$205,0))</f>
        <v/>
      </c>
      <c r="C55" s="46" t="str">
        <f aca="false">IF($B55="","",INDEX(Purchase_Register!$BL$6:$BL$205,$B55)&amp;"")</f>
        <v/>
      </c>
      <c r="D55" s="31" t="str">
        <f aca="false">IF($B55="","",INDEX(Purchase_Register!$A$6:$A$205,$B55)&amp;"")</f>
        <v/>
      </c>
      <c r="E55" s="32" t="str">
        <f aca="false">IF($B55="","",INDEX(Purchase_Register!$E$6:$E$205,$B55)&amp;"")</f>
        <v/>
      </c>
      <c r="F55" s="32" t="str">
        <f aca="false">IF($B55="","",INDEX(Purchase_Register!$M$6:$M$205,$B55)&amp;"")</f>
        <v/>
      </c>
      <c r="G55" s="32" t="str">
        <f aca="false">IF($B55="","",INDEX(Purchase_Register!$C$6:$C$205,$B55)&amp;"")</f>
        <v/>
      </c>
      <c r="H55" s="32" t="str">
        <f aca="false">IF($B55="","",INDEX(Purchase_Register!$BI$6:$BI$205,$B55)&amp;"")</f>
        <v/>
      </c>
      <c r="I55" s="32" t="str">
        <f aca="false">IF($B55="","",INDEX(Purchase_Register!$AX$6:$AX$205,$B55)&amp;"")</f>
        <v/>
      </c>
      <c r="J55" s="47" t="str">
        <f aca="false">IF($B55="","",N(INDEX(Purchase_Register!$AK$6:$AK$205,$B55)))</f>
        <v/>
      </c>
      <c r="K55" s="47" t="str">
        <f aca="false">IF($B55="","",N(INDEX(Purchase_Register!$AL$6:$AL$205,$B55)))</f>
        <v/>
      </c>
      <c r="L55" s="32" t="str">
        <f aca="false">IF($B55="","",INDEX(Purchase_Register!$BK$6:$BK$205,$B55)&amp;"")</f>
        <v/>
      </c>
    </row>
    <row r="56" customFormat="false" ht="15" hidden="false" customHeight="false" outlineLevel="0" collapsed="false">
      <c r="A56" s="33" t="str">
        <f aca="false">IF(ROWS($A$7:A56)&gt;COUNT(Purchase_Register!$BM$6:$BM$205),"",ROWS($A$7:A56))</f>
        <v/>
      </c>
      <c r="B56" s="33" t="str">
        <f aca="false">IF($A56="","",MATCH(SMALL(Purchase_Register!$BM$6:$BM$205,$A56),Purchase_Register!$BM$6:$BM$205,0))</f>
        <v/>
      </c>
      <c r="C56" s="46" t="str">
        <f aca="false">IF($B56="","",INDEX(Purchase_Register!$BL$6:$BL$205,$B56)&amp;"")</f>
        <v/>
      </c>
      <c r="D56" s="31" t="str">
        <f aca="false">IF($B56="","",INDEX(Purchase_Register!$A$6:$A$205,$B56)&amp;"")</f>
        <v/>
      </c>
      <c r="E56" s="32" t="str">
        <f aca="false">IF($B56="","",INDEX(Purchase_Register!$E$6:$E$205,$B56)&amp;"")</f>
        <v/>
      </c>
      <c r="F56" s="32" t="str">
        <f aca="false">IF($B56="","",INDEX(Purchase_Register!$M$6:$M$205,$B56)&amp;"")</f>
        <v/>
      </c>
      <c r="G56" s="32" t="str">
        <f aca="false">IF($B56="","",INDEX(Purchase_Register!$C$6:$C$205,$B56)&amp;"")</f>
        <v/>
      </c>
      <c r="H56" s="32" t="str">
        <f aca="false">IF($B56="","",INDEX(Purchase_Register!$BI$6:$BI$205,$B56)&amp;"")</f>
        <v/>
      </c>
      <c r="I56" s="32" t="str">
        <f aca="false">IF($B56="","",INDEX(Purchase_Register!$AX$6:$AX$205,$B56)&amp;"")</f>
        <v/>
      </c>
      <c r="J56" s="47" t="str">
        <f aca="false">IF($B56="","",N(INDEX(Purchase_Register!$AK$6:$AK$205,$B56)))</f>
        <v/>
      </c>
      <c r="K56" s="47" t="str">
        <f aca="false">IF($B56="","",N(INDEX(Purchase_Register!$AL$6:$AL$205,$B56)))</f>
        <v/>
      </c>
      <c r="L56" s="32" t="str">
        <f aca="false">IF($B56="","",INDEX(Purchase_Register!$BK$6:$BK$205,$B56)&amp;"")</f>
        <v/>
      </c>
    </row>
    <row r="57" customFormat="false" ht="15" hidden="false" customHeight="false" outlineLevel="0" collapsed="false">
      <c r="A57" s="33" t="str">
        <f aca="false">IF(ROWS($A$7:A57)&gt;COUNT(Purchase_Register!$BM$6:$BM$205),"",ROWS($A$7:A57))</f>
        <v/>
      </c>
      <c r="B57" s="33" t="str">
        <f aca="false">IF($A57="","",MATCH(SMALL(Purchase_Register!$BM$6:$BM$205,$A57),Purchase_Register!$BM$6:$BM$205,0))</f>
        <v/>
      </c>
      <c r="C57" s="46" t="str">
        <f aca="false">IF($B57="","",INDEX(Purchase_Register!$BL$6:$BL$205,$B57)&amp;"")</f>
        <v/>
      </c>
      <c r="D57" s="31" t="str">
        <f aca="false">IF($B57="","",INDEX(Purchase_Register!$A$6:$A$205,$B57)&amp;"")</f>
        <v/>
      </c>
      <c r="E57" s="32" t="str">
        <f aca="false">IF($B57="","",INDEX(Purchase_Register!$E$6:$E$205,$B57)&amp;"")</f>
        <v/>
      </c>
      <c r="F57" s="32" t="str">
        <f aca="false">IF($B57="","",INDEX(Purchase_Register!$M$6:$M$205,$B57)&amp;"")</f>
        <v/>
      </c>
      <c r="G57" s="32" t="str">
        <f aca="false">IF($B57="","",INDEX(Purchase_Register!$C$6:$C$205,$B57)&amp;"")</f>
        <v/>
      </c>
      <c r="H57" s="32" t="str">
        <f aca="false">IF($B57="","",INDEX(Purchase_Register!$BI$6:$BI$205,$B57)&amp;"")</f>
        <v/>
      </c>
      <c r="I57" s="32" t="str">
        <f aca="false">IF($B57="","",INDEX(Purchase_Register!$AX$6:$AX$205,$B57)&amp;"")</f>
        <v/>
      </c>
      <c r="J57" s="47" t="str">
        <f aca="false">IF($B57="","",N(INDEX(Purchase_Register!$AK$6:$AK$205,$B57)))</f>
        <v/>
      </c>
      <c r="K57" s="47" t="str">
        <f aca="false">IF($B57="","",N(INDEX(Purchase_Register!$AL$6:$AL$205,$B57)))</f>
        <v/>
      </c>
      <c r="L57" s="32" t="str">
        <f aca="false">IF($B57="","",INDEX(Purchase_Register!$BK$6:$BK$205,$B57)&amp;"")</f>
        <v/>
      </c>
    </row>
    <row r="58" customFormat="false" ht="15" hidden="false" customHeight="false" outlineLevel="0" collapsed="false">
      <c r="A58" s="33" t="str">
        <f aca="false">IF(ROWS($A$7:A58)&gt;COUNT(Purchase_Register!$BM$6:$BM$205),"",ROWS($A$7:A58))</f>
        <v/>
      </c>
      <c r="B58" s="33" t="str">
        <f aca="false">IF($A58="","",MATCH(SMALL(Purchase_Register!$BM$6:$BM$205,$A58),Purchase_Register!$BM$6:$BM$205,0))</f>
        <v/>
      </c>
      <c r="C58" s="46" t="str">
        <f aca="false">IF($B58="","",INDEX(Purchase_Register!$BL$6:$BL$205,$B58)&amp;"")</f>
        <v/>
      </c>
      <c r="D58" s="31" t="str">
        <f aca="false">IF($B58="","",INDEX(Purchase_Register!$A$6:$A$205,$B58)&amp;"")</f>
        <v/>
      </c>
      <c r="E58" s="32" t="str">
        <f aca="false">IF($B58="","",INDEX(Purchase_Register!$E$6:$E$205,$B58)&amp;"")</f>
        <v/>
      </c>
      <c r="F58" s="32" t="str">
        <f aca="false">IF($B58="","",INDEX(Purchase_Register!$M$6:$M$205,$B58)&amp;"")</f>
        <v/>
      </c>
      <c r="G58" s="32" t="str">
        <f aca="false">IF($B58="","",INDEX(Purchase_Register!$C$6:$C$205,$B58)&amp;"")</f>
        <v/>
      </c>
      <c r="H58" s="32" t="str">
        <f aca="false">IF($B58="","",INDEX(Purchase_Register!$BI$6:$BI$205,$B58)&amp;"")</f>
        <v/>
      </c>
      <c r="I58" s="32" t="str">
        <f aca="false">IF($B58="","",INDEX(Purchase_Register!$AX$6:$AX$205,$B58)&amp;"")</f>
        <v/>
      </c>
      <c r="J58" s="47" t="str">
        <f aca="false">IF($B58="","",N(INDEX(Purchase_Register!$AK$6:$AK$205,$B58)))</f>
        <v/>
      </c>
      <c r="K58" s="47" t="str">
        <f aca="false">IF($B58="","",N(INDEX(Purchase_Register!$AL$6:$AL$205,$B58)))</f>
        <v/>
      </c>
      <c r="L58" s="32" t="str">
        <f aca="false">IF($B58="","",INDEX(Purchase_Register!$BK$6:$BK$205,$B58)&amp;"")</f>
        <v/>
      </c>
    </row>
    <row r="59" customFormat="false" ht="15" hidden="false" customHeight="false" outlineLevel="0" collapsed="false">
      <c r="A59" s="33" t="str">
        <f aca="false">IF(ROWS($A$7:A59)&gt;COUNT(Purchase_Register!$BM$6:$BM$205),"",ROWS($A$7:A59))</f>
        <v/>
      </c>
      <c r="B59" s="33" t="str">
        <f aca="false">IF($A59="","",MATCH(SMALL(Purchase_Register!$BM$6:$BM$205,$A59),Purchase_Register!$BM$6:$BM$205,0))</f>
        <v/>
      </c>
      <c r="C59" s="46" t="str">
        <f aca="false">IF($B59="","",INDEX(Purchase_Register!$BL$6:$BL$205,$B59)&amp;"")</f>
        <v/>
      </c>
      <c r="D59" s="31" t="str">
        <f aca="false">IF($B59="","",INDEX(Purchase_Register!$A$6:$A$205,$B59)&amp;"")</f>
        <v/>
      </c>
      <c r="E59" s="32" t="str">
        <f aca="false">IF($B59="","",INDEX(Purchase_Register!$E$6:$E$205,$B59)&amp;"")</f>
        <v/>
      </c>
      <c r="F59" s="32" t="str">
        <f aca="false">IF($B59="","",INDEX(Purchase_Register!$M$6:$M$205,$B59)&amp;"")</f>
        <v/>
      </c>
      <c r="G59" s="32" t="str">
        <f aca="false">IF($B59="","",INDEX(Purchase_Register!$C$6:$C$205,$B59)&amp;"")</f>
        <v/>
      </c>
      <c r="H59" s="32" t="str">
        <f aca="false">IF($B59="","",INDEX(Purchase_Register!$BI$6:$BI$205,$B59)&amp;"")</f>
        <v/>
      </c>
      <c r="I59" s="32" t="str">
        <f aca="false">IF($B59="","",INDEX(Purchase_Register!$AX$6:$AX$205,$B59)&amp;"")</f>
        <v/>
      </c>
      <c r="J59" s="47" t="str">
        <f aca="false">IF($B59="","",N(INDEX(Purchase_Register!$AK$6:$AK$205,$B59)))</f>
        <v/>
      </c>
      <c r="K59" s="47" t="str">
        <f aca="false">IF($B59="","",N(INDEX(Purchase_Register!$AL$6:$AL$205,$B59)))</f>
        <v/>
      </c>
      <c r="L59" s="32" t="str">
        <f aca="false">IF($B59="","",INDEX(Purchase_Register!$BK$6:$BK$205,$B59)&amp;"")</f>
        <v/>
      </c>
    </row>
    <row r="60" customFormat="false" ht="15" hidden="false" customHeight="false" outlineLevel="0" collapsed="false">
      <c r="A60" s="33" t="str">
        <f aca="false">IF(ROWS($A$7:A60)&gt;COUNT(Purchase_Register!$BM$6:$BM$205),"",ROWS($A$7:A60))</f>
        <v/>
      </c>
      <c r="B60" s="33" t="str">
        <f aca="false">IF($A60="","",MATCH(SMALL(Purchase_Register!$BM$6:$BM$205,$A60),Purchase_Register!$BM$6:$BM$205,0))</f>
        <v/>
      </c>
      <c r="C60" s="46" t="str">
        <f aca="false">IF($B60="","",INDEX(Purchase_Register!$BL$6:$BL$205,$B60)&amp;"")</f>
        <v/>
      </c>
      <c r="D60" s="31" t="str">
        <f aca="false">IF($B60="","",INDEX(Purchase_Register!$A$6:$A$205,$B60)&amp;"")</f>
        <v/>
      </c>
      <c r="E60" s="32" t="str">
        <f aca="false">IF($B60="","",INDEX(Purchase_Register!$E$6:$E$205,$B60)&amp;"")</f>
        <v/>
      </c>
      <c r="F60" s="32" t="str">
        <f aca="false">IF($B60="","",INDEX(Purchase_Register!$M$6:$M$205,$B60)&amp;"")</f>
        <v/>
      </c>
      <c r="G60" s="32" t="str">
        <f aca="false">IF($B60="","",INDEX(Purchase_Register!$C$6:$C$205,$B60)&amp;"")</f>
        <v/>
      </c>
      <c r="H60" s="32" t="str">
        <f aca="false">IF($B60="","",INDEX(Purchase_Register!$BI$6:$BI$205,$B60)&amp;"")</f>
        <v/>
      </c>
      <c r="I60" s="32" t="str">
        <f aca="false">IF($B60="","",INDEX(Purchase_Register!$AX$6:$AX$205,$B60)&amp;"")</f>
        <v/>
      </c>
      <c r="J60" s="47" t="str">
        <f aca="false">IF($B60="","",N(INDEX(Purchase_Register!$AK$6:$AK$205,$B60)))</f>
        <v/>
      </c>
      <c r="K60" s="47" t="str">
        <f aca="false">IF($B60="","",N(INDEX(Purchase_Register!$AL$6:$AL$205,$B60)))</f>
        <v/>
      </c>
      <c r="L60" s="32" t="str">
        <f aca="false">IF($B60="","",INDEX(Purchase_Register!$BK$6:$BK$205,$B60)&amp;"")</f>
        <v/>
      </c>
    </row>
    <row r="61" customFormat="false" ht="15" hidden="false" customHeight="false" outlineLevel="0" collapsed="false">
      <c r="A61" s="33" t="str">
        <f aca="false">IF(ROWS($A$7:A61)&gt;COUNT(Purchase_Register!$BM$6:$BM$205),"",ROWS($A$7:A61))</f>
        <v/>
      </c>
      <c r="B61" s="33" t="str">
        <f aca="false">IF($A61="","",MATCH(SMALL(Purchase_Register!$BM$6:$BM$205,$A61),Purchase_Register!$BM$6:$BM$205,0))</f>
        <v/>
      </c>
      <c r="C61" s="46" t="str">
        <f aca="false">IF($B61="","",INDEX(Purchase_Register!$BL$6:$BL$205,$B61)&amp;"")</f>
        <v/>
      </c>
      <c r="D61" s="31" t="str">
        <f aca="false">IF($B61="","",INDEX(Purchase_Register!$A$6:$A$205,$B61)&amp;"")</f>
        <v/>
      </c>
      <c r="E61" s="32" t="str">
        <f aca="false">IF($B61="","",INDEX(Purchase_Register!$E$6:$E$205,$B61)&amp;"")</f>
        <v/>
      </c>
      <c r="F61" s="32" t="str">
        <f aca="false">IF($B61="","",INDEX(Purchase_Register!$M$6:$M$205,$B61)&amp;"")</f>
        <v/>
      </c>
      <c r="G61" s="32" t="str">
        <f aca="false">IF($B61="","",INDEX(Purchase_Register!$C$6:$C$205,$B61)&amp;"")</f>
        <v/>
      </c>
      <c r="H61" s="32" t="str">
        <f aca="false">IF($B61="","",INDEX(Purchase_Register!$BI$6:$BI$205,$B61)&amp;"")</f>
        <v/>
      </c>
      <c r="I61" s="32" t="str">
        <f aca="false">IF($B61="","",INDEX(Purchase_Register!$AX$6:$AX$205,$B61)&amp;"")</f>
        <v/>
      </c>
      <c r="J61" s="47" t="str">
        <f aca="false">IF($B61="","",N(INDEX(Purchase_Register!$AK$6:$AK$205,$B61)))</f>
        <v/>
      </c>
      <c r="K61" s="47" t="str">
        <f aca="false">IF($B61="","",N(INDEX(Purchase_Register!$AL$6:$AL$205,$B61)))</f>
        <v/>
      </c>
      <c r="L61" s="32" t="str">
        <f aca="false">IF($B61="","",INDEX(Purchase_Register!$BK$6:$BK$205,$B61)&amp;"")</f>
        <v/>
      </c>
    </row>
    <row r="62" customFormat="false" ht="15" hidden="false" customHeight="false" outlineLevel="0" collapsed="false">
      <c r="A62" s="33" t="str">
        <f aca="false">IF(ROWS($A$7:A62)&gt;COUNT(Purchase_Register!$BM$6:$BM$205),"",ROWS($A$7:A62))</f>
        <v/>
      </c>
      <c r="B62" s="33" t="str">
        <f aca="false">IF($A62="","",MATCH(SMALL(Purchase_Register!$BM$6:$BM$205,$A62),Purchase_Register!$BM$6:$BM$205,0))</f>
        <v/>
      </c>
      <c r="C62" s="46" t="str">
        <f aca="false">IF($B62="","",INDEX(Purchase_Register!$BL$6:$BL$205,$B62)&amp;"")</f>
        <v/>
      </c>
      <c r="D62" s="31" t="str">
        <f aca="false">IF($B62="","",INDEX(Purchase_Register!$A$6:$A$205,$B62)&amp;"")</f>
        <v/>
      </c>
      <c r="E62" s="32" t="str">
        <f aca="false">IF($B62="","",INDEX(Purchase_Register!$E$6:$E$205,$B62)&amp;"")</f>
        <v/>
      </c>
      <c r="F62" s="32" t="str">
        <f aca="false">IF($B62="","",INDEX(Purchase_Register!$M$6:$M$205,$B62)&amp;"")</f>
        <v/>
      </c>
      <c r="G62" s="32" t="str">
        <f aca="false">IF($B62="","",INDEX(Purchase_Register!$C$6:$C$205,$B62)&amp;"")</f>
        <v/>
      </c>
      <c r="H62" s="32" t="str">
        <f aca="false">IF($B62="","",INDEX(Purchase_Register!$BI$6:$BI$205,$B62)&amp;"")</f>
        <v/>
      </c>
      <c r="I62" s="32" t="str">
        <f aca="false">IF($B62="","",INDEX(Purchase_Register!$AX$6:$AX$205,$B62)&amp;"")</f>
        <v/>
      </c>
      <c r="J62" s="47" t="str">
        <f aca="false">IF($B62="","",N(INDEX(Purchase_Register!$AK$6:$AK$205,$B62)))</f>
        <v/>
      </c>
      <c r="K62" s="47" t="str">
        <f aca="false">IF($B62="","",N(INDEX(Purchase_Register!$AL$6:$AL$205,$B62)))</f>
        <v/>
      </c>
      <c r="L62" s="32" t="str">
        <f aca="false">IF($B62="","",INDEX(Purchase_Register!$BK$6:$BK$205,$B62)&amp;"")</f>
        <v/>
      </c>
    </row>
    <row r="63" customFormat="false" ht="15" hidden="false" customHeight="false" outlineLevel="0" collapsed="false">
      <c r="A63" s="33" t="str">
        <f aca="false">IF(ROWS($A$7:A63)&gt;COUNT(Purchase_Register!$BM$6:$BM$205),"",ROWS($A$7:A63))</f>
        <v/>
      </c>
      <c r="B63" s="33" t="str">
        <f aca="false">IF($A63="","",MATCH(SMALL(Purchase_Register!$BM$6:$BM$205,$A63),Purchase_Register!$BM$6:$BM$205,0))</f>
        <v/>
      </c>
      <c r="C63" s="46" t="str">
        <f aca="false">IF($B63="","",INDEX(Purchase_Register!$BL$6:$BL$205,$B63)&amp;"")</f>
        <v/>
      </c>
      <c r="D63" s="31" t="str">
        <f aca="false">IF($B63="","",INDEX(Purchase_Register!$A$6:$A$205,$B63)&amp;"")</f>
        <v/>
      </c>
      <c r="E63" s="32" t="str">
        <f aca="false">IF($B63="","",INDEX(Purchase_Register!$E$6:$E$205,$B63)&amp;"")</f>
        <v/>
      </c>
      <c r="F63" s="32" t="str">
        <f aca="false">IF($B63="","",INDEX(Purchase_Register!$M$6:$M$205,$B63)&amp;"")</f>
        <v/>
      </c>
      <c r="G63" s="32" t="str">
        <f aca="false">IF($B63="","",INDEX(Purchase_Register!$C$6:$C$205,$B63)&amp;"")</f>
        <v/>
      </c>
      <c r="H63" s="32" t="str">
        <f aca="false">IF($B63="","",INDEX(Purchase_Register!$BI$6:$BI$205,$B63)&amp;"")</f>
        <v/>
      </c>
      <c r="I63" s="32" t="str">
        <f aca="false">IF($B63="","",INDEX(Purchase_Register!$AX$6:$AX$205,$B63)&amp;"")</f>
        <v/>
      </c>
      <c r="J63" s="47" t="str">
        <f aca="false">IF($B63="","",N(INDEX(Purchase_Register!$AK$6:$AK$205,$B63)))</f>
        <v/>
      </c>
      <c r="K63" s="47" t="str">
        <f aca="false">IF($B63="","",N(INDEX(Purchase_Register!$AL$6:$AL$205,$B63)))</f>
        <v/>
      </c>
      <c r="L63" s="32" t="str">
        <f aca="false">IF($B63="","",INDEX(Purchase_Register!$BK$6:$BK$205,$B63)&amp;"")</f>
        <v/>
      </c>
    </row>
    <row r="64" customFormat="false" ht="15" hidden="false" customHeight="false" outlineLevel="0" collapsed="false">
      <c r="A64" s="33" t="str">
        <f aca="false">IF(ROWS($A$7:A64)&gt;COUNT(Purchase_Register!$BM$6:$BM$205),"",ROWS($A$7:A64))</f>
        <v/>
      </c>
      <c r="B64" s="33" t="str">
        <f aca="false">IF($A64="","",MATCH(SMALL(Purchase_Register!$BM$6:$BM$205,$A64),Purchase_Register!$BM$6:$BM$205,0))</f>
        <v/>
      </c>
      <c r="C64" s="46" t="str">
        <f aca="false">IF($B64="","",INDEX(Purchase_Register!$BL$6:$BL$205,$B64)&amp;"")</f>
        <v/>
      </c>
      <c r="D64" s="31" t="str">
        <f aca="false">IF($B64="","",INDEX(Purchase_Register!$A$6:$A$205,$B64)&amp;"")</f>
        <v/>
      </c>
      <c r="E64" s="32" t="str">
        <f aca="false">IF($B64="","",INDEX(Purchase_Register!$E$6:$E$205,$B64)&amp;"")</f>
        <v/>
      </c>
      <c r="F64" s="32" t="str">
        <f aca="false">IF($B64="","",INDEX(Purchase_Register!$M$6:$M$205,$B64)&amp;"")</f>
        <v/>
      </c>
      <c r="G64" s="32" t="str">
        <f aca="false">IF($B64="","",INDEX(Purchase_Register!$C$6:$C$205,$B64)&amp;"")</f>
        <v/>
      </c>
      <c r="H64" s="32" t="str">
        <f aca="false">IF($B64="","",INDEX(Purchase_Register!$BI$6:$BI$205,$B64)&amp;"")</f>
        <v/>
      </c>
      <c r="I64" s="32" t="str">
        <f aca="false">IF($B64="","",INDEX(Purchase_Register!$AX$6:$AX$205,$B64)&amp;"")</f>
        <v/>
      </c>
      <c r="J64" s="47" t="str">
        <f aca="false">IF($B64="","",N(INDEX(Purchase_Register!$AK$6:$AK$205,$B64)))</f>
        <v/>
      </c>
      <c r="K64" s="47" t="str">
        <f aca="false">IF($B64="","",N(INDEX(Purchase_Register!$AL$6:$AL$205,$B64)))</f>
        <v/>
      </c>
      <c r="L64" s="32" t="str">
        <f aca="false">IF($B64="","",INDEX(Purchase_Register!$BK$6:$BK$205,$B64)&amp;"")</f>
        <v/>
      </c>
    </row>
    <row r="65" customFormat="false" ht="15" hidden="false" customHeight="false" outlineLevel="0" collapsed="false">
      <c r="A65" s="33" t="str">
        <f aca="false">IF(ROWS($A$7:A65)&gt;COUNT(Purchase_Register!$BM$6:$BM$205),"",ROWS($A$7:A65))</f>
        <v/>
      </c>
      <c r="B65" s="33" t="str">
        <f aca="false">IF($A65="","",MATCH(SMALL(Purchase_Register!$BM$6:$BM$205,$A65),Purchase_Register!$BM$6:$BM$205,0))</f>
        <v/>
      </c>
      <c r="C65" s="46" t="str">
        <f aca="false">IF($B65="","",INDEX(Purchase_Register!$BL$6:$BL$205,$B65)&amp;"")</f>
        <v/>
      </c>
      <c r="D65" s="31" t="str">
        <f aca="false">IF($B65="","",INDEX(Purchase_Register!$A$6:$A$205,$B65)&amp;"")</f>
        <v/>
      </c>
      <c r="E65" s="32" t="str">
        <f aca="false">IF($B65="","",INDEX(Purchase_Register!$E$6:$E$205,$B65)&amp;"")</f>
        <v/>
      </c>
      <c r="F65" s="32" t="str">
        <f aca="false">IF($B65="","",INDEX(Purchase_Register!$M$6:$M$205,$B65)&amp;"")</f>
        <v/>
      </c>
      <c r="G65" s="32" t="str">
        <f aca="false">IF($B65="","",INDEX(Purchase_Register!$C$6:$C$205,$B65)&amp;"")</f>
        <v/>
      </c>
      <c r="H65" s="32" t="str">
        <f aca="false">IF($B65="","",INDEX(Purchase_Register!$BI$6:$BI$205,$B65)&amp;"")</f>
        <v/>
      </c>
      <c r="I65" s="32" t="str">
        <f aca="false">IF($B65="","",INDEX(Purchase_Register!$AX$6:$AX$205,$B65)&amp;"")</f>
        <v/>
      </c>
      <c r="J65" s="47" t="str">
        <f aca="false">IF($B65="","",N(INDEX(Purchase_Register!$AK$6:$AK$205,$B65)))</f>
        <v/>
      </c>
      <c r="K65" s="47" t="str">
        <f aca="false">IF($B65="","",N(INDEX(Purchase_Register!$AL$6:$AL$205,$B65)))</f>
        <v/>
      </c>
      <c r="L65" s="32" t="str">
        <f aca="false">IF($B65="","",INDEX(Purchase_Register!$BK$6:$BK$205,$B65)&amp;"")</f>
        <v/>
      </c>
    </row>
    <row r="66" customFormat="false" ht="15" hidden="false" customHeight="false" outlineLevel="0" collapsed="false">
      <c r="A66" s="33" t="str">
        <f aca="false">IF(ROWS($A$7:A66)&gt;COUNT(Purchase_Register!$BM$6:$BM$205),"",ROWS($A$7:A66))</f>
        <v/>
      </c>
      <c r="B66" s="33" t="str">
        <f aca="false">IF($A66="","",MATCH(SMALL(Purchase_Register!$BM$6:$BM$205,$A66),Purchase_Register!$BM$6:$BM$205,0))</f>
        <v/>
      </c>
      <c r="C66" s="46" t="str">
        <f aca="false">IF($B66="","",INDEX(Purchase_Register!$BL$6:$BL$205,$B66)&amp;"")</f>
        <v/>
      </c>
      <c r="D66" s="31" t="str">
        <f aca="false">IF($B66="","",INDEX(Purchase_Register!$A$6:$A$205,$B66)&amp;"")</f>
        <v/>
      </c>
      <c r="E66" s="32" t="str">
        <f aca="false">IF($B66="","",INDEX(Purchase_Register!$E$6:$E$205,$B66)&amp;"")</f>
        <v/>
      </c>
      <c r="F66" s="32" t="str">
        <f aca="false">IF($B66="","",INDEX(Purchase_Register!$M$6:$M$205,$B66)&amp;"")</f>
        <v/>
      </c>
      <c r="G66" s="32" t="str">
        <f aca="false">IF($B66="","",INDEX(Purchase_Register!$C$6:$C$205,$B66)&amp;"")</f>
        <v/>
      </c>
      <c r="H66" s="32" t="str">
        <f aca="false">IF($B66="","",INDEX(Purchase_Register!$BI$6:$BI$205,$B66)&amp;"")</f>
        <v/>
      </c>
      <c r="I66" s="32" t="str">
        <f aca="false">IF($B66="","",INDEX(Purchase_Register!$AX$6:$AX$205,$B66)&amp;"")</f>
        <v/>
      </c>
      <c r="J66" s="47" t="str">
        <f aca="false">IF($B66="","",N(INDEX(Purchase_Register!$AK$6:$AK$205,$B66)))</f>
        <v/>
      </c>
      <c r="K66" s="47" t="str">
        <f aca="false">IF($B66="","",N(INDEX(Purchase_Register!$AL$6:$AL$205,$B66)))</f>
        <v/>
      </c>
      <c r="L66" s="32" t="str">
        <f aca="false">IF($B66="","",INDEX(Purchase_Register!$BK$6:$BK$205,$B66)&amp;"")</f>
        <v/>
      </c>
    </row>
    <row r="67" customFormat="false" ht="15" hidden="false" customHeight="false" outlineLevel="0" collapsed="false">
      <c r="A67" s="33" t="str">
        <f aca="false">IF(ROWS($A$7:A67)&gt;COUNT(Purchase_Register!$BM$6:$BM$205),"",ROWS($A$7:A67))</f>
        <v/>
      </c>
      <c r="B67" s="33" t="str">
        <f aca="false">IF($A67="","",MATCH(SMALL(Purchase_Register!$BM$6:$BM$205,$A67),Purchase_Register!$BM$6:$BM$205,0))</f>
        <v/>
      </c>
      <c r="C67" s="46" t="str">
        <f aca="false">IF($B67="","",INDEX(Purchase_Register!$BL$6:$BL$205,$B67)&amp;"")</f>
        <v/>
      </c>
      <c r="D67" s="31" t="str">
        <f aca="false">IF($B67="","",INDEX(Purchase_Register!$A$6:$A$205,$B67)&amp;"")</f>
        <v/>
      </c>
      <c r="E67" s="32" t="str">
        <f aca="false">IF($B67="","",INDEX(Purchase_Register!$E$6:$E$205,$B67)&amp;"")</f>
        <v/>
      </c>
      <c r="F67" s="32" t="str">
        <f aca="false">IF($B67="","",INDEX(Purchase_Register!$M$6:$M$205,$B67)&amp;"")</f>
        <v/>
      </c>
      <c r="G67" s="32" t="str">
        <f aca="false">IF($B67="","",INDEX(Purchase_Register!$C$6:$C$205,$B67)&amp;"")</f>
        <v/>
      </c>
      <c r="H67" s="32" t="str">
        <f aca="false">IF($B67="","",INDEX(Purchase_Register!$BI$6:$BI$205,$B67)&amp;"")</f>
        <v/>
      </c>
      <c r="I67" s="32" t="str">
        <f aca="false">IF($B67="","",INDEX(Purchase_Register!$AX$6:$AX$205,$B67)&amp;"")</f>
        <v/>
      </c>
      <c r="J67" s="47" t="str">
        <f aca="false">IF($B67="","",N(INDEX(Purchase_Register!$AK$6:$AK$205,$B67)))</f>
        <v/>
      </c>
      <c r="K67" s="47" t="str">
        <f aca="false">IF($B67="","",N(INDEX(Purchase_Register!$AL$6:$AL$205,$B67)))</f>
        <v/>
      </c>
      <c r="L67" s="32" t="str">
        <f aca="false">IF($B67="","",INDEX(Purchase_Register!$BK$6:$BK$205,$B67)&amp;"")</f>
        <v/>
      </c>
    </row>
    <row r="68" customFormat="false" ht="15" hidden="false" customHeight="false" outlineLevel="0" collapsed="false">
      <c r="A68" s="33" t="str">
        <f aca="false">IF(ROWS($A$7:A68)&gt;COUNT(Purchase_Register!$BM$6:$BM$205),"",ROWS($A$7:A68))</f>
        <v/>
      </c>
      <c r="B68" s="33" t="str">
        <f aca="false">IF($A68="","",MATCH(SMALL(Purchase_Register!$BM$6:$BM$205,$A68),Purchase_Register!$BM$6:$BM$205,0))</f>
        <v/>
      </c>
      <c r="C68" s="46" t="str">
        <f aca="false">IF($B68="","",INDEX(Purchase_Register!$BL$6:$BL$205,$B68)&amp;"")</f>
        <v/>
      </c>
      <c r="D68" s="31" t="str">
        <f aca="false">IF($B68="","",INDEX(Purchase_Register!$A$6:$A$205,$B68)&amp;"")</f>
        <v/>
      </c>
      <c r="E68" s="32" t="str">
        <f aca="false">IF($B68="","",INDEX(Purchase_Register!$E$6:$E$205,$B68)&amp;"")</f>
        <v/>
      </c>
      <c r="F68" s="32" t="str">
        <f aca="false">IF($B68="","",INDEX(Purchase_Register!$M$6:$M$205,$B68)&amp;"")</f>
        <v/>
      </c>
      <c r="G68" s="32" t="str">
        <f aca="false">IF($B68="","",INDEX(Purchase_Register!$C$6:$C$205,$B68)&amp;"")</f>
        <v/>
      </c>
      <c r="H68" s="32" t="str">
        <f aca="false">IF($B68="","",INDEX(Purchase_Register!$BI$6:$BI$205,$B68)&amp;"")</f>
        <v/>
      </c>
      <c r="I68" s="32" t="str">
        <f aca="false">IF($B68="","",INDEX(Purchase_Register!$AX$6:$AX$205,$B68)&amp;"")</f>
        <v/>
      </c>
      <c r="J68" s="47" t="str">
        <f aca="false">IF($B68="","",N(INDEX(Purchase_Register!$AK$6:$AK$205,$B68)))</f>
        <v/>
      </c>
      <c r="K68" s="47" t="str">
        <f aca="false">IF($B68="","",N(INDEX(Purchase_Register!$AL$6:$AL$205,$B68)))</f>
        <v/>
      </c>
      <c r="L68" s="32" t="str">
        <f aca="false">IF($B68="","",INDEX(Purchase_Register!$BK$6:$BK$205,$B68)&amp;"")</f>
        <v/>
      </c>
    </row>
    <row r="69" customFormat="false" ht="15" hidden="false" customHeight="false" outlineLevel="0" collapsed="false">
      <c r="A69" s="33" t="str">
        <f aca="false">IF(ROWS($A$7:A69)&gt;COUNT(Purchase_Register!$BM$6:$BM$205),"",ROWS($A$7:A69))</f>
        <v/>
      </c>
      <c r="B69" s="33" t="str">
        <f aca="false">IF($A69="","",MATCH(SMALL(Purchase_Register!$BM$6:$BM$205,$A69),Purchase_Register!$BM$6:$BM$205,0))</f>
        <v/>
      </c>
      <c r="C69" s="46" t="str">
        <f aca="false">IF($B69="","",INDEX(Purchase_Register!$BL$6:$BL$205,$B69)&amp;"")</f>
        <v/>
      </c>
      <c r="D69" s="31" t="str">
        <f aca="false">IF($B69="","",INDEX(Purchase_Register!$A$6:$A$205,$B69)&amp;"")</f>
        <v/>
      </c>
      <c r="E69" s="32" t="str">
        <f aca="false">IF($B69="","",INDEX(Purchase_Register!$E$6:$E$205,$B69)&amp;"")</f>
        <v/>
      </c>
      <c r="F69" s="32" t="str">
        <f aca="false">IF($B69="","",INDEX(Purchase_Register!$M$6:$M$205,$B69)&amp;"")</f>
        <v/>
      </c>
      <c r="G69" s="32" t="str">
        <f aca="false">IF($B69="","",INDEX(Purchase_Register!$C$6:$C$205,$B69)&amp;"")</f>
        <v/>
      </c>
      <c r="H69" s="32" t="str">
        <f aca="false">IF($B69="","",INDEX(Purchase_Register!$BI$6:$BI$205,$B69)&amp;"")</f>
        <v/>
      </c>
      <c r="I69" s="32" t="str">
        <f aca="false">IF($B69="","",INDEX(Purchase_Register!$AX$6:$AX$205,$B69)&amp;"")</f>
        <v/>
      </c>
      <c r="J69" s="47" t="str">
        <f aca="false">IF($B69="","",N(INDEX(Purchase_Register!$AK$6:$AK$205,$B69)))</f>
        <v/>
      </c>
      <c r="K69" s="47" t="str">
        <f aca="false">IF($B69="","",N(INDEX(Purchase_Register!$AL$6:$AL$205,$B69)))</f>
        <v/>
      </c>
      <c r="L69" s="32" t="str">
        <f aca="false">IF($B69="","",INDEX(Purchase_Register!$BK$6:$BK$205,$B69)&amp;"")</f>
        <v/>
      </c>
    </row>
    <row r="70" customFormat="false" ht="15" hidden="false" customHeight="false" outlineLevel="0" collapsed="false">
      <c r="A70" s="33" t="str">
        <f aca="false">IF(ROWS($A$7:A70)&gt;COUNT(Purchase_Register!$BM$6:$BM$205),"",ROWS($A$7:A70))</f>
        <v/>
      </c>
      <c r="B70" s="33" t="str">
        <f aca="false">IF($A70="","",MATCH(SMALL(Purchase_Register!$BM$6:$BM$205,$A70),Purchase_Register!$BM$6:$BM$205,0))</f>
        <v/>
      </c>
      <c r="C70" s="46" t="str">
        <f aca="false">IF($B70="","",INDEX(Purchase_Register!$BL$6:$BL$205,$B70)&amp;"")</f>
        <v/>
      </c>
      <c r="D70" s="31" t="str">
        <f aca="false">IF($B70="","",INDEX(Purchase_Register!$A$6:$A$205,$B70)&amp;"")</f>
        <v/>
      </c>
      <c r="E70" s="32" t="str">
        <f aca="false">IF($B70="","",INDEX(Purchase_Register!$E$6:$E$205,$B70)&amp;"")</f>
        <v/>
      </c>
      <c r="F70" s="32" t="str">
        <f aca="false">IF($B70="","",INDEX(Purchase_Register!$M$6:$M$205,$B70)&amp;"")</f>
        <v/>
      </c>
      <c r="G70" s="32" t="str">
        <f aca="false">IF($B70="","",INDEX(Purchase_Register!$C$6:$C$205,$B70)&amp;"")</f>
        <v/>
      </c>
      <c r="H70" s="32" t="str">
        <f aca="false">IF($B70="","",INDEX(Purchase_Register!$BI$6:$BI$205,$B70)&amp;"")</f>
        <v/>
      </c>
      <c r="I70" s="32" t="str">
        <f aca="false">IF($B70="","",INDEX(Purchase_Register!$AX$6:$AX$205,$B70)&amp;"")</f>
        <v/>
      </c>
      <c r="J70" s="47" t="str">
        <f aca="false">IF($B70="","",N(INDEX(Purchase_Register!$AK$6:$AK$205,$B70)))</f>
        <v/>
      </c>
      <c r="K70" s="47" t="str">
        <f aca="false">IF($B70="","",N(INDEX(Purchase_Register!$AL$6:$AL$205,$B70)))</f>
        <v/>
      </c>
      <c r="L70" s="32" t="str">
        <f aca="false">IF($B70="","",INDEX(Purchase_Register!$BK$6:$BK$205,$B70)&amp;"")</f>
        <v/>
      </c>
    </row>
    <row r="71" customFormat="false" ht="15" hidden="false" customHeight="false" outlineLevel="0" collapsed="false">
      <c r="A71" s="33" t="str">
        <f aca="false">IF(ROWS($A$7:A71)&gt;COUNT(Purchase_Register!$BM$6:$BM$205),"",ROWS($A$7:A71))</f>
        <v/>
      </c>
      <c r="B71" s="33" t="str">
        <f aca="false">IF($A71="","",MATCH(SMALL(Purchase_Register!$BM$6:$BM$205,$A71),Purchase_Register!$BM$6:$BM$205,0))</f>
        <v/>
      </c>
      <c r="C71" s="46" t="str">
        <f aca="false">IF($B71="","",INDEX(Purchase_Register!$BL$6:$BL$205,$B71)&amp;"")</f>
        <v/>
      </c>
      <c r="D71" s="31" t="str">
        <f aca="false">IF($B71="","",INDEX(Purchase_Register!$A$6:$A$205,$B71)&amp;"")</f>
        <v/>
      </c>
      <c r="E71" s="32" t="str">
        <f aca="false">IF($B71="","",INDEX(Purchase_Register!$E$6:$E$205,$B71)&amp;"")</f>
        <v/>
      </c>
      <c r="F71" s="32" t="str">
        <f aca="false">IF($B71="","",INDEX(Purchase_Register!$M$6:$M$205,$B71)&amp;"")</f>
        <v/>
      </c>
      <c r="G71" s="32" t="str">
        <f aca="false">IF($B71="","",INDEX(Purchase_Register!$C$6:$C$205,$B71)&amp;"")</f>
        <v/>
      </c>
      <c r="H71" s="32" t="str">
        <f aca="false">IF($B71="","",INDEX(Purchase_Register!$BI$6:$BI$205,$B71)&amp;"")</f>
        <v/>
      </c>
      <c r="I71" s="32" t="str">
        <f aca="false">IF($B71="","",INDEX(Purchase_Register!$AX$6:$AX$205,$B71)&amp;"")</f>
        <v/>
      </c>
      <c r="J71" s="47" t="str">
        <f aca="false">IF($B71="","",N(INDEX(Purchase_Register!$AK$6:$AK$205,$B71)))</f>
        <v/>
      </c>
      <c r="K71" s="47" t="str">
        <f aca="false">IF($B71="","",N(INDEX(Purchase_Register!$AL$6:$AL$205,$B71)))</f>
        <v/>
      </c>
      <c r="L71" s="32" t="str">
        <f aca="false">IF($B71="","",INDEX(Purchase_Register!$BK$6:$BK$205,$B71)&amp;"")</f>
        <v/>
      </c>
    </row>
    <row r="72" customFormat="false" ht="15" hidden="false" customHeight="false" outlineLevel="0" collapsed="false">
      <c r="A72" s="33" t="str">
        <f aca="false">IF(ROWS($A$7:A72)&gt;COUNT(Purchase_Register!$BM$6:$BM$205),"",ROWS($A$7:A72))</f>
        <v/>
      </c>
      <c r="B72" s="33" t="str">
        <f aca="false">IF($A72="","",MATCH(SMALL(Purchase_Register!$BM$6:$BM$205,$A72),Purchase_Register!$BM$6:$BM$205,0))</f>
        <v/>
      </c>
      <c r="C72" s="46" t="str">
        <f aca="false">IF($B72="","",INDEX(Purchase_Register!$BL$6:$BL$205,$B72)&amp;"")</f>
        <v/>
      </c>
      <c r="D72" s="31" t="str">
        <f aca="false">IF($B72="","",INDEX(Purchase_Register!$A$6:$A$205,$B72)&amp;"")</f>
        <v/>
      </c>
      <c r="E72" s="32" t="str">
        <f aca="false">IF($B72="","",INDEX(Purchase_Register!$E$6:$E$205,$B72)&amp;"")</f>
        <v/>
      </c>
      <c r="F72" s="32" t="str">
        <f aca="false">IF($B72="","",INDEX(Purchase_Register!$M$6:$M$205,$B72)&amp;"")</f>
        <v/>
      </c>
      <c r="G72" s="32" t="str">
        <f aca="false">IF($B72="","",INDEX(Purchase_Register!$C$6:$C$205,$B72)&amp;"")</f>
        <v/>
      </c>
      <c r="H72" s="32" t="str">
        <f aca="false">IF($B72="","",INDEX(Purchase_Register!$BI$6:$BI$205,$B72)&amp;"")</f>
        <v/>
      </c>
      <c r="I72" s="32" t="str">
        <f aca="false">IF($B72="","",INDEX(Purchase_Register!$AX$6:$AX$205,$B72)&amp;"")</f>
        <v/>
      </c>
      <c r="J72" s="47" t="str">
        <f aca="false">IF($B72="","",N(INDEX(Purchase_Register!$AK$6:$AK$205,$B72)))</f>
        <v/>
      </c>
      <c r="K72" s="47" t="str">
        <f aca="false">IF($B72="","",N(INDEX(Purchase_Register!$AL$6:$AL$205,$B72)))</f>
        <v/>
      </c>
      <c r="L72" s="32" t="str">
        <f aca="false">IF($B72="","",INDEX(Purchase_Register!$BK$6:$BK$205,$B72)&amp;"")</f>
        <v/>
      </c>
    </row>
    <row r="73" customFormat="false" ht="15" hidden="false" customHeight="false" outlineLevel="0" collapsed="false">
      <c r="A73" s="33" t="str">
        <f aca="false">IF(ROWS($A$7:A73)&gt;COUNT(Purchase_Register!$BM$6:$BM$205),"",ROWS($A$7:A73))</f>
        <v/>
      </c>
      <c r="B73" s="33" t="str">
        <f aca="false">IF($A73="","",MATCH(SMALL(Purchase_Register!$BM$6:$BM$205,$A73),Purchase_Register!$BM$6:$BM$205,0))</f>
        <v/>
      </c>
      <c r="C73" s="46" t="str">
        <f aca="false">IF($B73="","",INDEX(Purchase_Register!$BL$6:$BL$205,$B73)&amp;"")</f>
        <v/>
      </c>
      <c r="D73" s="31" t="str">
        <f aca="false">IF($B73="","",INDEX(Purchase_Register!$A$6:$A$205,$B73)&amp;"")</f>
        <v/>
      </c>
      <c r="E73" s="32" t="str">
        <f aca="false">IF($B73="","",INDEX(Purchase_Register!$E$6:$E$205,$B73)&amp;"")</f>
        <v/>
      </c>
      <c r="F73" s="32" t="str">
        <f aca="false">IF($B73="","",INDEX(Purchase_Register!$M$6:$M$205,$B73)&amp;"")</f>
        <v/>
      </c>
      <c r="G73" s="32" t="str">
        <f aca="false">IF($B73="","",INDEX(Purchase_Register!$C$6:$C$205,$B73)&amp;"")</f>
        <v/>
      </c>
      <c r="H73" s="32" t="str">
        <f aca="false">IF($B73="","",INDEX(Purchase_Register!$BI$6:$BI$205,$B73)&amp;"")</f>
        <v/>
      </c>
      <c r="I73" s="32" t="str">
        <f aca="false">IF($B73="","",INDEX(Purchase_Register!$AX$6:$AX$205,$B73)&amp;"")</f>
        <v/>
      </c>
      <c r="J73" s="47" t="str">
        <f aca="false">IF($B73="","",N(INDEX(Purchase_Register!$AK$6:$AK$205,$B73)))</f>
        <v/>
      </c>
      <c r="K73" s="47" t="str">
        <f aca="false">IF($B73="","",N(INDEX(Purchase_Register!$AL$6:$AL$205,$B73)))</f>
        <v/>
      </c>
      <c r="L73" s="32" t="str">
        <f aca="false">IF($B73="","",INDEX(Purchase_Register!$BK$6:$BK$205,$B73)&amp;"")</f>
        <v/>
      </c>
    </row>
    <row r="74" customFormat="false" ht="15" hidden="false" customHeight="false" outlineLevel="0" collapsed="false">
      <c r="A74" s="33" t="str">
        <f aca="false">IF(ROWS($A$7:A74)&gt;COUNT(Purchase_Register!$BM$6:$BM$205),"",ROWS($A$7:A74))</f>
        <v/>
      </c>
      <c r="B74" s="33" t="str">
        <f aca="false">IF($A74="","",MATCH(SMALL(Purchase_Register!$BM$6:$BM$205,$A74),Purchase_Register!$BM$6:$BM$205,0))</f>
        <v/>
      </c>
      <c r="C74" s="46" t="str">
        <f aca="false">IF($B74="","",INDEX(Purchase_Register!$BL$6:$BL$205,$B74)&amp;"")</f>
        <v/>
      </c>
      <c r="D74" s="31" t="str">
        <f aca="false">IF($B74="","",INDEX(Purchase_Register!$A$6:$A$205,$B74)&amp;"")</f>
        <v/>
      </c>
      <c r="E74" s="32" t="str">
        <f aca="false">IF($B74="","",INDEX(Purchase_Register!$E$6:$E$205,$B74)&amp;"")</f>
        <v/>
      </c>
      <c r="F74" s="32" t="str">
        <f aca="false">IF($B74="","",INDEX(Purchase_Register!$M$6:$M$205,$B74)&amp;"")</f>
        <v/>
      </c>
      <c r="G74" s="32" t="str">
        <f aca="false">IF($B74="","",INDEX(Purchase_Register!$C$6:$C$205,$B74)&amp;"")</f>
        <v/>
      </c>
      <c r="H74" s="32" t="str">
        <f aca="false">IF($B74="","",INDEX(Purchase_Register!$BI$6:$BI$205,$B74)&amp;"")</f>
        <v/>
      </c>
      <c r="I74" s="32" t="str">
        <f aca="false">IF($B74="","",INDEX(Purchase_Register!$AX$6:$AX$205,$B74)&amp;"")</f>
        <v/>
      </c>
      <c r="J74" s="47" t="str">
        <f aca="false">IF($B74="","",N(INDEX(Purchase_Register!$AK$6:$AK$205,$B74)))</f>
        <v/>
      </c>
      <c r="K74" s="47" t="str">
        <f aca="false">IF($B74="","",N(INDEX(Purchase_Register!$AL$6:$AL$205,$B74)))</f>
        <v/>
      </c>
      <c r="L74" s="32" t="str">
        <f aca="false">IF($B74="","",INDEX(Purchase_Register!$BK$6:$BK$205,$B74)&amp;"")</f>
        <v/>
      </c>
    </row>
    <row r="75" customFormat="false" ht="15" hidden="false" customHeight="false" outlineLevel="0" collapsed="false">
      <c r="A75" s="33" t="str">
        <f aca="false">IF(ROWS($A$7:A75)&gt;COUNT(Purchase_Register!$BM$6:$BM$205),"",ROWS($A$7:A75))</f>
        <v/>
      </c>
      <c r="B75" s="33" t="str">
        <f aca="false">IF($A75="","",MATCH(SMALL(Purchase_Register!$BM$6:$BM$205,$A75),Purchase_Register!$BM$6:$BM$205,0))</f>
        <v/>
      </c>
      <c r="C75" s="46" t="str">
        <f aca="false">IF($B75="","",INDEX(Purchase_Register!$BL$6:$BL$205,$B75)&amp;"")</f>
        <v/>
      </c>
      <c r="D75" s="31" t="str">
        <f aca="false">IF($B75="","",INDEX(Purchase_Register!$A$6:$A$205,$B75)&amp;"")</f>
        <v/>
      </c>
      <c r="E75" s="32" t="str">
        <f aca="false">IF($B75="","",INDEX(Purchase_Register!$E$6:$E$205,$B75)&amp;"")</f>
        <v/>
      </c>
      <c r="F75" s="32" t="str">
        <f aca="false">IF($B75="","",INDEX(Purchase_Register!$M$6:$M$205,$B75)&amp;"")</f>
        <v/>
      </c>
      <c r="G75" s="32" t="str">
        <f aca="false">IF($B75="","",INDEX(Purchase_Register!$C$6:$C$205,$B75)&amp;"")</f>
        <v/>
      </c>
      <c r="H75" s="32" t="str">
        <f aca="false">IF($B75="","",INDEX(Purchase_Register!$BI$6:$BI$205,$B75)&amp;"")</f>
        <v/>
      </c>
      <c r="I75" s="32" t="str">
        <f aca="false">IF($B75="","",INDEX(Purchase_Register!$AX$6:$AX$205,$B75)&amp;"")</f>
        <v/>
      </c>
      <c r="J75" s="47" t="str">
        <f aca="false">IF($B75="","",N(INDEX(Purchase_Register!$AK$6:$AK$205,$B75)))</f>
        <v/>
      </c>
      <c r="K75" s="47" t="str">
        <f aca="false">IF($B75="","",N(INDEX(Purchase_Register!$AL$6:$AL$205,$B75)))</f>
        <v/>
      </c>
      <c r="L75" s="32" t="str">
        <f aca="false">IF($B75="","",INDEX(Purchase_Register!$BK$6:$BK$205,$B75)&amp;"")</f>
        <v/>
      </c>
    </row>
    <row r="76" customFormat="false" ht="15" hidden="false" customHeight="false" outlineLevel="0" collapsed="false">
      <c r="A76" s="33" t="str">
        <f aca="false">IF(ROWS($A$7:A76)&gt;COUNT(Purchase_Register!$BM$6:$BM$205),"",ROWS($A$7:A76))</f>
        <v/>
      </c>
      <c r="B76" s="33" t="str">
        <f aca="false">IF($A76="","",MATCH(SMALL(Purchase_Register!$BM$6:$BM$205,$A76),Purchase_Register!$BM$6:$BM$205,0))</f>
        <v/>
      </c>
      <c r="C76" s="46" t="str">
        <f aca="false">IF($B76="","",INDEX(Purchase_Register!$BL$6:$BL$205,$B76)&amp;"")</f>
        <v/>
      </c>
      <c r="D76" s="31" t="str">
        <f aca="false">IF($B76="","",INDEX(Purchase_Register!$A$6:$A$205,$B76)&amp;"")</f>
        <v/>
      </c>
      <c r="E76" s="32" t="str">
        <f aca="false">IF($B76="","",INDEX(Purchase_Register!$E$6:$E$205,$B76)&amp;"")</f>
        <v/>
      </c>
      <c r="F76" s="32" t="str">
        <f aca="false">IF($B76="","",INDEX(Purchase_Register!$M$6:$M$205,$B76)&amp;"")</f>
        <v/>
      </c>
      <c r="G76" s="32" t="str">
        <f aca="false">IF($B76="","",INDEX(Purchase_Register!$C$6:$C$205,$B76)&amp;"")</f>
        <v/>
      </c>
      <c r="H76" s="32" t="str">
        <f aca="false">IF($B76="","",INDEX(Purchase_Register!$BI$6:$BI$205,$B76)&amp;"")</f>
        <v/>
      </c>
      <c r="I76" s="32" t="str">
        <f aca="false">IF($B76="","",INDEX(Purchase_Register!$AX$6:$AX$205,$B76)&amp;"")</f>
        <v/>
      </c>
      <c r="J76" s="47" t="str">
        <f aca="false">IF($B76="","",N(INDEX(Purchase_Register!$AK$6:$AK$205,$B76)))</f>
        <v/>
      </c>
      <c r="K76" s="47" t="str">
        <f aca="false">IF($B76="","",N(INDEX(Purchase_Register!$AL$6:$AL$205,$B76)))</f>
        <v/>
      </c>
      <c r="L76" s="32" t="str">
        <f aca="false">IF($B76="","",INDEX(Purchase_Register!$BK$6:$BK$205,$B76)&amp;"")</f>
        <v/>
      </c>
    </row>
    <row r="77" customFormat="false" ht="15" hidden="false" customHeight="false" outlineLevel="0" collapsed="false">
      <c r="A77" s="33" t="str">
        <f aca="false">IF(ROWS($A$7:A77)&gt;COUNT(Purchase_Register!$BM$6:$BM$205),"",ROWS($A$7:A77))</f>
        <v/>
      </c>
      <c r="B77" s="33" t="str">
        <f aca="false">IF($A77="","",MATCH(SMALL(Purchase_Register!$BM$6:$BM$205,$A77),Purchase_Register!$BM$6:$BM$205,0))</f>
        <v/>
      </c>
      <c r="C77" s="46" t="str">
        <f aca="false">IF($B77="","",INDEX(Purchase_Register!$BL$6:$BL$205,$B77)&amp;"")</f>
        <v/>
      </c>
      <c r="D77" s="31" t="str">
        <f aca="false">IF($B77="","",INDEX(Purchase_Register!$A$6:$A$205,$B77)&amp;"")</f>
        <v/>
      </c>
      <c r="E77" s="32" t="str">
        <f aca="false">IF($B77="","",INDEX(Purchase_Register!$E$6:$E$205,$B77)&amp;"")</f>
        <v/>
      </c>
      <c r="F77" s="32" t="str">
        <f aca="false">IF($B77="","",INDEX(Purchase_Register!$M$6:$M$205,$B77)&amp;"")</f>
        <v/>
      </c>
      <c r="G77" s="32" t="str">
        <f aca="false">IF($B77="","",INDEX(Purchase_Register!$C$6:$C$205,$B77)&amp;"")</f>
        <v/>
      </c>
      <c r="H77" s="32" t="str">
        <f aca="false">IF($B77="","",INDEX(Purchase_Register!$BI$6:$BI$205,$B77)&amp;"")</f>
        <v/>
      </c>
      <c r="I77" s="32" t="str">
        <f aca="false">IF($B77="","",INDEX(Purchase_Register!$AX$6:$AX$205,$B77)&amp;"")</f>
        <v/>
      </c>
      <c r="J77" s="47" t="str">
        <f aca="false">IF($B77="","",N(INDEX(Purchase_Register!$AK$6:$AK$205,$B77)))</f>
        <v/>
      </c>
      <c r="K77" s="47" t="str">
        <f aca="false">IF($B77="","",N(INDEX(Purchase_Register!$AL$6:$AL$205,$B77)))</f>
        <v/>
      </c>
      <c r="L77" s="32" t="str">
        <f aca="false">IF($B77="","",INDEX(Purchase_Register!$BK$6:$BK$205,$B77)&amp;"")</f>
        <v/>
      </c>
    </row>
    <row r="78" customFormat="false" ht="15" hidden="false" customHeight="false" outlineLevel="0" collapsed="false">
      <c r="A78" s="33" t="str">
        <f aca="false">IF(ROWS($A$7:A78)&gt;COUNT(Purchase_Register!$BM$6:$BM$205),"",ROWS($A$7:A78))</f>
        <v/>
      </c>
      <c r="B78" s="33" t="str">
        <f aca="false">IF($A78="","",MATCH(SMALL(Purchase_Register!$BM$6:$BM$205,$A78),Purchase_Register!$BM$6:$BM$205,0))</f>
        <v/>
      </c>
      <c r="C78" s="46" t="str">
        <f aca="false">IF($B78="","",INDEX(Purchase_Register!$BL$6:$BL$205,$B78)&amp;"")</f>
        <v/>
      </c>
      <c r="D78" s="31" t="str">
        <f aca="false">IF($B78="","",INDEX(Purchase_Register!$A$6:$A$205,$B78)&amp;"")</f>
        <v/>
      </c>
      <c r="E78" s="32" t="str">
        <f aca="false">IF($B78="","",INDEX(Purchase_Register!$E$6:$E$205,$B78)&amp;"")</f>
        <v/>
      </c>
      <c r="F78" s="32" t="str">
        <f aca="false">IF($B78="","",INDEX(Purchase_Register!$M$6:$M$205,$B78)&amp;"")</f>
        <v/>
      </c>
      <c r="G78" s="32" t="str">
        <f aca="false">IF($B78="","",INDEX(Purchase_Register!$C$6:$C$205,$B78)&amp;"")</f>
        <v/>
      </c>
      <c r="H78" s="32" t="str">
        <f aca="false">IF($B78="","",INDEX(Purchase_Register!$BI$6:$BI$205,$B78)&amp;"")</f>
        <v/>
      </c>
      <c r="I78" s="32" t="str">
        <f aca="false">IF($B78="","",INDEX(Purchase_Register!$AX$6:$AX$205,$B78)&amp;"")</f>
        <v/>
      </c>
      <c r="J78" s="47" t="str">
        <f aca="false">IF($B78="","",N(INDEX(Purchase_Register!$AK$6:$AK$205,$B78)))</f>
        <v/>
      </c>
      <c r="K78" s="47" t="str">
        <f aca="false">IF($B78="","",N(INDEX(Purchase_Register!$AL$6:$AL$205,$B78)))</f>
        <v/>
      </c>
      <c r="L78" s="32" t="str">
        <f aca="false">IF($B78="","",INDEX(Purchase_Register!$BK$6:$BK$205,$B78)&amp;"")</f>
        <v/>
      </c>
    </row>
    <row r="79" customFormat="false" ht="15" hidden="false" customHeight="false" outlineLevel="0" collapsed="false">
      <c r="A79" s="33" t="str">
        <f aca="false">IF(ROWS($A$7:A79)&gt;COUNT(Purchase_Register!$BM$6:$BM$205),"",ROWS($A$7:A79))</f>
        <v/>
      </c>
      <c r="B79" s="33" t="str">
        <f aca="false">IF($A79="","",MATCH(SMALL(Purchase_Register!$BM$6:$BM$205,$A79),Purchase_Register!$BM$6:$BM$205,0))</f>
        <v/>
      </c>
      <c r="C79" s="46" t="str">
        <f aca="false">IF($B79="","",INDEX(Purchase_Register!$BL$6:$BL$205,$B79)&amp;"")</f>
        <v/>
      </c>
      <c r="D79" s="31" t="str">
        <f aca="false">IF($B79="","",INDEX(Purchase_Register!$A$6:$A$205,$B79)&amp;"")</f>
        <v/>
      </c>
      <c r="E79" s="32" t="str">
        <f aca="false">IF($B79="","",INDEX(Purchase_Register!$E$6:$E$205,$B79)&amp;"")</f>
        <v/>
      </c>
      <c r="F79" s="32" t="str">
        <f aca="false">IF($B79="","",INDEX(Purchase_Register!$M$6:$M$205,$B79)&amp;"")</f>
        <v/>
      </c>
      <c r="G79" s="32" t="str">
        <f aca="false">IF($B79="","",INDEX(Purchase_Register!$C$6:$C$205,$B79)&amp;"")</f>
        <v/>
      </c>
      <c r="H79" s="32" t="str">
        <f aca="false">IF($B79="","",INDEX(Purchase_Register!$BI$6:$BI$205,$B79)&amp;"")</f>
        <v/>
      </c>
      <c r="I79" s="32" t="str">
        <f aca="false">IF($B79="","",INDEX(Purchase_Register!$AX$6:$AX$205,$B79)&amp;"")</f>
        <v/>
      </c>
      <c r="J79" s="47" t="str">
        <f aca="false">IF($B79="","",N(INDEX(Purchase_Register!$AK$6:$AK$205,$B79)))</f>
        <v/>
      </c>
      <c r="K79" s="47" t="str">
        <f aca="false">IF($B79="","",N(INDEX(Purchase_Register!$AL$6:$AL$205,$B79)))</f>
        <v/>
      </c>
      <c r="L79" s="32" t="str">
        <f aca="false">IF($B79="","",INDEX(Purchase_Register!$BK$6:$BK$205,$B79)&amp;"")</f>
        <v/>
      </c>
    </row>
    <row r="80" customFormat="false" ht="15" hidden="false" customHeight="false" outlineLevel="0" collapsed="false">
      <c r="A80" s="33" t="str">
        <f aca="false">IF(ROWS($A$7:A80)&gt;COUNT(Purchase_Register!$BM$6:$BM$205),"",ROWS($A$7:A80))</f>
        <v/>
      </c>
      <c r="B80" s="33" t="str">
        <f aca="false">IF($A80="","",MATCH(SMALL(Purchase_Register!$BM$6:$BM$205,$A80),Purchase_Register!$BM$6:$BM$205,0))</f>
        <v/>
      </c>
      <c r="C80" s="46" t="str">
        <f aca="false">IF($B80="","",INDEX(Purchase_Register!$BL$6:$BL$205,$B80)&amp;"")</f>
        <v/>
      </c>
      <c r="D80" s="31" t="str">
        <f aca="false">IF($B80="","",INDEX(Purchase_Register!$A$6:$A$205,$B80)&amp;"")</f>
        <v/>
      </c>
      <c r="E80" s="32" t="str">
        <f aca="false">IF($B80="","",INDEX(Purchase_Register!$E$6:$E$205,$B80)&amp;"")</f>
        <v/>
      </c>
      <c r="F80" s="32" t="str">
        <f aca="false">IF($B80="","",INDEX(Purchase_Register!$M$6:$M$205,$B80)&amp;"")</f>
        <v/>
      </c>
      <c r="G80" s="32" t="str">
        <f aca="false">IF($B80="","",INDEX(Purchase_Register!$C$6:$C$205,$B80)&amp;"")</f>
        <v/>
      </c>
      <c r="H80" s="32" t="str">
        <f aca="false">IF($B80="","",INDEX(Purchase_Register!$BI$6:$BI$205,$B80)&amp;"")</f>
        <v/>
      </c>
      <c r="I80" s="32" t="str">
        <f aca="false">IF($B80="","",INDEX(Purchase_Register!$AX$6:$AX$205,$B80)&amp;"")</f>
        <v/>
      </c>
      <c r="J80" s="47" t="str">
        <f aca="false">IF($B80="","",N(INDEX(Purchase_Register!$AK$6:$AK$205,$B80)))</f>
        <v/>
      </c>
      <c r="K80" s="47" t="str">
        <f aca="false">IF($B80="","",N(INDEX(Purchase_Register!$AL$6:$AL$205,$B80)))</f>
        <v/>
      </c>
      <c r="L80" s="32" t="str">
        <f aca="false">IF($B80="","",INDEX(Purchase_Register!$BK$6:$BK$205,$B80)&amp;"")</f>
        <v/>
      </c>
    </row>
    <row r="81" customFormat="false" ht="15" hidden="false" customHeight="false" outlineLevel="0" collapsed="false">
      <c r="A81" s="33" t="str">
        <f aca="false">IF(ROWS($A$7:A81)&gt;COUNT(Purchase_Register!$BM$6:$BM$205),"",ROWS($A$7:A81))</f>
        <v/>
      </c>
      <c r="B81" s="33" t="str">
        <f aca="false">IF($A81="","",MATCH(SMALL(Purchase_Register!$BM$6:$BM$205,$A81),Purchase_Register!$BM$6:$BM$205,0))</f>
        <v/>
      </c>
      <c r="C81" s="46" t="str">
        <f aca="false">IF($B81="","",INDEX(Purchase_Register!$BL$6:$BL$205,$B81)&amp;"")</f>
        <v/>
      </c>
      <c r="D81" s="31" t="str">
        <f aca="false">IF($B81="","",INDEX(Purchase_Register!$A$6:$A$205,$B81)&amp;"")</f>
        <v/>
      </c>
      <c r="E81" s="32" t="str">
        <f aca="false">IF($B81="","",INDEX(Purchase_Register!$E$6:$E$205,$B81)&amp;"")</f>
        <v/>
      </c>
      <c r="F81" s="32" t="str">
        <f aca="false">IF($B81="","",INDEX(Purchase_Register!$M$6:$M$205,$B81)&amp;"")</f>
        <v/>
      </c>
      <c r="G81" s="32" t="str">
        <f aca="false">IF($B81="","",INDEX(Purchase_Register!$C$6:$C$205,$B81)&amp;"")</f>
        <v/>
      </c>
      <c r="H81" s="32" t="str">
        <f aca="false">IF($B81="","",INDEX(Purchase_Register!$BI$6:$BI$205,$B81)&amp;"")</f>
        <v/>
      </c>
      <c r="I81" s="32" t="str">
        <f aca="false">IF($B81="","",INDEX(Purchase_Register!$AX$6:$AX$205,$B81)&amp;"")</f>
        <v/>
      </c>
      <c r="J81" s="47" t="str">
        <f aca="false">IF($B81="","",N(INDEX(Purchase_Register!$AK$6:$AK$205,$B81)))</f>
        <v/>
      </c>
      <c r="K81" s="47" t="str">
        <f aca="false">IF($B81="","",N(INDEX(Purchase_Register!$AL$6:$AL$205,$B81)))</f>
        <v/>
      </c>
      <c r="L81" s="32" t="str">
        <f aca="false">IF($B81="","",INDEX(Purchase_Register!$BK$6:$BK$205,$B81)&amp;"")</f>
        <v/>
      </c>
    </row>
    <row r="82" customFormat="false" ht="15" hidden="false" customHeight="false" outlineLevel="0" collapsed="false">
      <c r="A82" s="33" t="str">
        <f aca="false">IF(ROWS($A$7:A82)&gt;COUNT(Purchase_Register!$BM$6:$BM$205),"",ROWS($A$7:A82))</f>
        <v/>
      </c>
      <c r="B82" s="33" t="str">
        <f aca="false">IF($A82="","",MATCH(SMALL(Purchase_Register!$BM$6:$BM$205,$A82),Purchase_Register!$BM$6:$BM$205,0))</f>
        <v/>
      </c>
      <c r="C82" s="46" t="str">
        <f aca="false">IF($B82="","",INDEX(Purchase_Register!$BL$6:$BL$205,$B82)&amp;"")</f>
        <v/>
      </c>
      <c r="D82" s="31" t="str">
        <f aca="false">IF($B82="","",INDEX(Purchase_Register!$A$6:$A$205,$B82)&amp;"")</f>
        <v/>
      </c>
      <c r="E82" s="32" t="str">
        <f aca="false">IF($B82="","",INDEX(Purchase_Register!$E$6:$E$205,$B82)&amp;"")</f>
        <v/>
      </c>
      <c r="F82" s="32" t="str">
        <f aca="false">IF($B82="","",INDEX(Purchase_Register!$M$6:$M$205,$B82)&amp;"")</f>
        <v/>
      </c>
      <c r="G82" s="32" t="str">
        <f aca="false">IF($B82="","",INDEX(Purchase_Register!$C$6:$C$205,$B82)&amp;"")</f>
        <v/>
      </c>
      <c r="H82" s="32" t="str">
        <f aca="false">IF($B82="","",INDEX(Purchase_Register!$BI$6:$BI$205,$B82)&amp;"")</f>
        <v/>
      </c>
      <c r="I82" s="32" t="str">
        <f aca="false">IF($B82="","",INDEX(Purchase_Register!$AX$6:$AX$205,$B82)&amp;"")</f>
        <v/>
      </c>
      <c r="J82" s="47" t="str">
        <f aca="false">IF($B82="","",N(INDEX(Purchase_Register!$AK$6:$AK$205,$B82)))</f>
        <v/>
      </c>
      <c r="K82" s="47" t="str">
        <f aca="false">IF($B82="","",N(INDEX(Purchase_Register!$AL$6:$AL$205,$B82)))</f>
        <v/>
      </c>
      <c r="L82" s="32" t="str">
        <f aca="false">IF($B82="","",INDEX(Purchase_Register!$BK$6:$BK$205,$B82)&amp;"")</f>
        <v/>
      </c>
    </row>
    <row r="83" customFormat="false" ht="15" hidden="false" customHeight="false" outlineLevel="0" collapsed="false">
      <c r="A83" s="33" t="str">
        <f aca="false">IF(ROWS($A$7:A83)&gt;COUNT(Purchase_Register!$BM$6:$BM$205),"",ROWS($A$7:A83))</f>
        <v/>
      </c>
      <c r="B83" s="33" t="str">
        <f aca="false">IF($A83="","",MATCH(SMALL(Purchase_Register!$BM$6:$BM$205,$A83),Purchase_Register!$BM$6:$BM$205,0))</f>
        <v/>
      </c>
      <c r="C83" s="46" t="str">
        <f aca="false">IF($B83="","",INDEX(Purchase_Register!$BL$6:$BL$205,$B83)&amp;"")</f>
        <v/>
      </c>
      <c r="D83" s="31" t="str">
        <f aca="false">IF($B83="","",INDEX(Purchase_Register!$A$6:$A$205,$B83)&amp;"")</f>
        <v/>
      </c>
      <c r="E83" s="32" t="str">
        <f aca="false">IF($B83="","",INDEX(Purchase_Register!$E$6:$E$205,$B83)&amp;"")</f>
        <v/>
      </c>
      <c r="F83" s="32" t="str">
        <f aca="false">IF($B83="","",INDEX(Purchase_Register!$M$6:$M$205,$B83)&amp;"")</f>
        <v/>
      </c>
      <c r="G83" s="32" t="str">
        <f aca="false">IF($B83="","",INDEX(Purchase_Register!$C$6:$C$205,$B83)&amp;"")</f>
        <v/>
      </c>
      <c r="H83" s="32" t="str">
        <f aca="false">IF($B83="","",INDEX(Purchase_Register!$BI$6:$BI$205,$B83)&amp;"")</f>
        <v/>
      </c>
      <c r="I83" s="32" t="str">
        <f aca="false">IF($B83="","",INDEX(Purchase_Register!$AX$6:$AX$205,$B83)&amp;"")</f>
        <v/>
      </c>
      <c r="J83" s="47" t="str">
        <f aca="false">IF($B83="","",N(INDEX(Purchase_Register!$AK$6:$AK$205,$B83)))</f>
        <v/>
      </c>
      <c r="K83" s="47" t="str">
        <f aca="false">IF($B83="","",N(INDEX(Purchase_Register!$AL$6:$AL$205,$B83)))</f>
        <v/>
      </c>
      <c r="L83" s="32" t="str">
        <f aca="false">IF($B83="","",INDEX(Purchase_Register!$BK$6:$BK$205,$B83)&amp;"")</f>
        <v/>
      </c>
    </row>
    <row r="84" customFormat="false" ht="15" hidden="false" customHeight="false" outlineLevel="0" collapsed="false">
      <c r="A84" s="33" t="str">
        <f aca="false">IF(ROWS($A$7:A84)&gt;COUNT(Purchase_Register!$BM$6:$BM$205),"",ROWS($A$7:A84))</f>
        <v/>
      </c>
      <c r="B84" s="33" t="str">
        <f aca="false">IF($A84="","",MATCH(SMALL(Purchase_Register!$BM$6:$BM$205,$A84),Purchase_Register!$BM$6:$BM$205,0))</f>
        <v/>
      </c>
      <c r="C84" s="46" t="str">
        <f aca="false">IF($B84="","",INDEX(Purchase_Register!$BL$6:$BL$205,$B84)&amp;"")</f>
        <v/>
      </c>
      <c r="D84" s="31" t="str">
        <f aca="false">IF($B84="","",INDEX(Purchase_Register!$A$6:$A$205,$B84)&amp;"")</f>
        <v/>
      </c>
      <c r="E84" s="32" t="str">
        <f aca="false">IF($B84="","",INDEX(Purchase_Register!$E$6:$E$205,$B84)&amp;"")</f>
        <v/>
      </c>
      <c r="F84" s="32" t="str">
        <f aca="false">IF($B84="","",INDEX(Purchase_Register!$M$6:$M$205,$B84)&amp;"")</f>
        <v/>
      </c>
      <c r="G84" s="32" t="str">
        <f aca="false">IF($B84="","",INDEX(Purchase_Register!$C$6:$C$205,$B84)&amp;"")</f>
        <v/>
      </c>
      <c r="H84" s="32" t="str">
        <f aca="false">IF($B84="","",INDEX(Purchase_Register!$BI$6:$BI$205,$B84)&amp;"")</f>
        <v/>
      </c>
      <c r="I84" s="32" t="str">
        <f aca="false">IF($B84="","",INDEX(Purchase_Register!$AX$6:$AX$205,$B84)&amp;"")</f>
        <v/>
      </c>
      <c r="J84" s="47" t="str">
        <f aca="false">IF($B84="","",N(INDEX(Purchase_Register!$AK$6:$AK$205,$B84)))</f>
        <v/>
      </c>
      <c r="K84" s="47" t="str">
        <f aca="false">IF($B84="","",N(INDEX(Purchase_Register!$AL$6:$AL$205,$B84)))</f>
        <v/>
      </c>
      <c r="L84" s="32" t="str">
        <f aca="false">IF($B84="","",INDEX(Purchase_Register!$BK$6:$BK$205,$B84)&amp;"")</f>
        <v/>
      </c>
    </row>
    <row r="85" customFormat="false" ht="15" hidden="false" customHeight="false" outlineLevel="0" collapsed="false">
      <c r="A85" s="33" t="str">
        <f aca="false">IF(ROWS($A$7:A85)&gt;COUNT(Purchase_Register!$BM$6:$BM$205),"",ROWS($A$7:A85))</f>
        <v/>
      </c>
      <c r="B85" s="33" t="str">
        <f aca="false">IF($A85="","",MATCH(SMALL(Purchase_Register!$BM$6:$BM$205,$A85),Purchase_Register!$BM$6:$BM$205,0))</f>
        <v/>
      </c>
      <c r="C85" s="46" t="str">
        <f aca="false">IF($B85="","",INDEX(Purchase_Register!$BL$6:$BL$205,$B85)&amp;"")</f>
        <v/>
      </c>
      <c r="D85" s="31" t="str">
        <f aca="false">IF($B85="","",INDEX(Purchase_Register!$A$6:$A$205,$B85)&amp;"")</f>
        <v/>
      </c>
      <c r="E85" s="32" t="str">
        <f aca="false">IF($B85="","",INDEX(Purchase_Register!$E$6:$E$205,$B85)&amp;"")</f>
        <v/>
      </c>
      <c r="F85" s="32" t="str">
        <f aca="false">IF($B85="","",INDEX(Purchase_Register!$M$6:$M$205,$B85)&amp;"")</f>
        <v/>
      </c>
      <c r="G85" s="32" t="str">
        <f aca="false">IF($B85="","",INDEX(Purchase_Register!$C$6:$C$205,$B85)&amp;"")</f>
        <v/>
      </c>
      <c r="H85" s="32" t="str">
        <f aca="false">IF($B85="","",INDEX(Purchase_Register!$BI$6:$BI$205,$B85)&amp;"")</f>
        <v/>
      </c>
      <c r="I85" s="32" t="str">
        <f aca="false">IF($B85="","",INDEX(Purchase_Register!$AX$6:$AX$205,$B85)&amp;"")</f>
        <v/>
      </c>
      <c r="J85" s="47" t="str">
        <f aca="false">IF($B85="","",N(INDEX(Purchase_Register!$AK$6:$AK$205,$B85)))</f>
        <v/>
      </c>
      <c r="K85" s="47" t="str">
        <f aca="false">IF($B85="","",N(INDEX(Purchase_Register!$AL$6:$AL$205,$B85)))</f>
        <v/>
      </c>
      <c r="L85" s="32" t="str">
        <f aca="false">IF($B85="","",INDEX(Purchase_Register!$BK$6:$BK$205,$B85)&amp;"")</f>
        <v/>
      </c>
    </row>
    <row r="86" customFormat="false" ht="15" hidden="false" customHeight="false" outlineLevel="0" collapsed="false">
      <c r="A86" s="33" t="str">
        <f aca="false">IF(ROWS($A$7:A86)&gt;COUNT(Purchase_Register!$BM$6:$BM$205),"",ROWS($A$7:A86))</f>
        <v/>
      </c>
      <c r="B86" s="33" t="str">
        <f aca="false">IF($A86="","",MATCH(SMALL(Purchase_Register!$BM$6:$BM$205,$A86),Purchase_Register!$BM$6:$BM$205,0))</f>
        <v/>
      </c>
      <c r="C86" s="46" t="str">
        <f aca="false">IF($B86="","",INDEX(Purchase_Register!$BL$6:$BL$205,$B86)&amp;"")</f>
        <v/>
      </c>
      <c r="D86" s="31" t="str">
        <f aca="false">IF($B86="","",INDEX(Purchase_Register!$A$6:$A$205,$B86)&amp;"")</f>
        <v/>
      </c>
      <c r="E86" s="32" t="str">
        <f aca="false">IF($B86="","",INDEX(Purchase_Register!$E$6:$E$205,$B86)&amp;"")</f>
        <v/>
      </c>
      <c r="F86" s="32" t="str">
        <f aca="false">IF($B86="","",INDEX(Purchase_Register!$M$6:$M$205,$B86)&amp;"")</f>
        <v/>
      </c>
      <c r="G86" s="32" t="str">
        <f aca="false">IF($B86="","",INDEX(Purchase_Register!$C$6:$C$205,$B86)&amp;"")</f>
        <v/>
      </c>
      <c r="H86" s="32" t="str">
        <f aca="false">IF($B86="","",INDEX(Purchase_Register!$BI$6:$BI$205,$B86)&amp;"")</f>
        <v/>
      </c>
      <c r="I86" s="32" t="str">
        <f aca="false">IF($B86="","",INDEX(Purchase_Register!$AX$6:$AX$205,$B86)&amp;"")</f>
        <v/>
      </c>
      <c r="J86" s="47" t="str">
        <f aca="false">IF($B86="","",N(INDEX(Purchase_Register!$AK$6:$AK$205,$B86)))</f>
        <v/>
      </c>
      <c r="K86" s="47" t="str">
        <f aca="false">IF($B86="","",N(INDEX(Purchase_Register!$AL$6:$AL$205,$B86)))</f>
        <v/>
      </c>
      <c r="L86" s="32" t="str">
        <f aca="false">IF($B86="","",INDEX(Purchase_Register!$BK$6:$BK$205,$B86)&amp;"")</f>
        <v/>
      </c>
    </row>
    <row r="87" customFormat="false" ht="15" hidden="false" customHeight="false" outlineLevel="0" collapsed="false">
      <c r="A87" s="33" t="str">
        <f aca="false">IF(ROWS($A$7:A87)&gt;COUNT(Purchase_Register!$BM$6:$BM$205),"",ROWS($A$7:A87))</f>
        <v/>
      </c>
      <c r="B87" s="33" t="str">
        <f aca="false">IF($A87="","",MATCH(SMALL(Purchase_Register!$BM$6:$BM$205,$A87),Purchase_Register!$BM$6:$BM$205,0))</f>
        <v/>
      </c>
      <c r="C87" s="46" t="str">
        <f aca="false">IF($B87="","",INDEX(Purchase_Register!$BL$6:$BL$205,$B87)&amp;"")</f>
        <v/>
      </c>
      <c r="D87" s="31" t="str">
        <f aca="false">IF($B87="","",INDEX(Purchase_Register!$A$6:$A$205,$B87)&amp;"")</f>
        <v/>
      </c>
      <c r="E87" s="32" t="str">
        <f aca="false">IF($B87="","",INDEX(Purchase_Register!$E$6:$E$205,$B87)&amp;"")</f>
        <v/>
      </c>
      <c r="F87" s="32" t="str">
        <f aca="false">IF($B87="","",INDEX(Purchase_Register!$M$6:$M$205,$B87)&amp;"")</f>
        <v/>
      </c>
      <c r="G87" s="32" t="str">
        <f aca="false">IF($B87="","",INDEX(Purchase_Register!$C$6:$C$205,$B87)&amp;"")</f>
        <v/>
      </c>
      <c r="H87" s="32" t="str">
        <f aca="false">IF($B87="","",INDEX(Purchase_Register!$BI$6:$BI$205,$B87)&amp;"")</f>
        <v/>
      </c>
      <c r="I87" s="32" t="str">
        <f aca="false">IF($B87="","",INDEX(Purchase_Register!$AX$6:$AX$205,$B87)&amp;"")</f>
        <v/>
      </c>
      <c r="J87" s="47" t="str">
        <f aca="false">IF($B87="","",N(INDEX(Purchase_Register!$AK$6:$AK$205,$B87)))</f>
        <v/>
      </c>
      <c r="K87" s="47" t="str">
        <f aca="false">IF($B87="","",N(INDEX(Purchase_Register!$AL$6:$AL$205,$B87)))</f>
        <v/>
      </c>
      <c r="L87" s="32" t="str">
        <f aca="false">IF($B87="","",INDEX(Purchase_Register!$BK$6:$BK$205,$B87)&amp;"")</f>
        <v/>
      </c>
    </row>
    <row r="88" customFormat="false" ht="15" hidden="false" customHeight="false" outlineLevel="0" collapsed="false">
      <c r="A88" s="33" t="str">
        <f aca="false">IF(ROWS($A$7:A88)&gt;COUNT(Purchase_Register!$BM$6:$BM$205),"",ROWS($A$7:A88))</f>
        <v/>
      </c>
      <c r="B88" s="33" t="str">
        <f aca="false">IF($A88="","",MATCH(SMALL(Purchase_Register!$BM$6:$BM$205,$A88),Purchase_Register!$BM$6:$BM$205,0))</f>
        <v/>
      </c>
      <c r="C88" s="46" t="str">
        <f aca="false">IF($B88="","",INDEX(Purchase_Register!$BL$6:$BL$205,$B88)&amp;"")</f>
        <v/>
      </c>
      <c r="D88" s="31" t="str">
        <f aca="false">IF($B88="","",INDEX(Purchase_Register!$A$6:$A$205,$B88)&amp;"")</f>
        <v/>
      </c>
      <c r="E88" s="32" t="str">
        <f aca="false">IF($B88="","",INDEX(Purchase_Register!$E$6:$E$205,$B88)&amp;"")</f>
        <v/>
      </c>
      <c r="F88" s="32" t="str">
        <f aca="false">IF($B88="","",INDEX(Purchase_Register!$M$6:$M$205,$B88)&amp;"")</f>
        <v/>
      </c>
      <c r="G88" s="32" t="str">
        <f aca="false">IF($B88="","",INDEX(Purchase_Register!$C$6:$C$205,$B88)&amp;"")</f>
        <v/>
      </c>
      <c r="H88" s="32" t="str">
        <f aca="false">IF($B88="","",INDEX(Purchase_Register!$BI$6:$BI$205,$B88)&amp;"")</f>
        <v/>
      </c>
      <c r="I88" s="32" t="str">
        <f aca="false">IF($B88="","",INDEX(Purchase_Register!$AX$6:$AX$205,$B88)&amp;"")</f>
        <v/>
      </c>
      <c r="J88" s="47" t="str">
        <f aca="false">IF($B88="","",N(INDEX(Purchase_Register!$AK$6:$AK$205,$B88)))</f>
        <v/>
      </c>
      <c r="K88" s="47" t="str">
        <f aca="false">IF($B88="","",N(INDEX(Purchase_Register!$AL$6:$AL$205,$B88)))</f>
        <v/>
      </c>
      <c r="L88" s="32" t="str">
        <f aca="false">IF($B88="","",INDEX(Purchase_Register!$BK$6:$BK$205,$B88)&amp;"")</f>
        <v/>
      </c>
    </row>
    <row r="89" customFormat="false" ht="15" hidden="false" customHeight="false" outlineLevel="0" collapsed="false">
      <c r="A89" s="33" t="str">
        <f aca="false">IF(ROWS($A$7:A89)&gt;COUNT(Purchase_Register!$BM$6:$BM$205),"",ROWS($A$7:A89))</f>
        <v/>
      </c>
      <c r="B89" s="33" t="str">
        <f aca="false">IF($A89="","",MATCH(SMALL(Purchase_Register!$BM$6:$BM$205,$A89),Purchase_Register!$BM$6:$BM$205,0))</f>
        <v/>
      </c>
      <c r="C89" s="46" t="str">
        <f aca="false">IF($B89="","",INDEX(Purchase_Register!$BL$6:$BL$205,$B89)&amp;"")</f>
        <v/>
      </c>
      <c r="D89" s="31" t="str">
        <f aca="false">IF($B89="","",INDEX(Purchase_Register!$A$6:$A$205,$B89)&amp;"")</f>
        <v/>
      </c>
      <c r="E89" s="32" t="str">
        <f aca="false">IF($B89="","",INDEX(Purchase_Register!$E$6:$E$205,$B89)&amp;"")</f>
        <v/>
      </c>
      <c r="F89" s="32" t="str">
        <f aca="false">IF($B89="","",INDEX(Purchase_Register!$M$6:$M$205,$B89)&amp;"")</f>
        <v/>
      </c>
      <c r="G89" s="32" t="str">
        <f aca="false">IF($B89="","",INDEX(Purchase_Register!$C$6:$C$205,$B89)&amp;"")</f>
        <v/>
      </c>
      <c r="H89" s="32" t="str">
        <f aca="false">IF($B89="","",INDEX(Purchase_Register!$BI$6:$BI$205,$B89)&amp;"")</f>
        <v/>
      </c>
      <c r="I89" s="32" t="str">
        <f aca="false">IF($B89="","",INDEX(Purchase_Register!$AX$6:$AX$205,$B89)&amp;"")</f>
        <v/>
      </c>
      <c r="J89" s="47" t="str">
        <f aca="false">IF($B89="","",N(INDEX(Purchase_Register!$AK$6:$AK$205,$B89)))</f>
        <v/>
      </c>
      <c r="K89" s="47" t="str">
        <f aca="false">IF($B89="","",N(INDEX(Purchase_Register!$AL$6:$AL$205,$B89)))</f>
        <v/>
      </c>
      <c r="L89" s="32" t="str">
        <f aca="false">IF($B89="","",INDEX(Purchase_Register!$BK$6:$BK$205,$B89)&amp;"")</f>
        <v/>
      </c>
    </row>
    <row r="90" customFormat="false" ht="15" hidden="false" customHeight="false" outlineLevel="0" collapsed="false">
      <c r="A90" s="33" t="str">
        <f aca="false">IF(ROWS($A$7:A90)&gt;COUNT(Purchase_Register!$BM$6:$BM$205),"",ROWS($A$7:A90))</f>
        <v/>
      </c>
      <c r="B90" s="33" t="str">
        <f aca="false">IF($A90="","",MATCH(SMALL(Purchase_Register!$BM$6:$BM$205,$A90),Purchase_Register!$BM$6:$BM$205,0))</f>
        <v/>
      </c>
      <c r="C90" s="46" t="str">
        <f aca="false">IF($B90="","",INDEX(Purchase_Register!$BL$6:$BL$205,$B90)&amp;"")</f>
        <v/>
      </c>
      <c r="D90" s="31" t="str">
        <f aca="false">IF($B90="","",INDEX(Purchase_Register!$A$6:$A$205,$B90)&amp;"")</f>
        <v/>
      </c>
      <c r="E90" s="32" t="str">
        <f aca="false">IF($B90="","",INDEX(Purchase_Register!$E$6:$E$205,$B90)&amp;"")</f>
        <v/>
      </c>
      <c r="F90" s="32" t="str">
        <f aca="false">IF($B90="","",INDEX(Purchase_Register!$M$6:$M$205,$B90)&amp;"")</f>
        <v/>
      </c>
      <c r="G90" s="32" t="str">
        <f aca="false">IF($B90="","",INDEX(Purchase_Register!$C$6:$C$205,$B90)&amp;"")</f>
        <v/>
      </c>
      <c r="H90" s="32" t="str">
        <f aca="false">IF($B90="","",INDEX(Purchase_Register!$BI$6:$BI$205,$B90)&amp;"")</f>
        <v/>
      </c>
      <c r="I90" s="32" t="str">
        <f aca="false">IF($B90="","",INDEX(Purchase_Register!$AX$6:$AX$205,$B90)&amp;"")</f>
        <v/>
      </c>
      <c r="J90" s="47" t="str">
        <f aca="false">IF($B90="","",N(INDEX(Purchase_Register!$AK$6:$AK$205,$B90)))</f>
        <v/>
      </c>
      <c r="K90" s="47" t="str">
        <f aca="false">IF($B90="","",N(INDEX(Purchase_Register!$AL$6:$AL$205,$B90)))</f>
        <v/>
      </c>
      <c r="L90" s="32" t="str">
        <f aca="false">IF($B90="","",INDEX(Purchase_Register!$BK$6:$BK$205,$B90)&amp;"")</f>
        <v/>
      </c>
    </row>
    <row r="91" customFormat="false" ht="15" hidden="false" customHeight="false" outlineLevel="0" collapsed="false">
      <c r="A91" s="33" t="str">
        <f aca="false">IF(ROWS($A$7:A91)&gt;COUNT(Purchase_Register!$BM$6:$BM$205),"",ROWS($A$7:A91))</f>
        <v/>
      </c>
      <c r="B91" s="33" t="str">
        <f aca="false">IF($A91="","",MATCH(SMALL(Purchase_Register!$BM$6:$BM$205,$A91),Purchase_Register!$BM$6:$BM$205,0))</f>
        <v/>
      </c>
      <c r="C91" s="46" t="str">
        <f aca="false">IF($B91="","",INDEX(Purchase_Register!$BL$6:$BL$205,$B91)&amp;"")</f>
        <v/>
      </c>
      <c r="D91" s="31" t="str">
        <f aca="false">IF($B91="","",INDEX(Purchase_Register!$A$6:$A$205,$B91)&amp;"")</f>
        <v/>
      </c>
      <c r="E91" s="32" t="str">
        <f aca="false">IF($B91="","",INDEX(Purchase_Register!$E$6:$E$205,$B91)&amp;"")</f>
        <v/>
      </c>
      <c r="F91" s="32" t="str">
        <f aca="false">IF($B91="","",INDEX(Purchase_Register!$M$6:$M$205,$B91)&amp;"")</f>
        <v/>
      </c>
      <c r="G91" s="32" t="str">
        <f aca="false">IF($B91="","",INDEX(Purchase_Register!$C$6:$C$205,$B91)&amp;"")</f>
        <v/>
      </c>
      <c r="H91" s="32" t="str">
        <f aca="false">IF($B91="","",INDEX(Purchase_Register!$BI$6:$BI$205,$B91)&amp;"")</f>
        <v/>
      </c>
      <c r="I91" s="32" t="str">
        <f aca="false">IF($B91="","",INDEX(Purchase_Register!$AX$6:$AX$205,$B91)&amp;"")</f>
        <v/>
      </c>
      <c r="J91" s="47" t="str">
        <f aca="false">IF($B91="","",N(INDEX(Purchase_Register!$AK$6:$AK$205,$B91)))</f>
        <v/>
      </c>
      <c r="K91" s="47" t="str">
        <f aca="false">IF($B91="","",N(INDEX(Purchase_Register!$AL$6:$AL$205,$B91)))</f>
        <v/>
      </c>
      <c r="L91" s="32" t="str">
        <f aca="false">IF($B91="","",INDEX(Purchase_Register!$BK$6:$BK$205,$B91)&amp;"")</f>
        <v/>
      </c>
    </row>
    <row r="92" customFormat="false" ht="15" hidden="false" customHeight="false" outlineLevel="0" collapsed="false">
      <c r="A92" s="33" t="str">
        <f aca="false">IF(ROWS($A$7:A92)&gt;COUNT(Purchase_Register!$BM$6:$BM$205),"",ROWS($A$7:A92))</f>
        <v/>
      </c>
      <c r="B92" s="33" t="str">
        <f aca="false">IF($A92="","",MATCH(SMALL(Purchase_Register!$BM$6:$BM$205,$A92),Purchase_Register!$BM$6:$BM$205,0))</f>
        <v/>
      </c>
      <c r="C92" s="46" t="str">
        <f aca="false">IF($B92="","",INDEX(Purchase_Register!$BL$6:$BL$205,$B92)&amp;"")</f>
        <v/>
      </c>
      <c r="D92" s="31" t="str">
        <f aca="false">IF($B92="","",INDEX(Purchase_Register!$A$6:$A$205,$B92)&amp;"")</f>
        <v/>
      </c>
      <c r="E92" s="32" t="str">
        <f aca="false">IF($B92="","",INDEX(Purchase_Register!$E$6:$E$205,$B92)&amp;"")</f>
        <v/>
      </c>
      <c r="F92" s="32" t="str">
        <f aca="false">IF($B92="","",INDEX(Purchase_Register!$M$6:$M$205,$B92)&amp;"")</f>
        <v/>
      </c>
      <c r="G92" s="32" t="str">
        <f aca="false">IF($B92="","",INDEX(Purchase_Register!$C$6:$C$205,$B92)&amp;"")</f>
        <v/>
      </c>
      <c r="H92" s="32" t="str">
        <f aca="false">IF($B92="","",INDEX(Purchase_Register!$BI$6:$BI$205,$B92)&amp;"")</f>
        <v/>
      </c>
      <c r="I92" s="32" t="str">
        <f aca="false">IF($B92="","",INDEX(Purchase_Register!$AX$6:$AX$205,$B92)&amp;"")</f>
        <v/>
      </c>
      <c r="J92" s="47" t="str">
        <f aca="false">IF($B92="","",N(INDEX(Purchase_Register!$AK$6:$AK$205,$B92)))</f>
        <v/>
      </c>
      <c r="K92" s="47" t="str">
        <f aca="false">IF($B92="","",N(INDEX(Purchase_Register!$AL$6:$AL$205,$B92)))</f>
        <v/>
      </c>
      <c r="L92" s="32" t="str">
        <f aca="false">IF($B92="","",INDEX(Purchase_Register!$BK$6:$BK$205,$B92)&amp;"")</f>
        <v/>
      </c>
    </row>
    <row r="93" customFormat="false" ht="15" hidden="false" customHeight="false" outlineLevel="0" collapsed="false">
      <c r="A93" s="33" t="str">
        <f aca="false">IF(ROWS($A$7:A93)&gt;COUNT(Purchase_Register!$BM$6:$BM$205),"",ROWS($A$7:A93))</f>
        <v/>
      </c>
      <c r="B93" s="33" t="str">
        <f aca="false">IF($A93="","",MATCH(SMALL(Purchase_Register!$BM$6:$BM$205,$A93),Purchase_Register!$BM$6:$BM$205,0))</f>
        <v/>
      </c>
      <c r="C93" s="46" t="str">
        <f aca="false">IF($B93="","",INDEX(Purchase_Register!$BL$6:$BL$205,$B93)&amp;"")</f>
        <v/>
      </c>
      <c r="D93" s="31" t="str">
        <f aca="false">IF($B93="","",INDEX(Purchase_Register!$A$6:$A$205,$B93)&amp;"")</f>
        <v/>
      </c>
      <c r="E93" s="32" t="str">
        <f aca="false">IF($B93="","",INDEX(Purchase_Register!$E$6:$E$205,$B93)&amp;"")</f>
        <v/>
      </c>
      <c r="F93" s="32" t="str">
        <f aca="false">IF($B93="","",INDEX(Purchase_Register!$M$6:$M$205,$B93)&amp;"")</f>
        <v/>
      </c>
      <c r="G93" s="32" t="str">
        <f aca="false">IF($B93="","",INDEX(Purchase_Register!$C$6:$C$205,$B93)&amp;"")</f>
        <v/>
      </c>
      <c r="H93" s="32" t="str">
        <f aca="false">IF($B93="","",INDEX(Purchase_Register!$BI$6:$BI$205,$B93)&amp;"")</f>
        <v/>
      </c>
      <c r="I93" s="32" t="str">
        <f aca="false">IF($B93="","",INDEX(Purchase_Register!$AX$6:$AX$205,$B93)&amp;"")</f>
        <v/>
      </c>
      <c r="J93" s="47" t="str">
        <f aca="false">IF($B93="","",N(INDEX(Purchase_Register!$AK$6:$AK$205,$B93)))</f>
        <v/>
      </c>
      <c r="K93" s="47" t="str">
        <f aca="false">IF($B93="","",N(INDEX(Purchase_Register!$AL$6:$AL$205,$B93)))</f>
        <v/>
      </c>
      <c r="L93" s="32" t="str">
        <f aca="false">IF($B93="","",INDEX(Purchase_Register!$BK$6:$BK$205,$B93)&amp;"")</f>
        <v/>
      </c>
    </row>
    <row r="94" customFormat="false" ht="15" hidden="false" customHeight="false" outlineLevel="0" collapsed="false">
      <c r="A94" s="33" t="str">
        <f aca="false">IF(ROWS($A$7:A94)&gt;COUNT(Purchase_Register!$BM$6:$BM$205),"",ROWS($A$7:A94))</f>
        <v/>
      </c>
      <c r="B94" s="33" t="str">
        <f aca="false">IF($A94="","",MATCH(SMALL(Purchase_Register!$BM$6:$BM$205,$A94),Purchase_Register!$BM$6:$BM$205,0))</f>
        <v/>
      </c>
      <c r="C94" s="46" t="str">
        <f aca="false">IF($B94="","",INDEX(Purchase_Register!$BL$6:$BL$205,$B94)&amp;"")</f>
        <v/>
      </c>
      <c r="D94" s="31" t="str">
        <f aca="false">IF($B94="","",INDEX(Purchase_Register!$A$6:$A$205,$B94)&amp;"")</f>
        <v/>
      </c>
      <c r="E94" s="32" t="str">
        <f aca="false">IF($B94="","",INDEX(Purchase_Register!$E$6:$E$205,$B94)&amp;"")</f>
        <v/>
      </c>
      <c r="F94" s="32" t="str">
        <f aca="false">IF($B94="","",INDEX(Purchase_Register!$M$6:$M$205,$B94)&amp;"")</f>
        <v/>
      </c>
      <c r="G94" s="32" t="str">
        <f aca="false">IF($B94="","",INDEX(Purchase_Register!$C$6:$C$205,$B94)&amp;"")</f>
        <v/>
      </c>
      <c r="H94" s="32" t="str">
        <f aca="false">IF($B94="","",INDEX(Purchase_Register!$BI$6:$BI$205,$B94)&amp;"")</f>
        <v/>
      </c>
      <c r="I94" s="32" t="str">
        <f aca="false">IF($B94="","",INDEX(Purchase_Register!$AX$6:$AX$205,$B94)&amp;"")</f>
        <v/>
      </c>
      <c r="J94" s="47" t="str">
        <f aca="false">IF($B94="","",N(INDEX(Purchase_Register!$AK$6:$AK$205,$B94)))</f>
        <v/>
      </c>
      <c r="K94" s="47" t="str">
        <f aca="false">IF($B94="","",N(INDEX(Purchase_Register!$AL$6:$AL$205,$B94)))</f>
        <v/>
      </c>
      <c r="L94" s="32" t="str">
        <f aca="false">IF($B94="","",INDEX(Purchase_Register!$BK$6:$BK$205,$B94)&amp;"")</f>
        <v/>
      </c>
    </row>
    <row r="95" customFormat="false" ht="15" hidden="false" customHeight="false" outlineLevel="0" collapsed="false">
      <c r="A95" s="33" t="str">
        <f aca="false">IF(ROWS($A$7:A95)&gt;COUNT(Purchase_Register!$BM$6:$BM$205),"",ROWS($A$7:A95))</f>
        <v/>
      </c>
      <c r="B95" s="33" t="str">
        <f aca="false">IF($A95="","",MATCH(SMALL(Purchase_Register!$BM$6:$BM$205,$A95),Purchase_Register!$BM$6:$BM$205,0))</f>
        <v/>
      </c>
      <c r="C95" s="46" t="str">
        <f aca="false">IF($B95="","",INDEX(Purchase_Register!$BL$6:$BL$205,$B95)&amp;"")</f>
        <v/>
      </c>
      <c r="D95" s="31" t="str">
        <f aca="false">IF($B95="","",INDEX(Purchase_Register!$A$6:$A$205,$B95)&amp;"")</f>
        <v/>
      </c>
      <c r="E95" s="32" t="str">
        <f aca="false">IF($B95="","",INDEX(Purchase_Register!$E$6:$E$205,$B95)&amp;"")</f>
        <v/>
      </c>
      <c r="F95" s="32" t="str">
        <f aca="false">IF($B95="","",INDEX(Purchase_Register!$M$6:$M$205,$B95)&amp;"")</f>
        <v/>
      </c>
      <c r="G95" s="32" t="str">
        <f aca="false">IF($B95="","",INDEX(Purchase_Register!$C$6:$C$205,$B95)&amp;"")</f>
        <v/>
      </c>
      <c r="H95" s="32" t="str">
        <f aca="false">IF($B95="","",INDEX(Purchase_Register!$BI$6:$BI$205,$B95)&amp;"")</f>
        <v/>
      </c>
      <c r="I95" s="32" t="str">
        <f aca="false">IF($B95="","",INDEX(Purchase_Register!$AX$6:$AX$205,$B95)&amp;"")</f>
        <v/>
      </c>
      <c r="J95" s="47" t="str">
        <f aca="false">IF($B95="","",N(INDEX(Purchase_Register!$AK$6:$AK$205,$B95)))</f>
        <v/>
      </c>
      <c r="K95" s="47" t="str">
        <f aca="false">IF($B95="","",N(INDEX(Purchase_Register!$AL$6:$AL$205,$B95)))</f>
        <v/>
      </c>
      <c r="L95" s="32" t="str">
        <f aca="false">IF($B95="","",INDEX(Purchase_Register!$BK$6:$BK$205,$B95)&amp;"")</f>
        <v/>
      </c>
    </row>
    <row r="96" customFormat="false" ht="15" hidden="false" customHeight="false" outlineLevel="0" collapsed="false">
      <c r="A96" s="33" t="str">
        <f aca="false">IF(ROWS($A$7:A96)&gt;COUNT(Purchase_Register!$BM$6:$BM$205),"",ROWS($A$7:A96))</f>
        <v/>
      </c>
      <c r="B96" s="33" t="str">
        <f aca="false">IF($A96="","",MATCH(SMALL(Purchase_Register!$BM$6:$BM$205,$A96),Purchase_Register!$BM$6:$BM$205,0))</f>
        <v/>
      </c>
      <c r="C96" s="46" t="str">
        <f aca="false">IF($B96="","",INDEX(Purchase_Register!$BL$6:$BL$205,$B96)&amp;"")</f>
        <v/>
      </c>
      <c r="D96" s="31" t="str">
        <f aca="false">IF($B96="","",INDEX(Purchase_Register!$A$6:$A$205,$B96)&amp;"")</f>
        <v/>
      </c>
      <c r="E96" s="32" t="str">
        <f aca="false">IF($B96="","",INDEX(Purchase_Register!$E$6:$E$205,$B96)&amp;"")</f>
        <v/>
      </c>
      <c r="F96" s="32" t="str">
        <f aca="false">IF($B96="","",INDEX(Purchase_Register!$M$6:$M$205,$B96)&amp;"")</f>
        <v/>
      </c>
      <c r="G96" s="32" t="str">
        <f aca="false">IF($B96="","",INDEX(Purchase_Register!$C$6:$C$205,$B96)&amp;"")</f>
        <v/>
      </c>
      <c r="H96" s="32" t="str">
        <f aca="false">IF($B96="","",INDEX(Purchase_Register!$BI$6:$BI$205,$B96)&amp;"")</f>
        <v/>
      </c>
      <c r="I96" s="32" t="str">
        <f aca="false">IF($B96="","",INDEX(Purchase_Register!$AX$6:$AX$205,$B96)&amp;"")</f>
        <v/>
      </c>
      <c r="J96" s="47" t="str">
        <f aca="false">IF($B96="","",N(INDEX(Purchase_Register!$AK$6:$AK$205,$B96)))</f>
        <v/>
      </c>
      <c r="K96" s="47" t="str">
        <f aca="false">IF($B96="","",N(INDEX(Purchase_Register!$AL$6:$AL$205,$B96)))</f>
        <v/>
      </c>
      <c r="L96" s="32" t="str">
        <f aca="false">IF($B96="","",INDEX(Purchase_Register!$BK$6:$BK$205,$B96)&amp;"")</f>
        <v/>
      </c>
    </row>
    <row r="97" customFormat="false" ht="15" hidden="false" customHeight="false" outlineLevel="0" collapsed="false">
      <c r="A97" s="33" t="str">
        <f aca="false">IF(ROWS($A$7:A97)&gt;COUNT(Purchase_Register!$BM$6:$BM$205),"",ROWS($A$7:A97))</f>
        <v/>
      </c>
      <c r="B97" s="33" t="str">
        <f aca="false">IF($A97="","",MATCH(SMALL(Purchase_Register!$BM$6:$BM$205,$A97),Purchase_Register!$BM$6:$BM$205,0))</f>
        <v/>
      </c>
      <c r="C97" s="46" t="str">
        <f aca="false">IF($B97="","",INDEX(Purchase_Register!$BL$6:$BL$205,$B97)&amp;"")</f>
        <v/>
      </c>
      <c r="D97" s="31" t="str">
        <f aca="false">IF($B97="","",INDEX(Purchase_Register!$A$6:$A$205,$B97)&amp;"")</f>
        <v/>
      </c>
      <c r="E97" s="32" t="str">
        <f aca="false">IF($B97="","",INDEX(Purchase_Register!$E$6:$E$205,$B97)&amp;"")</f>
        <v/>
      </c>
      <c r="F97" s="32" t="str">
        <f aca="false">IF($B97="","",INDEX(Purchase_Register!$M$6:$M$205,$B97)&amp;"")</f>
        <v/>
      </c>
      <c r="G97" s="32" t="str">
        <f aca="false">IF($B97="","",INDEX(Purchase_Register!$C$6:$C$205,$B97)&amp;"")</f>
        <v/>
      </c>
      <c r="H97" s="32" t="str">
        <f aca="false">IF($B97="","",INDEX(Purchase_Register!$BI$6:$BI$205,$B97)&amp;"")</f>
        <v/>
      </c>
      <c r="I97" s="32" t="str">
        <f aca="false">IF($B97="","",INDEX(Purchase_Register!$AX$6:$AX$205,$B97)&amp;"")</f>
        <v/>
      </c>
      <c r="J97" s="47" t="str">
        <f aca="false">IF($B97="","",N(INDEX(Purchase_Register!$AK$6:$AK$205,$B97)))</f>
        <v/>
      </c>
      <c r="K97" s="47" t="str">
        <f aca="false">IF($B97="","",N(INDEX(Purchase_Register!$AL$6:$AL$205,$B97)))</f>
        <v/>
      </c>
      <c r="L97" s="32" t="str">
        <f aca="false">IF($B97="","",INDEX(Purchase_Register!$BK$6:$BK$205,$B97)&amp;"")</f>
        <v/>
      </c>
    </row>
    <row r="98" customFormat="false" ht="15" hidden="false" customHeight="false" outlineLevel="0" collapsed="false">
      <c r="A98" s="33" t="str">
        <f aca="false">IF(ROWS($A$7:A98)&gt;COUNT(Purchase_Register!$BM$6:$BM$205),"",ROWS($A$7:A98))</f>
        <v/>
      </c>
      <c r="B98" s="33" t="str">
        <f aca="false">IF($A98="","",MATCH(SMALL(Purchase_Register!$BM$6:$BM$205,$A98),Purchase_Register!$BM$6:$BM$205,0))</f>
        <v/>
      </c>
      <c r="C98" s="46" t="str">
        <f aca="false">IF($B98="","",INDEX(Purchase_Register!$BL$6:$BL$205,$B98)&amp;"")</f>
        <v/>
      </c>
      <c r="D98" s="31" t="str">
        <f aca="false">IF($B98="","",INDEX(Purchase_Register!$A$6:$A$205,$B98)&amp;"")</f>
        <v/>
      </c>
      <c r="E98" s="32" t="str">
        <f aca="false">IF($B98="","",INDEX(Purchase_Register!$E$6:$E$205,$B98)&amp;"")</f>
        <v/>
      </c>
      <c r="F98" s="32" t="str">
        <f aca="false">IF($B98="","",INDEX(Purchase_Register!$M$6:$M$205,$B98)&amp;"")</f>
        <v/>
      </c>
      <c r="G98" s="32" t="str">
        <f aca="false">IF($B98="","",INDEX(Purchase_Register!$C$6:$C$205,$B98)&amp;"")</f>
        <v/>
      </c>
      <c r="H98" s="32" t="str">
        <f aca="false">IF($B98="","",INDEX(Purchase_Register!$BI$6:$BI$205,$B98)&amp;"")</f>
        <v/>
      </c>
      <c r="I98" s="32" t="str">
        <f aca="false">IF($B98="","",INDEX(Purchase_Register!$AX$6:$AX$205,$B98)&amp;"")</f>
        <v/>
      </c>
      <c r="J98" s="47" t="str">
        <f aca="false">IF($B98="","",N(INDEX(Purchase_Register!$AK$6:$AK$205,$B98)))</f>
        <v/>
      </c>
      <c r="K98" s="47" t="str">
        <f aca="false">IF($B98="","",N(INDEX(Purchase_Register!$AL$6:$AL$205,$B98)))</f>
        <v/>
      </c>
      <c r="L98" s="32" t="str">
        <f aca="false">IF($B98="","",INDEX(Purchase_Register!$BK$6:$BK$205,$B98)&amp;"")</f>
        <v/>
      </c>
    </row>
    <row r="99" customFormat="false" ht="15" hidden="false" customHeight="false" outlineLevel="0" collapsed="false">
      <c r="A99" s="33" t="str">
        <f aca="false">IF(ROWS($A$7:A99)&gt;COUNT(Purchase_Register!$BM$6:$BM$205),"",ROWS($A$7:A99))</f>
        <v/>
      </c>
      <c r="B99" s="33" t="str">
        <f aca="false">IF($A99="","",MATCH(SMALL(Purchase_Register!$BM$6:$BM$205,$A99),Purchase_Register!$BM$6:$BM$205,0))</f>
        <v/>
      </c>
      <c r="C99" s="46" t="str">
        <f aca="false">IF($B99="","",INDEX(Purchase_Register!$BL$6:$BL$205,$B99)&amp;"")</f>
        <v/>
      </c>
      <c r="D99" s="31" t="str">
        <f aca="false">IF($B99="","",INDEX(Purchase_Register!$A$6:$A$205,$B99)&amp;"")</f>
        <v/>
      </c>
      <c r="E99" s="32" t="str">
        <f aca="false">IF($B99="","",INDEX(Purchase_Register!$E$6:$E$205,$B99)&amp;"")</f>
        <v/>
      </c>
      <c r="F99" s="32" t="str">
        <f aca="false">IF($B99="","",INDEX(Purchase_Register!$M$6:$M$205,$B99)&amp;"")</f>
        <v/>
      </c>
      <c r="G99" s="32" t="str">
        <f aca="false">IF($B99="","",INDEX(Purchase_Register!$C$6:$C$205,$B99)&amp;"")</f>
        <v/>
      </c>
      <c r="H99" s="32" t="str">
        <f aca="false">IF($B99="","",INDEX(Purchase_Register!$BI$6:$BI$205,$B99)&amp;"")</f>
        <v/>
      </c>
      <c r="I99" s="32" t="str">
        <f aca="false">IF($B99="","",INDEX(Purchase_Register!$AX$6:$AX$205,$B99)&amp;"")</f>
        <v/>
      </c>
      <c r="J99" s="47" t="str">
        <f aca="false">IF($B99="","",N(INDEX(Purchase_Register!$AK$6:$AK$205,$B99)))</f>
        <v/>
      </c>
      <c r="K99" s="47" t="str">
        <f aca="false">IF($B99="","",N(INDEX(Purchase_Register!$AL$6:$AL$205,$B99)))</f>
        <v/>
      </c>
      <c r="L99" s="32" t="str">
        <f aca="false">IF($B99="","",INDEX(Purchase_Register!$BK$6:$BK$205,$B99)&amp;"")</f>
        <v/>
      </c>
    </row>
    <row r="100" customFormat="false" ht="15" hidden="false" customHeight="false" outlineLevel="0" collapsed="false">
      <c r="A100" s="33" t="str">
        <f aca="false">IF(ROWS($A$7:A100)&gt;COUNT(Purchase_Register!$BM$6:$BM$205),"",ROWS($A$7:A100))</f>
        <v/>
      </c>
      <c r="B100" s="33" t="str">
        <f aca="false">IF($A100="","",MATCH(SMALL(Purchase_Register!$BM$6:$BM$205,$A100),Purchase_Register!$BM$6:$BM$205,0))</f>
        <v/>
      </c>
      <c r="C100" s="46" t="str">
        <f aca="false">IF($B100="","",INDEX(Purchase_Register!$BL$6:$BL$205,$B100)&amp;"")</f>
        <v/>
      </c>
      <c r="D100" s="31" t="str">
        <f aca="false">IF($B100="","",INDEX(Purchase_Register!$A$6:$A$205,$B100)&amp;"")</f>
        <v/>
      </c>
      <c r="E100" s="32" t="str">
        <f aca="false">IF($B100="","",INDEX(Purchase_Register!$E$6:$E$205,$B100)&amp;"")</f>
        <v/>
      </c>
      <c r="F100" s="32" t="str">
        <f aca="false">IF($B100="","",INDEX(Purchase_Register!$M$6:$M$205,$B100)&amp;"")</f>
        <v/>
      </c>
      <c r="G100" s="32" t="str">
        <f aca="false">IF($B100="","",INDEX(Purchase_Register!$C$6:$C$205,$B100)&amp;"")</f>
        <v/>
      </c>
      <c r="H100" s="32" t="str">
        <f aca="false">IF($B100="","",INDEX(Purchase_Register!$BI$6:$BI$205,$B100)&amp;"")</f>
        <v/>
      </c>
      <c r="I100" s="32" t="str">
        <f aca="false">IF($B100="","",INDEX(Purchase_Register!$AX$6:$AX$205,$B100)&amp;"")</f>
        <v/>
      </c>
      <c r="J100" s="47" t="str">
        <f aca="false">IF($B100="","",N(INDEX(Purchase_Register!$AK$6:$AK$205,$B100)))</f>
        <v/>
      </c>
      <c r="K100" s="47" t="str">
        <f aca="false">IF($B100="","",N(INDEX(Purchase_Register!$AL$6:$AL$205,$B100)))</f>
        <v/>
      </c>
      <c r="L100" s="32" t="str">
        <f aca="false">IF($B100="","",INDEX(Purchase_Register!$BK$6:$BK$205,$B100)&amp;"")</f>
        <v/>
      </c>
    </row>
    <row r="101" customFormat="false" ht="15" hidden="false" customHeight="false" outlineLevel="0" collapsed="false">
      <c r="A101" s="33" t="str">
        <f aca="false">IF(ROWS($A$7:A101)&gt;COUNT(Purchase_Register!$BM$6:$BM$205),"",ROWS($A$7:A101))</f>
        <v/>
      </c>
      <c r="B101" s="33" t="str">
        <f aca="false">IF($A101="","",MATCH(SMALL(Purchase_Register!$BM$6:$BM$205,$A101),Purchase_Register!$BM$6:$BM$205,0))</f>
        <v/>
      </c>
      <c r="C101" s="46" t="str">
        <f aca="false">IF($B101="","",INDEX(Purchase_Register!$BL$6:$BL$205,$B101)&amp;"")</f>
        <v/>
      </c>
      <c r="D101" s="31" t="str">
        <f aca="false">IF($B101="","",INDEX(Purchase_Register!$A$6:$A$205,$B101)&amp;"")</f>
        <v/>
      </c>
      <c r="E101" s="32" t="str">
        <f aca="false">IF($B101="","",INDEX(Purchase_Register!$E$6:$E$205,$B101)&amp;"")</f>
        <v/>
      </c>
      <c r="F101" s="32" t="str">
        <f aca="false">IF($B101="","",INDEX(Purchase_Register!$M$6:$M$205,$B101)&amp;"")</f>
        <v/>
      </c>
      <c r="G101" s="32" t="str">
        <f aca="false">IF($B101="","",INDEX(Purchase_Register!$C$6:$C$205,$B101)&amp;"")</f>
        <v/>
      </c>
      <c r="H101" s="32" t="str">
        <f aca="false">IF($B101="","",INDEX(Purchase_Register!$BI$6:$BI$205,$B101)&amp;"")</f>
        <v/>
      </c>
      <c r="I101" s="32" t="str">
        <f aca="false">IF($B101="","",INDEX(Purchase_Register!$AX$6:$AX$205,$B101)&amp;"")</f>
        <v/>
      </c>
      <c r="J101" s="47" t="str">
        <f aca="false">IF($B101="","",N(INDEX(Purchase_Register!$AK$6:$AK$205,$B101)))</f>
        <v/>
      </c>
      <c r="K101" s="47" t="str">
        <f aca="false">IF($B101="","",N(INDEX(Purchase_Register!$AL$6:$AL$205,$B101)))</f>
        <v/>
      </c>
      <c r="L101" s="32" t="str">
        <f aca="false">IF($B101="","",INDEX(Purchase_Register!$BK$6:$BK$205,$B101)&amp;"")</f>
        <v/>
      </c>
    </row>
    <row r="102" customFormat="false" ht="15" hidden="false" customHeight="false" outlineLevel="0" collapsed="false">
      <c r="A102" s="33" t="str">
        <f aca="false">IF(ROWS($A$7:A102)&gt;COUNT(Purchase_Register!$BM$6:$BM$205),"",ROWS($A$7:A102))</f>
        <v/>
      </c>
      <c r="B102" s="33" t="str">
        <f aca="false">IF($A102="","",MATCH(SMALL(Purchase_Register!$BM$6:$BM$205,$A102),Purchase_Register!$BM$6:$BM$205,0))</f>
        <v/>
      </c>
      <c r="C102" s="46" t="str">
        <f aca="false">IF($B102="","",INDEX(Purchase_Register!$BL$6:$BL$205,$B102)&amp;"")</f>
        <v/>
      </c>
      <c r="D102" s="31" t="str">
        <f aca="false">IF($B102="","",INDEX(Purchase_Register!$A$6:$A$205,$B102)&amp;"")</f>
        <v/>
      </c>
      <c r="E102" s="32" t="str">
        <f aca="false">IF($B102="","",INDEX(Purchase_Register!$E$6:$E$205,$B102)&amp;"")</f>
        <v/>
      </c>
      <c r="F102" s="32" t="str">
        <f aca="false">IF($B102="","",INDEX(Purchase_Register!$M$6:$M$205,$B102)&amp;"")</f>
        <v/>
      </c>
      <c r="G102" s="32" t="str">
        <f aca="false">IF($B102="","",INDEX(Purchase_Register!$C$6:$C$205,$B102)&amp;"")</f>
        <v/>
      </c>
      <c r="H102" s="32" t="str">
        <f aca="false">IF($B102="","",INDEX(Purchase_Register!$BI$6:$BI$205,$B102)&amp;"")</f>
        <v/>
      </c>
      <c r="I102" s="32" t="str">
        <f aca="false">IF($B102="","",INDEX(Purchase_Register!$AX$6:$AX$205,$B102)&amp;"")</f>
        <v/>
      </c>
      <c r="J102" s="47" t="str">
        <f aca="false">IF($B102="","",N(INDEX(Purchase_Register!$AK$6:$AK$205,$B102)))</f>
        <v/>
      </c>
      <c r="K102" s="47" t="str">
        <f aca="false">IF($B102="","",N(INDEX(Purchase_Register!$AL$6:$AL$205,$B102)))</f>
        <v/>
      </c>
      <c r="L102" s="32" t="str">
        <f aca="false">IF($B102="","",INDEX(Purchase_Register!$BK$6:$BK$205,$B102)&amp;"")</f>
        <v/>
      </c>
    </row>
    <row r="103" customFormat="false" ht="15" hidden="false" customHeight="false" outlineLevel="0" collapsed="false">
      <c r="A103" s="33" t="str">
        <f aca="false">IF(ROWS($A$7:A103)&gt;COUNT(Purchase_Register!$BM$6:$BM$205),"",ROWS($A$7:A103))</f>
        <v/>
      </c>
      <c r="B103" s="33" t="str">
        <f aca="false">IF($A103="","",MATCH(SMALL(Purchase_Register!$BM$6:$BM$205,$A103),Purchase_Register!$BM$6:$BM$205,0))</f>
        <v/>
      </c>
      <c r="C103" s="46" t="str">
        <f aca="false">IF($B103="","",INDEX(Purchase_Register!$BL$6:$BL$205,$B103)&amp;"")</f>
        <v/>
      </c>
      <c r="D103" s="31" t="str">
        <f aca="false">IF($B103="","",INDEX(Purchase_Register!$A$6:$A$205,$B103)&amp;"")</f>
        <v/>
      </c>
      <c r="E103" s="32" t="str">
        <f aca="false">IF($B103="","",INDEX(Purchase_Register!$E$6:$E$205,$B103)&amp;"")</f>
        <v/>
      </c>
      <c r="F103" s="32" t="str">
        <f aca="false">IF($B103="","",INDEX(Purchase_Register!$M$6:$M$205,$B103)&amp;"")</f>
        <v/>
      </c>
      <c r="G103" s="32" t="str">
        <f aca="false">IF($B103="","",INDEX(Purchase_Register!$C$6:$C$205,$B103)&amp;"")</f>
        <v/>
      </c>
      <c r="H103" s="32" t="str">
        <f aca="false">IF($B103="","",INDEX(Purchase_Register!$BI$6:$BI$205,$B103)&amp;"")</f>
        <v/>
      </c>
      <c r="I103" s="32" t="str">
        <f aca="false">IF($B103="","",INDEX(Purchase_Register!$AX$6:$AX$205,$B103)&amp;"")</f>
        <v/>
      </c>
      <c r="J103" s="47" t="str">
        <f aca="false">IF($B103="","",N(INDEX(Purchase_Register!$AK$6:$AK$205,$B103)))</f>
        <v/>
      </c>
      <c r="K103" s="47" t="str">
        <f aca="false">IF($B103="","",N(INDEX(Purchase_Register!$AL$6:$AL$205,$B103)))</f>
        <v/>
      </c>
      <c r="L103" s="32" t="str">
        <f aca="false">IF($B103="","",INDEX(Purchase_Register!$BK$6:$BK$205,$B103)&amp;"")</f>
        <v/>
      </c>
    </row>
    <row r="104" customFormat="false" ht="15" hidden="false" customHeight="false" outlineLevel="0" collapsed="false">
      <c r="A104" s="33" t="str">
        <f aca="false">IF(ROWS($A$7:A104)&gt;COUNT(Purchase_Register!$BM$6:$BM$205),"",ROWS($A$7:A104))</f>
        <v/>
      </c>
      <c r="B104" s="33" t="str">
        <f aca="false">IF($A104="","",MATCH(SMALL(Purchase_Register!$BM$6:$BM$205,$A104),Purchase_Register!$BM$6:$BM$205,0))</f>
        <v/>
      </c>
      <c r="C104" s="46" t="str">
        <f aca="false">IF($B104="","",INDEX(Purchase_Register!$BL$6:$BL$205,$B104)&amp;"")</f>
        <v/>
      </c>
      <c r="D104" s="31" t="str">
        <f aca="false">IF($B104="","",INDEX(Purchase_Register!$A$6:$A$205,$B104)&amp;"")</f>
        <v/>
      </c>
      <c r="E104" s="32" t="str">
        <f aca="false">IF($B104="","",INDEX(Purchase_Register!$E$6:$E$205,$B104)&amp;"")</f>
        <v/>
      </c>
      <c r="F104" s="32" t="str">
        <f aca="false">IF($B104="","",INDEX(Purchase_Register!$M$6:$M$205,$B104)&amp;"")</f>
        <v/>
      </c>
      <c r="G104" s="32" t="str">
        <f aca="false">IF($B104="","",INDEX(Purchase_Register!$C$6:$C$205,$B104)&amp;"")</f>
        <v/>
      </c>
      <c r="H104" s="32" t="str">
        <f aca="false">IF($B104="","",INDEX(Purchase_Register!$BI$6:$BI$205,$B104)&amp;"")</f>
        <v/>
      </c>
      <c r="I104" s="32" t="str">
        <f aca="false">IF($B104="","",INDEX(Purchase_Register!$AX$6:$AX$205,$B104)&amp;"")</f>
        <v/>
      </c>
      <c r="J104" s="47" t="str">
        <f aca="false">IF($B104="","",N(INDEX(Purchase_Register!$AK$6:$AK$205,$B104)))</f>
        <v/>
      </c>
      <c r="K104" s="47" t="str">
        <f aca="false">IF($B104="","",N(INDEX(Purchase_Register!$AL$6:$AL$205,$B104)))</f>
        <v/>
      </c>
      <c r="L104" s="32" t="str">
        <f aca="false">IF($B104="","",INDEX(Purchase_Register!$BK$6:$BK$205,$B104)&amp;"")</f>
        <v/>
      </c>
    </row>
    <row r="105" customFormat="false" ht="15" hidden="false" customHeight="false" outlineLevel="0" collapsed="false">
      <c r="A105" s="33" t="str">
        <f aca="false">IF(ROWS($A$7:A105)&gt;COUNT(Purchase_Register!$BM$6:$BM$205),"",ROWS($A$7:A105))</f>
        <v/>
      </c>
      <c r="B105" s="33" t="str">
        <f aca="false">IF($A105="","",MATCH(SMALL(Purchase_Register!$BM$6:$BM$205,$A105),Purchase_Register!$BM$6:$BM$205,0))</f>
        <v/>
      </c>
      <c r="C105" s="46" t="str">
        <f aca="false">IF($B105="","",INDEX(Purchase_Register!$BL$6:$BL$205,$B105)&amp;"")</f>
        <v/>
      </c>
      <c r="D105" s="31" t="str">
        <f aca="false">IF($B105="","",INDEX(Purchase_Register!$A$6:$A$205,$B105)&amp;"")</f>
        <v/>
      </c>
      <c r="E105" s="32" t="str">
        <f aca="false">IF($B105="","",INDEX(Purchase_Register!$E$6:$E$205,$B105)&amp;"")</f>
        <v/>
      </c>
      <c r="F105" s="32" t="str">
        <f aca="false">IF($B105="","",INDEX(Purchase_Register!$M$6:$M$205,$B105)&amp;"")</f>
        <v/>
      </c>
      <c r="G105" s="32" t="str">
        <f aca="false">IF($B105="","",INDEX(Purchase_Register!$C$6:$C$205,$B105)&amp;"")</f>
        <v/>
      </c>
      <c r="H105" s="32" t="str">
        <f aca="false">IF($B105="","",INDEX(Purchase_Register!$BI$6:$BI$205,$B105)&amp;"")</f>
        <v/>
      </c>
      <c r="I105" s="32" t="str">
        <f aca="false">IF($B105="","",INDEX(Purchase_Register!$AX$6:$AX$205,$B105)&amp;"")</f>
        <v/>
      </c>
      <c r="J105" s="47" t="str">
        <f aca="false">IF($B105="","",N(INDEX(Purchase_Register!$AK$6:$AK$205,$B105)))</f>
        <v/>
      </c>
      <c r="K105" s="47" t="str">
        <f aca="false">IF($B105="","",N(INDEX(Purchase_Register!$AL$6:$AL$205,$B105)))</f>
        <v/>
      </c>
      <c r="L105" s="32" t="str">
        <f aca="false">IF($B105="","",INDEX(Purchase_Register!$BK$6:$BK$205,$B105)&amp;"")</f>
        <v/>
      </c>
    </row>
    <row r="106" customFormat="false" ht="15" hidden="false" customHeight="false" outlineLevel="0" collapsed="false">
      <c r="A106" s="33" t="str">
        <f aca="false">IF(ROWS($A$7:A106)&gt;COUNT(Purchase_Register!$BM$6:$BM$205),"",ROWS($A$7:A106))</f>
        <v/>
      </c>
      <c r="B106" s="33" t="str">
        <f aca="false">IF($A106="","",MATCH(SMALL(Purchase_Register!$BM$6:$BM$205,$A106),Purchase_Register!$BM$6:$BM$205,0))</f>
        <v/>
      </c>
      <c r="C106" s="46" t="str">
        <f aca="false">IF($B106="","",INDEX(Purchase_Register!$BL$6:$BL$205,$B106)&amp;"")</f>
        <v/>
      </c>
      <c r="D106" s="31" t="str">
        <f aca="false">IF($B106="","",INDEX(Purchase_Register!$A$6:$A$205,$B106)&amp;"")</f>
        <v/>
      </c>
      <c r="E106" s="32" t="str">
        <f aca="false">IF($B106="","",INDEX(Purchase_Register!$E$6:$E$205,$B106)&amp;"")</f>
        <v/>
      </c>
      <c r="F106" s="32" t="str">
        <f aca="false">IF($B106="","",INDEX(Purchase_Register!$M$6:$M$205,$B106)&amp;"")</f>
        <v/>
      </c>
      <c r="G106" s="32" t="str">
        <f aca="false">IF($B106="","",INDEX(Purchase_Register!$C$6:$C$205,$B106)&amp;"")</f>
        <v/>
      </c>
      <c r="H106" s="32" t="str">
        <f aca="false">IF($B106="","",INDEX(Purchase_Register!$BI$6:$BI$205,$B106)&amp;"")</f>
        <v/>
      </c>
      <c r="I106" s="32" t="str">
        <f aca="false">IF($B106="","",INDEX(Purchase_Register!$AX$6:$AX$205,$B106)&amp;"")</f>
        <v/>
      </c>
      <c r="J106" s="47" t="str">
        <f aca="false">IF($B106="","",N(INDEX(Purchase_Register!$AK$6:$AK$205,$B106)))</f>
        <v/>
      </c>
      <c r="K106" s="47" t="str">
        <f aca="false">IF($B106="","",N(INDEX(Purchase_Register!$AL$6:$AL$205,$B106)))</f>
        <v/>
      </c>
      <c r="L106" s="32" t="str">
        <f aca="false">IF($B106="","",INDEX(Purchase_Register!$BK$6:$BK$205,$B106)&amp;"")</f>
        <v/>
      </c>
    </row>
    <row r="107" customFormat="false" ht="15" hidden="false" customHeight="false" outlineLevel="0" collapsed="false">
      <c r="A107" s="33" t="str">
        <f aca="false">IF(ROWS($A$7:A107)&gt;COUNT(Purchase_Register!$BM$6:$BM$205),"",ROWS($A$7:A107))</f>
        <v/>
      </c>
      <c r="B107" s="33" t="str">
        <f aca="false">IF($A107="","",MATCH(SMALL(Purchase_Register!$BM$6:$BM$205,$A107),Purchase_Register!$BM$6:$BM$205,0))</f>
        <v/>
      </c>
      <c r="C107" s="46" t="str">
        <f aca="false">IF($B107="","",INDEX(Purchase_Register!$BL$6:$BL$205,$B107)&amp;"")</f>
        <v/>
      </c>
      <c r="D107" s="31" t="str">
        <f aca="false">IF($B107="","",INDEX(Purchase_Register!$A$6:$A$205,$B107)&amp;"")</f>
        <v/>
      </c>
      <c r="E107" s="32" t="str">
        <f aca="false">IF($B107="","",INDEX(Purchase_Register!$E$6:$E$205,$B107)&amp;"")</f>
        <v/>
      </c>
      <c r="F107" s="32" t="str">
        <f aca="false">IF($B107="","",INDEX(Purchase_Register!$M$6:$M$205,$B107)&amp;"")</f>
        <v/>
      </c>
      <c r="G107" s="32" t="str">
        <f aca="false">IF($B107="","",INDEX(Purchase_Register!$C$6:$C$205,$B107)&amp;"")</f>
        <v/>
      </c>
      <c r="H107" s="32" t="str">
        <f aca="false">IF($B107="","",INDEX(Purchase_Register!$BI$6:$BI$205,$B107)&amp;"")</f>
        <v/>
      </c>
      <c r="I107" s="32" t="str">
        <f aca="false">IF($B107="","",INDEX(Purchase_Register!$AX$6:$AX$205,$B107)&amp;"")</f>
        <v/>
      </c>
      <c r="J107" s="47" t="str">
        <f aca="false">IF($B107="","",N(INDEX(Purchase_Register!$AK$6:$AK$205,$B107)))</f>
        <v/>
      </c>
      <c r="K107" s="47" t="str">
        <f aca="false">IF($B107="","",N(INDEX(Purchase_Register!$AL$6:$AL$205,$B107)))</f>
        <v/>
      </c>
      <c r="L107" s="32" t="str">
        <f aca="false">IF($B107="","",INDEX(Purchase_Register!$BK$6:$BK$205,$B107)&amp;"")</f>
        <v/>
      </c>
    </row>
    <row r="108" customFormat="false" ht="15" hidden="false" customHeight="false" outlineLevel="0" collapsed="false">
      <c r="A108" s="33" t="str">
        <f aca="false">IF(ROWS($A$7:A108)&gt;COUNT(Purchase_Register!$BM$6:$BM$205),"",ROWS($A$7:A108))</f>
        <v/>
      </c>
      <c r="B108" s="33" t="str">
        <f aca="false">IF($A108="","",MATCH(SMALL(Purchase_Register!$BM$6:$BM$205,$A108),Purchase_Register!$BM$6:$BM$205,0))</f>
        <v/>
      </c>
      <c r="C108" s="46" t="str">
        <f aca="false">IF($B108="","",INDEX(Purchase_Register!$BL$6:$BL$205,$B108)&amp;"")</f>
        <v/>
      </c>
      <c r="D108" s="31" t="str">
        <f aca="false">IF($B108="","",INDEX(Purchase_Register!$A$6:$A$205,$B108)&amp;"")</f>
        <v/>
      </c>
      <c r="E108" s="32" t="str">
        <f aca="false">IF($B108="","",INDEX(Purchase_Register!$E$6:$E$205,$B108)&amp;"")</f>
        <v/>
      </c>
      <c r="F108" s="32" t="str">
        <f aca="false">IF($B108="","",INDEX(Purchase_Register!$M$6:$M$205,$B108)&amp;"")</f>
        <v/>
      </c>
      <c r="G108" s="32" t="str">
        <f aca="false">IF($B108="","",INDEX(Purchase_Register!$C$6:$C$205,$B108)&amp;"")</f>
        <v/>
      </c>
      <c r="H108" s="32" t="str">
        <f aca="false">IF($B108="","",INDEX(Purchase_Register!$BI$6:$BI$205,$B108)&amp;"")</f>
        <v/>
      </c>
      <c r="I108" s="32" t="str">
        <f aca="false">IF($B108="","",INDEX(Purchase_Register!$AX$6:$AX$205,$B108)&amp;"")</f>
        <v/>
      </c>
      <c r="J108" s="47" t="str">
        <f aca="false">IF($B108="","",N(INDEX(Purchase_Register!$AK$6:$AK$205,$B108)))</f>
        <v/>
      </c>
      <c r="K108" s="47" t="str">
        <f aca="false">IF($B108="","",N(INDEX(Purchase_Register!$AL$6:$AL$205,$B108)))</f>
        <v/>
      </c>
      <c r="L108" s="32" t="str">
        <f aca="false">IF($B108="","",INDEX(Purchase_Register!$BK$6:$BK$205,$B108)&amp;"")</f>
        <v/>
      </c>
    </row>
    <row r="109" customFormat="false" ht="15" hidden="false" customHeight="false" outlineLevel="0" collapsed="false">
      <c r="A109" s="33" t="str">
        <f aca="false">IF(ROWS($A$7:A109)&gt;COUNT(Purchase_Register!$BM$6:$BM$205),"",ROWS($A$7:A109))</f>
        <v/>
      </c>
      <c r="B109" s="33" t="str">
        <f aca="false">IF($A109="","",MATCH(SMALL(Purchase_Register!$BM$6:$BM$205,$A109),Purchase_Register!$BM$6:$BM$205,0))</f>
        <v/>
      </c>
      <c r="C109" s="46" t="str">
        <f aca="false">IF($B109="","",INDEX(Purchase_Register!$BL$6:$BL$205,$B109)&amp;"")</f>
        <v/>
      </c>
      <c r="D109" s="31" t="str">
        <f aca="false">IF($B109="","",INDEX(Purchase_Register!$A$6:$A$205,$B109)&amp;"")</f>
        <v/>
      </c>
      <c r="E109" s="32" t="str">
        <f aca="false">IF($B109="","",INDEX(Purchase_Register!$E$6:$E$205,$B109)&amp;"")</f>
        <v/>
      </c>
      <c r="F109" s="32" t="str">
        <f aca="false">IF($B109="","",INDEX(Purchase_Register!$M$6:$M$205,$B109)&amp;"")</f>
        <v/>
      </c>
      <c r="G109" s="32" t="str">
        <f aca="false">IF($B109="","",INDEX(Purchase_Register!$C$6:$C$205,$B109)&amp;"")</f>
        <v/>
      </c>
      <c r="H109" s="32" t="str">
        <f aca="false">IF($B109="","",INDEX(Purchase_Register!$BI$6:$BI$205,$B109)&amp;"")</f>
        <v/>
      </c>
      <c r="I109" s="32" t="str">
        <f aca="false">IF($B109="","",INDEX(Purchase_Register!$AX$6:$AX$205,$B109)&amp;"")</f>
        <v/>
      </c>
      <c r="J109" s="47" t="str">
        <f aca="false">IF($B109="","",N(INDEX(Purchase_Register!$AK$6:$AK$205,$B109)))</f>
        <v/>
      </c>
      <c r="K109" s="47" t="str">
        <f aca="false">IF($B109="","",N(INDEX(Purchase_Register!$AL$6:$AL$205,$B109)))</f>
        <v/>
      </c>
      <c r="L109" s="32" t="str">
        <f aca="false">IF($B109="","",INDEX(Purchase_Register!$BK$6:$BK$205,$B109)&amp;"")</f>
        <v/>
      </c>
    </row>
    <row r="110" customFormat="false" ht="15" hidden="false" customHeight="false" outlineLevel="0" collapsed="false">
      <c r="A110" s="33" t="str">
        <f aca="false">IF(ROWS($A$7:A110)&gt;COUNT(Purchase_Register!$BM$6:$BM$205),"",ROWS($A$7:A110))</f>
        <v/>
      </c>
      <c r="B110" s="33" t="str">
        <f aca="false">IF($A110="","",MATCH(SMALL(Purchase_Register!$BM$6:$BM$205,$A110),Purchase_Register!$BM$6:$BM$205,0))</f>
        <v/>
      </c>
      <c r="C110" s="46" t="str">
        <f aca="false">IF($B110="","",INDEX(Purchase_Register!$BL$6:$BL$205,$B110)&amp;"")</f>
        <v/>
      </c>
      <c r="D110" s="31" t="str">
        <f aca="false">IF($B110="","",INDEX(Purchase_Register!$A$6:$A$205,$B110)&amp;"")</f>
        <v/>
      </c>
      <c r="E110" s="32" t="str">
        <f aca="false">IF($B110="","",INDEX(Purchase_Register!$E$6:$E$205,$B110)&amp;"")</f>
        <v/>
      </c>
      <c r="F110" s="32" t="str">
        <f aca="false">IF($B110="","",INDEX(Purchase_Register!$M$6:$M$205,$B110)&amp;"")</f>
        <v/>
      </c>
      <c r="G110" s="32" t="str">
        <f aca="false">IF($B110="","",INDEX(Purchase_Register!$C$6:$C$205,$B110)&amp;"")</f>
        <v/>
      </c>
      <c r="H110" s="32" t="str">
        <f aca="false">IF($B110="","",INDEX(Purchase_Register!$BI$6:$BI$205,$B110)&amp;"")</f>
        <v/>
      </c>
      <c r="I110" s="32" t="str">
        <f aca="false">IF($B110="","",INDEX(Purchase_Register!$AX$6:$AX$205,$B110)&amp;"")</f>
        <v/>
      </c>
      <c r="J110" s="47" t="str">
        <f aca="false">IF($B110="","",N(INDEX(Purchase_Register!$AK$6:$AK$205,$B110)))</f>
        <v/>
      </c>
      <c r="K110" s="47" t="str">
        <f aca="false">IF($B110="","",N(INDEX(Purchase_Register!$AL$6:$AL$205,$B110)))</f>
        <v/>
      </c>
      <c r="L110" s="32" t="str">
        <f aca="false">IF($B110="","",INDEX(Purchase_Register!$BK$6:$BK$205,$B110)&amp;"")</f>
        <v/>
      </c>
    </row>
    <row r="111" customFormat="false" ht="15" hidden="false" customHeight="false" outlineLevel="0" collapsed="false">
      <c r="A111" s="33" t="str">
        <f aca="false">IF(ROWS($A$7:A111)&gt;COUNT(Purchase_Register!$BM$6:$BM$205),"",ROWS($A$7:A111))</f>
        <v/>
      </c>
      <c r="B111" s="33" t="str">
        <f aca="false">IF($A111="","",MATCH(SMALL(Purchase_Register!$BM$6:$BM$205,$A111),Purchase_Register!$BM$6:$BM$205,0))</f>
        <v/>
      </c>
      <c r="C111" s="46" t="str">
        <f aca="false">IF($B111="","",INDEX(Purchase_Register!$BL$6:$BL$205,$B111)&amp;"")</f>
        <v/>
      </c>
      <c r="D111" s="31" t="str">
        <f aca="false">IF($B111="","",INDEX(Purchase_Register!$A$6:$A$205,$B111)&amp;"")</f>
        <v/>
      </c>
      <c r="E111" s="32" t="str">
        <f aca="false">IF($B111="","",INDEX(Purchase_Register!$E$6:$E$205,$B111)&amp;"")</f>
        <v/>
      </c>
      <c r="F111" s="32" t="str">
        <f aca="false">IF($B111="","",INDEX(Purchase_Register!$M$6:$M$205,$B111)&amp;"")</f>
        <v/>
      </c>
      <c r="G111" s="32" t="str">
        <f aca="false">IF($B111="","",INDEX(Purchase_Register!$C$6:$C$205,$B111)&amp;"")</f>
        <v/>
      </c>
      <c r="H111" s="32" t="str">
        <f aca="false">IF($B111="","",INDEX(Purchase_Register!$BI$6:$BI$205,$B111)&amp;"")</f>
        <v/>
      </c>
      <c r="I111" s="32" t="str">
        <f aca="false">IF($B111="","",INDEX(Purchase_Register!$AX$6:$AX$205,$B111)&amp;"")</f>
        <v/>
      </c>
      <c r="J111" s="47" t="str">
        <f aca="false">IF($B111="","",N(INDEX(Purchase_Register!$AK$6:$AK$205,$B111)))</f>
        <v/>
      </c>
      <c r="K111" s="47" t="str">
        <f aca="false">IF($B111="","",N(INDEX(Purchase_Register!$AL$6:$AL$205,$B111)))</f>
        <v/>
      </c>
      <c r="L111" s="32" t="str">
        <f aca="false">IF($B111="","",INDEX(Purchase_Register!$BK$6:$BK$205,$B111)&amp;"")</f>
        <v/>
      </c>
    </row>
    <row r="112" customFormat="false" ht="15" hidden="false" customHeight="false" outlineLevel="0" collapsed="false">
      <c r="A112" s="33" t="str">
        <f aca="false">IF(ROWS($A$7:A112)&gt;COUNT(Purchase_Register!$BM$6:$BM$205),"",ROWS($A$7:A112))</f>
        <v/>
      </c>
      <c r="B112" s="33" t="str">
        <f aca="false">IF($A112="","",MATCH(SMALL(Purchase_Register!$BM$6:$BM$205,$A112),Purchase_Register!$BM$6:$BM$205,0))</f>
        <v/>
      </c>
      <c r="C112" s="46" t="str">
        <f aca="false">IF($B112="","",INDEX(Purchase_Register!$BL$6:$BL$205,$B112)&amp;"")</f>
        <v/>
      </c>
      <c r="D112" s="31" t="str">
        <f aca="false">IF($B112="","",INDEX(Purchase_Register!$A$6:$A$205,$B112)&amp;"")</f>
        <v/>
      </c>
      <c r="E112" s="32" t="str">
        <f aca="false">IF($B112="","",INDEX(Purchase_Register!$E$6:$E$205,$B112)&amp;"")</f>
        <v/>
      </c>
      <c r="F112" s="32" t="str">
        <f aca="false">IF($B112="","",INDEX(Purchase_Register!$M$6:$M$205,$B112)&amp;"")</f>
        <v/>
      </c>
      <c r="G112" s="32" t="str">
        <f aca="false">IF($B112="","",INDEX(Purchase_Register!$C$6:$C$205,$B112)&amp;"")</f>
        <v/>
      </c>
      <c r="H112" s="32" t="str">
        <f aca="false">IF($B112="","",INDEX(Purchase_Register!$BI$6:$BI$205,$B112)&amp;"")</f>
        <v/>
      </c>
      <c r="I112" s="32" t="str">
        <f aca="false">IF($B112="","",INDEX(Purchase_Register!$AX$6:$AX$205,$B112)&amp;"")</f>
        <v/>
      </c>
      <c r="J112" s="47" t="str">
        <f aca="false">IF($B112="","",N(INDEX(Purchase_Register!$AK$6:$AK$205,$B112)))</f>
        <v/>
      </c>
      <c r="K112" s="47" t="str">
        <f aca="false">IF($B112="","",N(INDEX(Purchase_Register!$AL$6:$AL$205,$B112)))</f>
        <v/>
      </c>
      <c r="L112" s="32" t="str">
        <f aca="false">IF($B112="","",INDEX(Purchase_Register!$BK$6:$BK$205,$B112)&amp;"")</f>
        <v/>
      </c>
    </row>
    <row r="113" customFormat="false" ht="15" hidden="false" customHeight="false" outlineLevel="0" collapsed="false">
      <c r="A113" s="33" t="str">
        <f aca="false">IF(ROWS($A$7:A113)&gt;COUNT(Purchase_Register!$BM$6:$BM$205),"",ROWS($A$7:A113))</f>
        <v/>
      </c>
      <c r="B113" s="33" t="str">
        <f aca="false">IF($A113="","",MATCH(SMALL(Purchase_Register!$BM$6:$BM$205,$A113),Purchase_Register!$BM$6:$BM$205,0))</f>
        <v/>
      </c>
      <c r="C113" s="46" t="str">
        <f aca="false">IF($B113="","",INDEX(Purchase_Register!$BL$6:$BL$205,$B113)&amp;"")</f>
        <v/>
      </c>
      <c r="D113" s="31" t="str">
        <f aca="false">IF($B113="","",INDEX(Purchase_Register!$A$6:$A$205,$B113)&amp;"")</f>
        <v/>
      </c>
      <c r="E113" s="32" t="str">
        <f aca="false">IF($B113="","",INDEX(Purchase_Register!$E$6:$E$205,$B113)&amp;"")</f>
        <v/>
      </c>
      <c r="F113" s="32" t="str">
        <f aca="false">IF($B113="","",INDEX(Purchase_Register!$M$6:$M$205,$B113)&amp;"")</f>
        <v/>
      </c>
      <c r="G113" s="32" t="str">
        <f aca="false">IF($B113="","",INDEX(Purchase_Register!$C$6:$C$205,$B113)&amp;"")</f>
        <v/>
      </c>
      <c r="H113" s="32" t="str">
        <f aca="false">IF($B113="","",INDEX(Purchase_Register!$BI$6:$BI$205,$B113)&amp;"")</f>
        <v/>
      </c>
      <c r="I113" s="32" t="str">
        <f aca="false">IF($B113="","",INDEX(Purchase_Register!$AX$6:$AX$205,$B113)&amp;"")</f>
        <v/>
      </c>
      <c r="J113" s="47" t="str">
        <f aca="false">IF($B113="","",N(INDEX(Purchase_Register!$AK$6:$AK$205,$B113)))</f>
        <v/>
      </c>
      <c r="K113" s="47" t="str">
        <f aca="false">IF($B113="","",N(INDEX(Purchase_Register!$AL$6:$AL$205,$B113)))</f>
        <v/>
      </c>
      <c r="L113" s="32" t="str">
        <f aca="false">IF($B113="","",INDEX(Purchase_Register!$BK$6:$BK$205,$B113)&amp;"")</f>
        <v/>
      </c>
    </row>
    <row r="114" customFormat="false" ht="15" hidden="false" customHeight="false" outlineLevel="0" collapsed="false">
      <c r="A114" s="33" t="str">
        <f aca="false">IF(ROWS($A$7:A114)&gt;COUNT(Purchase_Register!$BM$6:$BM$205),"",ROWS($A$7:A114))</f>
        <v/>
      </c>
      <c r="B114" s="33" t="str">
        <f aca="false">IF($A114="","",MATCH(SMALL(Purchase_Register!$BM$6:$BM$205,$A114),Purchase_Register!$BM$6:$BM$205,0))</f>
        <v/>
      </c>
      <c r="C114" s="46" t="str">
        <f aca="false">IF($B114="","",INDEX(Purchase_Register!$BL$6:$BL$205,$B114)&amp;"")</f>
        <v/>
      </c>
      <c r="D114" s="31" t="str">
        <f aca="false">IF($B114="","",INDEX(Purchase_Register!$A$6:$A$205,$B114)&amp;"")</f>
        <v/>
      </c>
      <c r="E114" s="32" t="str">
        <f aca="false">IF($B114="","",INDEX(Purchase_Register!$E$6:$E$205,$B114)&amp;"")</f>
        <v/>
      </c>
      <c r="F114" s="32" t="str">
        <f aca="false">IF($B114="","",INDEX(Purchase_Register!$M$6:$M$205,$B114)&amp;"")</f>
        <v/>
      </c>
      <c r="G114" s="32" t="str">
        <f aca="false">IF($B114="","",INDEX(Purchase_Register!$C$6:$C$205,$B114)&amp;"")</f>
        <v/>
      </c>
      <c r="H114" s="32" t="str">
        <f aca="false">IF($B114="","",INDEX(Purchase_Register!$BI$6:$BI$205,$B114)&amp;"")</f>
        <v/>
      </c>
      <c r="I114" s="32" t="str">
        <f aca="false">IF($B114="","",INDEX(Purchase_Register!$AX$6:$AX$205,$B114)&amp;"")</f>
        <v/>
      </c>
      <c r="J114" s="47" t="str">
        <f aca="false">IF($B114="","",N(INDEX(Purchase_Register!$AK$6:$AK$205,$B114)))</f>
        <v/>
      </c>
      <c r="K114" s="47" t="str">
        <f aca="false">IF($B114="","",N(INDEX(Purchase_Register!$AL$6:$AL$205,$B114)))</f>
        <v/>
      </c>
      <c r="L114" s="32" t="str">
        <f aca="false">IF($B114="","",INDEX(Purchase_Register!$BK$6:$BK$205,$B114)&amp;"")</f>
        <v/>
      </c>
    </row>
    <row r="115" customFormat="false" ht="15" hidden="false" customHeight="false" outlineLevel="0" collapsed="false">
      <c r="A115" s="33" t="str">
        <f aca="false">IF(ROWS($A$7:A115)&gt;COUNT(Purchase_Register!$BM$6:$BM$205),"",ROWS($A$7:A115))</f>
        <v/>
      </c>
      <c r="B115" s="33" t="str">
        <f aca="false">IF($A115="","",MATCH(SMALL(Purchase_Register!$BM$6:$BM$205,$A115),Purchase_Register!$BM$6:$BM$205,0))</f>
        <v/>
      </c>
      <c r="C115" s="46" t="str">
        <f aca="false">IF($B115="","",INDEX(Purchase_Register!$BL$6:$BL$205,$B115)&amp;"")</f>
        <v/>
      </c>
      <c r="D115" s="31" t="str">
        <f aca="false">IF($B115="","",INDEX(Purchase_Register!$A$6:$A$205,$B115)&amp;"")</f>
        <v/>
      </c>
      <c r="E115" s="32" t="str">
        <f aca="false">IF($B115="","",INDEX(Purchase_Register!$E$6:$E$205,$B115)&amp;"")</f>
        <v/>
      </c>
      <c r="F115" s="32" t="str">
        <f aca="false">IF($B115="","",INDEX(Purchase_Register!$M$6:$M$205,$B115)&amp;"")</f>
        <v/>
      </c>
      <c r="G115" s="32" t="str">
        <f aca="false">IF($B115="","",INDEX(Purchase_Register!$C$6:$C$205,$B115)&amp;"")</f>
        <v/>
      </c>
      <c r="H115" s="32" t="str">
        <f aca="false">IF($B115="","",INDEX(Purchase_Register!$BI$6:$BI$205,$B115)&amp;"")</f>
        <v/>
      </c>
      <c r="I115" s="32" t="str">
        <f aca="false">IF($B115="","",INDEX(Purchase_Register!$AX$6:$AX$205,$B115)&amp;"")</f>
        <v/>
      </c>
      <c r="J115" s="47" t="str">
        <f aca="false">IF($B115="","",N(INDEX(Purchase_Register!$AK$6:$AK$205,$B115)))</f>
        <v/>
      </c>
      <c r="K115" s="47" t="str">
        <f aca="false">IF($B115="","",N(INDEX(Purchase_Register!$AL$6:$AL$205,$B115)))</f>
        <v/>
      </c>
      <c r="L115" s="32" t="str">
        <f aca="false">IF($B115="","",INDEX(Purchase_Register!$BK$6:$BK$205,$B115)&amp;"")</f>
        <v/>
      </c>
    </row>
    <row r="116" customFormat="false" ht="15" hidden="false" customHeight="false" outlineLevel="0" collapsed="false">
      <c r="A116" s="33" t="str">
        <f aca="false">IF(ROWS($A$7:A116)&gt;COUNT(Purchase_Register!$BM$6:$BM$205),"",ROWS($A$7:A116))</f>
        <v/>
      </c>
      <c r="B116" s="33" t="str">
        <f aca="false">IF($A116="","",MATCH(SMALL(Purchase_Register!$BM$6:$BM$205,$A116),Purchase_Register!$BM$6:$BM$205,0))</f>
        <v/>
      </c>
      <c r="C116" s="46" t="str">
        <f aca="false">IF($B116="","",INDEX(Purchase_Register!$BL$6:$BL$205,$B116)&amp;"")</f>
        <v/>
      </c>
      <c r="D116" s="31" t="str">
        <f aca="false">IF($B116="","",INDEX(Purchase_Register!$A$6:$A$205,$B116)&amp;"")</f>
        <v/>
      </c>
      <c r="E116" s="32" t="str">
        <f aca="false">IF($B116="","",INDEX(Purchase_Register!$E$6:$E$205,$B116)&amp;"")</f>
        <v/>
      </c>
      <c r="F116" s="32" t="str">
        <f aca="false">IF($B116="","",INDEX(Purchase_Register!$M$6:$M$205,$B116)&amp;"")</f>
        <v/>
      </c>
      <c r="G116" s="32" t="str">
        <f aca="false">IF($B116="","",INDEX(Purchase_Register!$C$6:$C$205,$B116)&amp;"")</f>
        <v/>
      </c>
      <c r="H116" s="32" t="str">
        <f aca="false">IF($B116="","",INDEX(Purchase_Register!$BI$6:$BI$205,$B116)&amp;"")</f>
        <v/>
      </c>
      <c r="I116" s="32" t="str">
        <f aca="false">IF($B116="","",INDEX(Purchase_Register!$AX$6:$AX$205,$B116)&amp;"")</f>
        <v/>
      </c>
      <c r="J116" s="47" t="str">
        <f aca="false">IF($B116="","",N(INDEX(Purchase_Register!$AK$6:$AK$205,$B116)))</f>
        <v/>
      </c>
      <c r="K116" s="47" t="str">
        <f aca="false">IF($B116="","",N(INDEX(Purchase_Register!$AL$6:$AL$205,$B116)))</f>
        <v/>
      </c>
      <c r="L116" s="32" t="str">
        <f aca="false">IF($B116="","",INDEX(Purchase_Register!$BK$6:$BK$205,$B116)&amp;"")</f>
        <v/>
      </c>
    </row>
    <row r="117" customFormat="false" ht="15" hidden="false" customHeight="false" outlineLevel="0" collapsed="false">
      <c r="A117" s="33" t="str">
        <f aca="false">IF(ROWS($A$7:A117)&gt;COUNT(Purchase_Register!$BM$6:$BM$205),"",ROWS($A$7:A117))</f>
        <v/>
      </c>
      <c r="B117" s="33" t="str">
        <f aca="false">IF($A117="","",MATCH(SMALL(Purchase_Register!$BM$6:$BM$205,$A117),Purchase_Register!$BM$6:$BM$205,0))</f>
        <v/>
      </c>
      <c r="C117" s="46" t="str">
        <f aca="false">IF($B117="","",INDEX(Purchase_Register!$BL$6:$BL$205,$B117)&amp;"")</f>
        <v/>
      </c>
      <c r="D117" s="31" t="str">
        <f aca="false">IF($B117="","",INDEX(Purchase_Register!$A$6:$A$205,$B117)&amp;"")</f>
        <v/>
      </c>
      <c r="E117" s="32" t="str">
        <f aca="false">IF($B117="","",INDEX(Purchase_Register!$E$6:$E$205,$B117)&amp;"")</f>
        <v/>
      </c>
      <c r="F117" s="32" t="str">
        <f aca="false">IF($B117="","",INDEX(Purchase_Register!$M$6:$M$205,$B117)&amp;"")</f>
        <v/>
      </c>
      <c r="G117" s="32" t="str">
        <f aca="false">IF($B117="","",INDEX(Purchase_Register!$C$6:$C$205,$B117)&amp;"")</f>
        <v/>
      </c>
      <c r="H117" s="32" t="str">
        <f aca="false">IF($B117="","",INDEX(Purchase_Register!$BI$6:$BI$205,$B117)&amp;"")</f>
        <v/>
      </c>
      <c r="I117" s="32" t="str">
        <f aca="false">IF($B117="","",INDEX(Purchase_Register!$AX$6:$AX$205,$B117)&amp;"")</f>
        <v/>
      </c>
      <c r="J117" s="47" t="str">
        <f aca="false">IF($B117="","",N(INDEX(Purchase_Register!$AK$6:$AK$205,$B117)))</f>
        <v/>
      </c>
      <c r="K117" s="47" t="str">
        <f aca="false">IF($B117="","",N(INDEX(Purchase_Register!$AL$6:$AL$205,$B117)))</f>
        <v/>
      </c>
      <c r="L117" s="32" t="str">
        <f aca="false">IF($B117="","",INDEX(Purchase_Register!$BK$6:$BK$205,$B117)&amp;"")</f>
        <v/>
      </c>
    </row>
    <row r="118" customFormat="false" ht="15" hidden="false" customHeight="false" outlineLevel="0" collapsed="false">
      <c r="A118" s="33" t="str">
        <f aca="false">IF(ROWS($A$7:A118)&gt;COUNT(Purchase_Register!$BM$6:$BM$205),"",ROWS($A$7:A118))</f>
        <v/>
      </c>
      <c r="B118" s="33" t="str">
        <f aca="false">IF($A118="","",MATCH(SMALL(Purchase_Register!$BM$6:$BM$205,$A118),Purchase_Register!$BM$6:$BM$205,0))</f>
        <v/>
      </c>
      <c r="C118" s="46" t="str">
        <f aca="false">IF($B118="","",INDEX(Purchase_Register!$BL$6:$BL$205,$B118)&amp;"")</f>
        <v/>
      </c>
      <c r="D118" s="31" t="str">
        <f aca="false">IF($B118="","",INDEX(Purchase_Register!$A$6:$A$205,$B118)&amp;"")</f>
        <v/>
      </c>
      <c r="E118" s="32" t="str">
        <f aca="false">IF($B118="","",INDEX(Purchase_Register!$E$6:$E$205,$B118)&amp;"")</f>
        <v/>
      </c>
      <c r="F118" s="32" t="str">
        <f aca="false">IF($B118="","",INDEX(Purchase_Register!$M$6:$M$205,$B118)&amp;"")</f>
        <v/>
      </c>
      <c r="G118" s="32" t="str">
        <f aca="false">IF($B118="","",INDEX(Purchase_Register!$C$6:$C$205,$B118)&amp;"")</f>
        <v/>
      </c>
      <c r="H118" s="32" t="str">
        <f aca="false">IF($B118="","",INDEX(Purchase_Register!$BI$6:$BI$205,$B118)&amp;"")</f>
        <v/>
      </c>
      <c r="I118" s="32" t="str">
        <f aca="false">IF($B118="","",INDEX(Purchase_Register!$AX$6:$AX$205,$B118)&amp;"")</f>
        <v/>
      </c>
      <c r="J118" s="47" t="str">
        <f aca="false">IF($B118="","",N(INDEX(Purchase_Register!$AK$6:$AK$205,$B118)))</f>
        <v/>
      </c>
      <c r="K118" s="47" t="str">
        <f aca="false">IF($B118="","",N(INDEX(Purchase_Register!$AL$6:$AL$205,$B118)))</f>
        <v/>
      </c>
      <c r="L118" s="32" t="str">
        <f aca="false">IF($B118="","",INDEX(Purchase_Register!$BK$6:$BK$205,$B118)&amp;"")</f>
        <v/>
      </c>
    </row>
    <row r="119" customFormat="false" ht="15" hidden="false" customHeight="false" outlineLevel="0" collapsed="false">
      <c r="A119" s="33" t="str">
        <f aca="false">IF(ROWS($A$7:A119)&gt;COUNT(Purchase_Register!$BM$6:$BM$205),"",ROWS($A$7:A119))</f>
        <v/>
      </c>
      <c r="B119" s="33" t="str">
        <f aca="false">IF($A119="","",MATCH(SMALL(Purchase_Register!$BM$6:$BM$205,$A119),Purchase_Register!$BM$6:$BM$205,0))</f>
        <v/>
      </c>
      <c r="C119" s="46" t="str">
        <f aca="false">IF($B119="","",INDEX(Purchase_Register!$BL$6:$BL$205,$B119)&amp;"")</f>
        <v/>
      </c>
      <c r="D119" s="31" t="str">
        <f aca="false">IF($B119="","",INDEX(Purchase_Register!$A$6:$A$205,$B119)&amp;"")</f>
        <v/>
      </c>
      <c r="E119" s="32" t="str">
        <f aca="false">IF($B119="","",INDEX(Purchase_Register!$E$6:$E$205,$B119)&amp;"")</f>
        <v/>
      </c>
      <c r="F119" s="32" t="str">
        <f aca="false">IF($B119="","",INDEX(Purchase_Register!$M$6:$M$205,$B119)&amp;"")</f>
        <v/>
      </c>
      <c r="G119" s="32" t="str">
        <f aca="false">IF($B119="","",INDEX(Purchase_Register!$C$6:$C$205,$B119)&amp;"")</f>
        <v/>
      </c>
      <c r="H119" s="32" t="str">
        <f aca="false">IF($B119="","",INDEX(Purchase_Register!$BI$6:$BI$205,$B119)&amp;"")</f>
        <v/>
      </c>
      <c r="I119" s="32" t="str">
        <f aca="false">IF($B119="","",INDEX(Purchase_Register!$AX$6:$AX$205,$B119)&amp;"")</f>
        <v/>
      </c>
      <c r="J119" s="47" t="str">
        <f aca="false">IF($B119="","",N(INDEX(Purchase_Register!$AK$6:$AK$205,$B119)))</f>
        <v/>
      </c>
      <c r="K119" s="47" t="str">
        <f aca="false">IF($B119="","",N(INDEX(Purchase_Register!$AL$6:$AL$205,$B119)))</f>
        <v/>
      </c>
      <c r="L119" s="32" t="str">
        <f aca="false">IF($B119="","",INDEX(Purchase_Register!$BK$6:$BK$205,$B119)&amp;"")</f>
        <v/>
      </c>
    </row>
    <row r="120" customFormat="false" ht="15" hidden="false" customHeight="false" outlineLevel="0" collapsed="false">
      <c r="A120" s="33" t="str">
        <f aca="false">IF(ROWS($A$7:A120)&gt;COUNT(Purchase_Register!$BM$6:$BM$205),"",ROWS($A$7:A120))</f>
        <v/>
      </c>
      <c r="B120" s="33" t="str">
        <f aca="false">IF($A120="","",MATCH(SMALL(Purchase_Register!$BM$6:$BM$205,$A120),Purchase_Register!$BM$6:$BM$205,0))</f>
        <v/>
      </c>
      <c r="C120" s="46" t="str">
        <f aca="false">IF($B120="","",INDEX(Purchase_Register!$BL$6:$BL$205,$B120)&amp;"")</f>
        <v/>
      </c>
      <c r="D120" s="31" t="str">
        <f aca="false">IF($B120="","",INDEX(Purchase_Register!$A$6:$A$205,$B120)&amp;"")</f>
        <v/>
      </c>
      <c r="E120" s="32" t="str">
        <f aca="false">IF($B120="","",INDEX(Purchase_Register!$E$6:$E$205,$B120)&amp;"")</f>
        <v/>
      </c>
      <c r="F120" s="32" t="str">
        <f aca="false">IF($B120="","",INDEX(Purchase_Register!$M$6:$M$205,$B120)&amp;"")</f>
        <v/>
      </c>
      <c r="G120" s="32" t="str">
        <f aca="false">IF($B120="","",INDEX(Purchase_Register!$C$6:$C$205,$B120)&amp;"")</f>
        <v/>
      </c>
      <c r="H120" s="32" t="str">
        <f aca="false">IF($B120="","",INDEX(Purchase_Register!$BI$6:$BI$205,$B120)&amp;"")</f>
        <v/>
      </c>
      <c r="I120" s="32" t="str">
        <f aca="false">IF($B120="","",INDEX(Purchase_Register!$AX$6:$AX$205,$B120)&amp;"")</f>
        <v/>
      </c>
      <c r="J120" s="47" t="str">
        <f aca="false">IF($B120="","",N(INDEX(Purchase_Register!$AK$6:$AK$205,$B120)))</f>
        <v/>
      </c>
      <c r="K120" s="47" t="str">
        <f aca="false">IF($B120="","",N(INDEX(Purchase_Register!$AL$6:$AL$205,$B120)))</f>
        <v/>
      </c>
      <c r="L120" s="32" t="str">
        <f aca="false">IF($B120="","",INDEX(Purchase_Register!$BK$6:$BK$205,$B120)&amp;"")</f>
        <v/>
      </c>
    </row>
    <row r="121" customFormat="false" ht="15" hidden="false" customHeight="false" outlineLevel="0" collapsed="false">
      <c r="A121" s="33" t="str">
        <f aca="false">IF(ROWS($A$7:A121)&gt;COUNT(Purchase_Register!$BM$6:$BM$205),"",ROWS($A$7:A121))</f>
        <v/>
      </c>
      <c r="B121" s="33" t="str">
        <f aca="false">IF($A121="","",MATCH(SMALL(Purchase_Register!$BM$6:$BM$205,$A121),Purchase_Register!$BM$6:$BM$205,0))</f>
        <v/>
      </c>
      <c r="C121" s="46" t="str">
        <f aca="false">IF($B121="","",INDEX(Purchase_Register!$BL$6:$BL$205,$B121)&amp;"")</f>
        <v/>
      </c>
      <c r="D121" s="31" t="str">
        <f aca="false">IF($B121="","",INDEX(Purchase_Register!$A$6:$A$205,$B121)&amp;"")</f>
        <v/>
      </c>
      <c r="E121" s="32" t="str">
        <f aca="false">IF($B121="","",INDEX(Purchase_Register!$E$6:$E$205,$B121)&amp;"")</f>
        <v/>
      </c>
      <c r="F121" s="32" t="str">
        <f aca="false">IF($B121="","",INDEX(Purchase_Register!$M$6:$M$205,$B121)&amp;"")</f>
        <v/>
      </c>
      <c r="G121" s="32" t="str">
        <f aca="false">IF($B121="","",INDEX(Purchase_Register!$C$6:$C$205,$B121)&amp;"")</f>
        <v/>
      </c>
      <c r="H121" s="32" t="str">
        <f aca="false">IF($B121="","",INDEX(Purchase_Register!$BI$6:$BI$205,$B121)&amp;"")</f>
        <v/>
      </c>
      <c r="I121" s="32" t="str">
        <f aca="false">IF($B121="","",INDEX(Purchase_Register!$AX$6:$AX$205,$B121)&amp;"")</f>
        <v/>
      </c>
      <c r="J121" s="47" t="str">
        <f aca="false">IF($B121="","",N(INDEX(Purchase_Register!$AK$6:$AK$205,$B121)))</f>
        <v/>
      </c>
      <c r="K121" s="47" t="str">
        <f aca="false">IF($B121="","",N(INDEX(Purchase_Register!$AL$6:$AL$205,$B121)))</f>
        <v/>
      </c>
      <c r="L121" s="32" t="str">
        <f aca="false">IF($B121="","",INDEX(Purchase_Register!$BK$6:$BK$205,$B121)&amp;"")</f>
        <v/>
      </c>
    </row>
    <row r="122" customFormat="false" ht="15" hidden="false" customHeight="false" outlineLevel="0" collapsed="false">
      <c r="A122" s="33" t="str">
        <f aca="false">IF(ROWS($A$7:A122)&gt;COUNT(Purchase_Register!$BM$6:$BM$205),"",ROWS($A$7:A122))</f>
        <v/>
      </c>
      <c r="B122" s="33" t="str">
        <f aca="false">IF($A122="","",MATCH(SMALL(Purchase_Register!$BM$6:$BM$205,$A122),Purchase_Register!$BM$6:$BM$205,0))</f>
        <v/>
      </c>
      <c r="C122" s="46" t="str">
        <f aca="false">IF($B122="","",INDEX(Purchase_Register!$BL$6:$BL$205,$B122)&amp;"")</f>
        <v/>
      </c>
      <c r="D122" s="31" t="str">
        <f aca="false">IF($B122="","",INDEX(Purchase_Register!$A$6:$A$205,$B122)&amp;"")</f>
        <v/>
      </c>
      <c r="E122" s="32" t="str">
        <f aca="false">IF($B122="","",INDEX(Purchase_Register!$E$6:$E$205,$B122)&amp;"")</f>
        <v/>
      </c>
      <c r="F122" s="32" t="str">
        <f aca="false">IF($B122="","",INDEX(Purchase_Register!$M$6:$M$205,$B122)&amp;"")</f>
        <v/>
      </c>
      <c r="G122" s="32" t="str">
        <f aca="false">IF($B122="","",INDEX(Purchase_Register!$C$6:$C$205,$B122)&amp;"")</f>
        <v/>
      </c>
      <c r="H122" s="32" t="str">
        <f aca="false">IF($B122="","",INDEX(Purchase_Register!$BI$6:$BI$205,$B122)&amp;"")</f>
        <v/>
      </c>
      <c r="I122" s="32" t="str">
        <f aca="false">IF($B122="","",INDEX(Purchase_Register!$AX$6:$AX$205,$B122)&amp;"")</f>
        <v/>
      </c>
      <c r="J122" s="47" t="str">
        <f aca="false">IF($B122="","",N(INDEX(Purchase_Register!$AK$6:$AK$205,$B122)))</f>
        <v/>
      </c>
      <c r="K122" s="47" t="str">
        <f aca="false">IF($B122="","",N(INDEX(Purchase_Register!$AL$6:$AL$205,$B122)))</f>
        <v/>
      </c>
      <c r="L122" s="32" t="str">
        <f aca="false">IF($B122="","",INDEX(Purchase_Register!$BK$6:$BK$205,$B122)&amp;"")</f>
        <v/>
      </c>
    </row>
    <row r="123" customFormat="false" ht="15" hidden="false" customHeight="false" outlineLevel="0" collapsed="false">
      <c r="A123" s="33" t="str">
        <f aca="false">IF(ROWS($A$7:A123)&gt;COUNT(Purchase_Register!$BM$6:$BM$205),"",ROWS($A$7:A123))</f>
        <v/>
      </c>
      <c r="B123" s="33" t="str">
        <f aca="false">IF($A123="","",MATCH(SMALL(Purchase_Register!$BM$6:$BM$205,$A123),Purchase_Register!$BM$6:$BM$205,0))</f>
        <v/>
      </c>
      <c r="C123" s="46" t="str">
        <f aca="false">IF($B123="","",INDEX(Purchase_Register!$BL$6:$BL$205,$B123)&amp;"")</f>
        <v/>
      </c>
      <c r="D123" s="31" t="str">
        <f aca="false">IF($B123="","",INDEX(Purchase_Register!$A$6:$A$205,$B123)&amp;"")</f>
        <v/>
      </c>
      <c r="E123" s="32" t="str">
        <f aca="false">IF($B123="","",INDEX(Purchase_Register!$E$6:$E$205,$B123)&amp;"")</f>
        <v/>
      </c>
      <c r="F123" s="32" t="str">
        <f aca="false">IF($B123="","",INDEX(Purchase_Register!$M$6:$M$205,$B123)&amp;"")</f>
        <v/>
      </c>
      <c r="G123" s="32" t="str">
        <f aca="false">IF($B123="","",INDEX(Purchase_Register!$C$6:$C$205,$B123)&amp;"")</f>
        <v/>
      </c>
      <c r="H123" s="32" t="str">
        <f aca="false">IF($B123="","",INDEX(Purchase_Register!$BI$6:$BI$205,$B123)&amp;"")</f>
        <v/>
      </c>
      <c r="I123" s="32" t="str">
        <f aca="false">IF($B123="","",INDEX(Purchase_Register!$AX$6:$AX$205,$B123)&amp;"")</f>
        <v/>
      </c>
      <c r="J123" s="47" t="str">
        <f aca="false">IF($B123="","",N(INDEX(Purchase_Register!$AK$6:$AK$205,$B123)))</f>
        <v/>
      </c>
      <c r="K123" s="47" t="str">
        <f aca="false">IF($B123="","",N(INDEX(Purchase_Register!$AL$6:$AL$205,$B123)))</f>
        <v/>
      </c>
      <c r="L123" s="32" t="str">
        <f aca="false">IF($B123="","",INDEX(Purchase_Register!$BK$6:$BK$205,$B123)&amp;"")</f>
        <v/>
      </c>
    </row>
    <row r="124" customFormat="false" ht="15" hidden="false" customHeight="false" outlineLevel="0" collapsed="false">
      <c r="A124" s="33" t="str">
        <f aca="false">IF(ROWS($A$7:A124)&gt;COUNT(Purchase_Register!$BM$6:$BM$205),"",ROWS($A$7:A124))</f>
        <v/>
      </c>
      <c r="B124" s="33" t="str">
        <f aca="false">IF($A124="","",MATCH(SMALL(Purchase_Register!$BM$6:$BM$205,$A124),Purchase_Register!$BM$6:$BM$205,0))</f>
        <v/>
      </c>
      <c r="C124" s="46" t="str">
        <f aca="false">IF($B124="","",INDEX(Purchase_Register!$BL$6:$BL$205,$B124)&amp;"")</f>
        <v/>
      </c>
      <c r="D124" s="31" t="str">
        <f aca="false">IF($B124="","",INDEX(Purchase_Register!$A$6:$A$205,$B124)&amp;"")</f>
        <v/>
      </c>
      <c r="E124" s="32" t="str">
        <f aca="false">IF($B124="","",INDEX(Purchase_Register!$E$6:$E$205,$B124)&amp;"")</f>
        <v/>
      </c>
      <c r="F124" s="32" t="str">
        <f aca="false">IF($B124="","",INDEX(Purchase_Register!$M$6:$M$205,$B124)&amp;"")</f>
        <v/>
      </c>
      <c r="G124" s="32" t="str">
        <f aca="false">IF($B124="","",INDEX(Purchase_Register!$C$6:$C$205,$B124)&amp;"")</f>
        <v/>
      </c>
      <c r="H124" s="32" t="str">
        <f aca="false">IF($B124="","",INDEX(Purchase_Register!$BI$6:$BI$205,$B124)&amp;"")</f>
        <v/>
      </c>
      <c r="I124" s="32" t="str">
        <f aca="false">IF($B124="","",INDEX(Purchase_Register!$AX$6:$AX$205,$B124)&amp;"")</f>
        <v/>
      </c>
      <c r="J124" s="47" t="str">
        <f aca="false">IF($B124="","",N(INDEX(Purchase_Register!$AK$6:$AK$205,$B124)))</f>
        <v/>
      </c>
      <c r="K124" s="47" t="str">
        <f aca="false">IF($B124="","",N(INDEX(Purchase_Register!$AL$6:$AL$205,$B124)))</f>
        <v/>
      </c>
      <c r="L124" s="32" t="str">
        <f aca="false">IF($B124="","",INDEX(Purchase_Register!$BK$6:$BK$205,$B124)&amp;"")</f>
        <v/>
      </c>
    </row>
    <row r="125" customFormat="false" ht="15" hidden="false" customHeight="false" outlineLevel="0" collapsed="false">
      <c r="A125" s="33" t="str">
        <f aca="false">IF(ROWS($A$7:A125)&gt;COUNT(Purchase_Register!$BM$6:$BM$205),"",ROWS($A$7:A125))</f>
        <v/>
      </c>
      <c r="B125" s="33" t="str">
        <f aca="false">IF($A125="","",MATCH(SMALL(Purchase_Register!$BM$6:$BM$205,$A125),Purchase_Register!$BM$6:$BM$205,0))</f>
        <v/>
      </c>
      <c r="C125" s="46" t="str">
        <f aca="false">IF($B125="","",INDEX(Purchase_Register!$BL$6:$BL$205,$B125)&amp;"")</f>
        <v/>
      </c>
      <c r="D125" s="31" t="str">
        <f aca="false">IF($B125="","",INDEX(Purchase_Register!$A$6:$A$205,$B125)&amp;"")</f>
        <v/>
      </c>
      <c r="E125" s="32" t="str">
        <f aca="false">IF($B125="","",INDEX(Purchase_Register!$E$6:$E$205,$B125)&amp;"")</f>
        <v/>
      </c>
      <c r="F125" s="32" t="str">
        <f aca="false">IF($B125="","",INDEX(Purchase_Register!$M$6:$M$205,$B125)&amp;"")</f>
        <v/>
      </c>
      <c r="G125" s="32" t="str">
        <f aca="false">IF($B125="","",INDEX(Purchase_Register!$C$6:$C$205,$B125)&amp;"")</f>
        <v/>
      </c>
      <c r="H125" s="32" t="str">
        <f aca="false">IF($B125="","",INDEX(Purchase_Register!$BI$6:$BI$205,$B125)&amp;"")</f>
        <v/>
      </c>
      <c r="I125" s="32" t="str">
        <f aca="false">IF($B125="","",INDEX(Purchase_Register!$AX$6:$AX$205,$B125)&amp;"")</f>
        <v/>
      </c>
      <c r="J125" s="47" t="str">
        <f aca="false">IF($B125="","",N(INDEX(Purchase_Register!$AK$6:$AK$205,$B125)))</f>
        <v/>
      </c>
      <c r="K125" s="47" t="str">
        <f aca="false">IF($B125="","",N(INDEX(Purchase_Register!$AL$6:$AL$205,$B125)))</f>
        <v/>
      </c>
      <c r="L125" s="32" t="str">
        <f aca="false">IF($B125="","",INDEX(Purchase_Register!$BK$6:$BK$205,$B125)&amp;"")</f>
        <v/>
      </c>
    </row>
    <row r="126" customFormat="false" ht="15" hidden="false" customHeight="false" outlineLevel="0" collapsed="false">
      <c r="A126" s="33" t="str">
        <f aca="false">IF(ROWS($A$7:A126)&gt;COUNT(Purchase_Register!$BM$6:$BM$205),"",ROWS($A$7:A126))</f>
        <v/>
      </c>
      <c r="B126" s="33" t="str">
        <f aca="false">IF($A126="","",MATCH(SMALL(Purchase_Register!$BM$6:$BM$205,$A126),Purchase_Register!$BM$6:$BM$205,0))</f>
        <v/>
      </c>
      <c r="C126" s="46" t="str">
        <f aca="false">IF($B126="","",INDEX(Purchase_Register!$BL$6:$BL$205,$B126)&amp;"")</f>
        <v/>
      </c>
      <c r="D126" s="31" t="str">
        <f aca="false">IF($B126="","",INDEX(Purchase_Register!$A$6:$A$205,$B126)&amp;"")</f>
        <v/>
      </c>
      <c r="E126" s="32" t="str">
        <f aca="false">IF($B126="","",INDEX(Purchase_Register!$E$6:$E$205,$B126)&amp;"")</f>
        <v/>
      </c>
      <c r="F126" s="32" t="str">
        <f aca="false">IF($B126="","",INDEX(Purchase_Register!$M$6:$M$205,$B126)&amp;"")</f>
        <v/>
      </c>
      <c r="G126" s="32" t="str">
        <f aca="false">IF($B126="","",INDEX(Purchase_Register!$C$6:$C$205,$B126)&amp;"")</f>
        <v/>
      </c>
      <c r="H126" s="32" t="str">
        <f aca="false">IF($B126="","",INDEX(Purchase_Register!$BI$6:$BI$205,$B126)&amp;"")</f>
        <v/>
      </c>
      <c r="I126" s="32" t="str">
        <f aca="false">IF($B126="","",INDEX(Purchase_Register!$AX$6:$AX$205,$B126)&amp;"")</f>
        <v/>
      </c>
      <c r="J126" s="47" t="str">
        <f aca="false">IF($B126="","",N(INDEX(Purchase_Register!$AK$6:$AK$205,$B126)))</f>
        <v/>
      </c>
      <c r="K126" s="47" t="str">
        <f aca="false">IF($B126="","",N(INDEX(Purchase_Register!$AL$6:$AL$205,$B126)))</f>
        <v/>
      </c>
      <c r="L126" s="32" t="str">
        <f aca="false">IF($B126="","",INDEX(Purchase_Register!$BK$6:$BK$205,$B126)&amp;"")</f>
        <v/>
      </c>
    </row>
    <row r="127" customFormat="false" ht="15" hidden="false" customHeight="false" outlineLevel="0" collapsed="false">
      <c r="A127" s="33" t="str">
        <f aca="false">IF(ROWS($A$7:A127)&gt;COUNT(Purchase_Register!$BM$6:$BM$205),"",ROWS($A$7:A127))</f>
        <v/>
      </c>
      <c r="B127" s="33" t="str">
        <f aca="false">IF($A127="","",MATCH(SMALL(Purchase_Register!$BM$6:$BM$205,$A127),Purchase_Register!$BM$6:$BM$205,0))</f>
        <v/>
      </c>
      <c r="C127" s="46" t="str">
        <f aca="false">IF($B127="","",INDEX(Purchase_Register!$BL$6:$BL$205,$B127)&amp;"")</f>
        <v/>
      </c>
      <c r="D127" s="31" t="str">
        <f aca="false">IF($B127="","",INDEX(Purchase_Register!$A$6:$A$205,$B127)&amp;"")</f>
        <v/>
      </c>
      <c r="E127" s="32" t="str">
        <f aca="false">IF($B127="","",INDEX(Purchase_Register!$E$6:$E$205,$B127)&amp;"")</f>
        <v/>
      </c>
      <c r="F127" s="32" t="str">
        <f aca="false">IF($B127="","",INDEX(Purchase_Register!$M$6:$M$205,$B127)&amp;"")</f>
        <v/>
      </c>
      <c r="G127" s="32" t="str">
        <f aca="false">IF($B127="","",INDEX(Purchase_Register!$C$6:$C$205,$B127)&amp;"")</f>
        <v/>
      </c>
      <c r="H127" s="32" t="str">
        <f aca="false">IF($B127="","",INDEX(Purchase_Register!$BI$6:$BI$205,$B127)&amp;"")</f>
        <v/>
      </c>
      <c r="I127" s="32" t="str">
        <f aca="false">IF($B127="","",INDEX(Purchase_Register!$AX$6:$AX$205,$B127)&amp;"")</f>
        <v/>
      </c>
      <c r="J127" s="47" t="str">
        <f aca="false">IF($B127="","",N(INDEX(Purchase_Register!$AK$6:$AK$205,$B127)))</f>
        <v/>
      </c>
      <c r="K127" s="47" t="str">
        <f aca="false">IF($B127="","",N(INDEX(Purchase_Register!$AL$6:$AL$205,$B127)))</f>
        <v/>
      </c>
      <c r="L127" s="32" t="str">
        <f aca="false">IF($B127="","",INDEX(Purchase_Register!$BK$6:$BK$205,$B127)&amp;"")</f>
        <v/>
      </c>
    </row>
    <row r="128" customFormat="false" ht="15" hidden="false" customHeight="false" outlineLevel="0" collapsed="false">
      <c r="A128" s="33" t="str">
        <f aca="false">IF(ROWS($A$7:A128)&gt;COUNT(Purchase_Register!$BM$6:$BM$205),"",ROWS($A$7:A128))</f>
        <v/>
      </c>
      <c r="B128" s="33" t="str">
        <f aca="false">IF($A128="","",MATCH(SMALL(Purchase_Register!$BM$6:$BM$205,$A128),Purchase_Register!$BM$6:$BM$205,0))</f>
        <v/>
      </c>
      <c r="C128" s="46" t="str">
        <f aca="false">IF($B128="","",INDEX(Purchase_Register!$BL$6:$BL$205,$B128)&amp;"")</f>
        <v/>
      </c>
      <c r="D128" s="31" t="str">
        <f aca="false">IF($B128="","",INDEX(Purchase_Register!$A$6:$A$205,$B128)&amp;"")</f>
        <v/>
      </c>
      <c r="E128" s="32" t="str">
        <f aca="false">IF($B128="","",INDEX(Purchase_Register!$E$6:$E$205,$B128)&amp;"")</f>
        <v/>
      </c>
      <c r="F128" s="32" t="str">
        <f aca="false">IF($B128="","",INDEX(Purchase_Register!$M$6:$M$205,$B128)&amp;"")</f>
        <v/>
      </c>
      <c r="G128" s="32" t="str">
        <f aca="false">IF($B128="","",INDEX(Purchase_Register!$C$6:$C$205,$B128)&amp;"")</f>
        <v/>
      </c>
      <c r="H128" s="32" t="str">
        <f aca="false">IF($B128="","",INDEX(Purchase_Register!$BI$6:$BI$205,$B128)&amp;"")</f>
        <v/>
      </c>
      <c r="I128" s="32" t="str">
        <f aca="false">IF($B128="","",INDEX(Purchase_Register!$AX$6:$AX$205,$B128)&amp;"")</f>
        <v/>
      </c>
      <c r="J128" s="47" t="str">
        <f aca="false">IF($B128="","",N(INDEX(Purchase_Register!$AK$6:$AK$205,$B128)))</f>
        <v/>
      </c>
      <c r="K128" s="47" t="str">
        <f aca="false">IF($B128="","",N(INDEX(Purchase_Register!$AL$6:$AL$205,$B128)))</f>
        <v/>
      </c>
      <c r="L128" s="32" t="str">
        <f aca="false">IF($B128="","",INDEX(Purchase_Register!$BK$6:$BK$205,$B128)&amp;"")</f>
        <v/>
      </c>
    </row>
    <row r="129" customFormat="false" ht="15" hidden="false" customHeight="false" outlineLevel="0" collapsed="false">
      <c r="A129" s="33" t="str">
        <f aca="false">IF(ROWS($A$7:A129)&gt;COUNT(Purchase_Register!$BM$6:$BM$205),"",ROWS($A$7:A129))</f>
        <v/>
      </c>
      <c r="B129" s="33" t="str">
        <f aca="false">IF($A129="","",MATCH(SMALL(Purchase_Register!$BM$6:$BM$205,$A129),Purchase_Register!$BM$6:$BM$205,0))</f>
        <v/>
      </c>
      <c r="C129" s="46" t="str">
        <f aca="false">IF($B129="","",INDEX(Purchase_Register!$BL$6:$BL$205,$B129)&amp;"")</f>
        <v/>
      </c>
      <c r="D129" s="31" t="str">
        <f aca="false">IF($B129="","",INDEX(Purchase_Register!$A$6:$A$205,$B129)&amp;"")</f>
        <v/>
      </c>
      <c r="E129" s="32" t="str">
        <f aca="false">IF($B129="","",INDEX(Purchase_Register!$E$6:$E$205,$B129)&amp;"")</f>
        <v/>
      </c>
      <c r="F129" s="32" t="str">
        <f aca="false">IF($B129="","",INDEX(Purchase_Register!$M$6:$M$205,$B129)&amp;"")</f>
        <v/>
      </c>
      <c r="G129" s="32" t="str">
        <f aca="false">IF($B129="","",INDEX(Purchase_Register!$C$6:$C$205,$B129)&amp;"")</f>
        <v/>
      </c>
      <c r="H129" s="32" t="str">
        <f aca="false">IF($B129="","",INDEX(Purchase_Register!$BI$6:$BI$205,$B129)&amp;"")</f>
        <v/>
      </c>
      <c r="I129" s="32" t="str">
        <f aca="false">IF($B129="","",INDEX(Purchase_Register!$AX$6:$AX$205,$B129)&amp;"")</f>
        <v/>
      </c>
      <c r="J129" s="47" t="str">
        <f aca="false">IF($B129="","",N(INDEX(Purchase_Register!$AK$6:$AK$205,$B129)))</f>
        <v/>
      </c>
      <c r="K129" s="47" t="str">
        <f aca="false">IF($B129="","",N(INDEX(Purchase_Register!$AL$6:$AL$205,$B129)))</f>
        <v/>
      </c>
      <c r="L129" s="32" t="str">
        <f aca="false">IF($B129="","",INDEX(Purchase_Register!$BK$6:$BK$205,$B129)&amp;"")</f>
        <v/>
      </c>
    </row>
    <row r="130" customFormat="false" ht="15" hidden="false" customHeight="false" outlineLevel="0" collapsed="false">
      <c r="A130" s="33" t="str">
        <f aca="false">IF(ROWS($A$7:A130)&gt;COUNT(Purchase_Register!$BM$6:$BM$205),"",ROWS($A$7:A130))</f>
        <v/>
      </c>
      <c r="B130" s="33" t="str">
        <f aca="false">IF($A130="","",MATCH(SMALL(Purchase_Register!$BM$6:$BM$205,$A130),Purchase_Register!$BM$6:$BM$205,0))</f>
        <v/>
      </c>
      <c r="C130" s="46" t="str">
        <f aca="false">IF($B130="","",INDEX(Purchase_Register!$BL$6:$BL$205,$B130)&amp;"")</f>
        <v/>
      </c>
      <c r="D130" s="31" t="str">
        <f aca="false">IF($B130="","",INDEX(Purchase_Register!$A$6:$A$205,$B130)&amp;"")</f>
        <v/>
      </c>
      <c r="E130" s="32" t="str">
        <f aca="false">IF($B130="","",INDEX(Purchase_Register!$E$6:$E$205,$B130)&amp;"")</f>
        <v/>
      </c>
      <c r="F130" s="32" t="str">
        <f aca="false">IF($B130="","",INDEX(Purchase_Register!$M$6:$M$205,$B130)&amp;"")</f>
        <v/>
      </c>
      <c r="G130" s="32" t="str">
        <f aca="false">IF($B130="","",INDEX(Purchase_Register!$C$6:$C$205,$B130)&amp;"")</f>
        <v/>
      </c>
      <c r="H130" s="32" t="str">
        <f aca="false">IF($B130="","",INDEX(Purchase_Register!$BI$6:$BI$205,$B130)&amp;"")</f>
        <v/>
      </c>
      <c r="I130" s="32" t="str">
        <f aca="false">IF($B130="","",INDEX(Purchase_Register!$AX$6:$AX$205,$B130)&amp;"")</f>
        <v/>
      </c>
      <c r="J130" s="47" t="str">
        <f aca="false">IF($B130="","",N(INDEX(Purchase_Register!$AK$6:$AK$205,$B130)))</f>
        <v/>
      </c>
      <c r="K130" s="47" t="str">
        <f aca="false">IF($B130="","",N(INDEX(Purchase_Register!$AL$6:$AL$205,$B130)))</f>
        <v/>
      </c>
      <c r="L130" s="32" t="str">
        <f aca="false">IF($B130="","",INDEX(Purchase_Register!$BK$6:$BK$205,$B130)&amp;"")</f>
        <v/>
      </c>
    </row>
    <row r="131" customFormat="false" ht="15" hidden="false" customHeight="false" outlineLevel="0" collapsed="false">
      <c r="A131" s="33" t="str">
        <f aca="false">IF(ROWS($A$7:A131)&gt;COUNT(Purchase_Register!$BM$6:$BM$205),"",ROWS($A$7:A131))</f>
        <v/>
      </c>
      <c r="B131" s="33" t="str">
        <f aca="false">IF($A131="","",MATCH(SMALL(Purchase_Register!$BM$6:$BM$205,$A131),Purchase_Register!$BM$6:$BM$205,0))</f>
        <v/>
      </c>
      <c r="C131" s="46" t="str">
        <f aca="false">IF($B131="","",INDEX(Purchase_Register!$BL$6:$BL$205,$B131)&amp;"")</f>
        <v/>
      </c>
      <c r="D131" s="31" t="str">
        <f aca="false">IF($B131="","",INDEX(Purchase_Register!$A$6:$A$205,$B131)&amp;"")</f>
        <v/>
      </c>
      <c r="E131" s="32" t="str">
        <f aca="false">IF($B131="","",INDEX(Purchase_Register!$E$6:$E$205,$B131)&amp;"")</f>
        <v/>
      </c>
      <c r="F131" s="32" t="str">
        <f aca="false">IF($B131="","",INDEX(Purchase_Register!$M$6:$M$205,$B131)&amp;"")</f>
        <v/>
      </c>
      <c r="G131" s="32" t="str">
        <f aca="false">IF($B131="","",INDEX(Purchase_Register!$C$6:$C$205,$B131)&amp;"")</f>
        <v/>
      </c>
      <c r="H131" s="32" t="str">
        <f aca="false">IF($B131="","",INDEX(Purchase_Register!$BI$6:$BI$205,$B131)&amp;"")</f>
        <v/>
      </c>
      <c r="I131" s="32" t="str">
        <f aca="false">IF($B131="","",INDEX(Purchase_Register!$AX$6:$AX$205,$B131)&amp;"")</f>
        <v/>
      </c>
      <c r="J131" s="47" t="str">
        <f aca="false">IF($B131="","",N(INDEX(Purchase_Register!$AK$6:$AK$205,$B131)))</f>
        <v/>
      </c>
      <c r="K131" s="47" t="str">
        <f aca="false">IF($B131="","",N(INDEX(Purchase_Register!$AL$6:$AL$205,$B131)))</f>
        <v/>
      </c>
      <c r="L131" s="32" t="str">
        <f aca="false">IF($B131="","",INDEX(Purchase_Register!$BK$6:$BK$205,$B131)&amp;"")</f>
        <v/>
      </c>
    </row>
    <row r="132" customFormat="false" ht="15" hidden="false" customHeight="false" outlineLevel="0" collapsed="false">
      <c r="A132" s="33" t="str">
        <f aca="false">IF(ROWS($A$7:A132)&gt;COUNT(Purchase_Register!$BM$6:$BM$205),"",ROWS($A$7:A132))</f>
        <v/>
      </c>
      <c r="B132" s="33" t="str">
        <f aca="false">IF($A132="","",MATCH(SMALL(Purchase_Register!$BM$6:$BM$205,$A132),Purchase_Register!$BM$6:$BM$205,0))</f>
        <v/>
      </c>
      <c r="C132" s="46" t="str">
        <f aca="false">IF($B132="","",INDEX(Purchase_Register!$BL$6:$BL$205,$B132)&amp;"")</f>
        <v/>
      </c>
      <c r="D132" s="31" t="str">
        <f aca="false">IF($B132="","",INDEX(Purchase_Register!$A$6:$A$205,$B132)&amp;"")</f>
        <v/>
      </c>
      <c r="E132" s="32" t="str">
        <f aca="false">IF($B132="","",INDEX(Purchase_Register!$E$6:$E$205,$B132)&amp;"")</f>
        <v/>
      </c>
      <c r="F132" s="32" t="str">
        <f aca="false">IF($B132="","",INDEX(Purchase_Register!$M$6:$M$205,$B132)&amp;"")</f>
        <v/>
      </c>
      <c r="G132" s="32" t="str">
        <f aca="false">IF($B132="","",INDEX(Purchase_Register!$C$6:$C$205,$B132)&amp;"")</f>
        <v/>
      </c>
      <c r="H132" s="32" t="str">
        <f aca="false">IF($B132="","",INDEX(Purchase_Register!$BI$6:$BI$205,$B132)&amp;"")</f>
        <v/>
      </c>
      <c r="I132" s="32" t="str">
        <f aca="false">IF($B132="","",INDEX(Purchase_Register!$AX$6:$AX$205,$B132)&amp;"")</f>
        <v/>
      </c>
      <c r="J132" s="47" t="str">
        <f aca="false">IF($B132="","",N(INDEX(Purchase_Register!$AK$6:$AK$205,$B132)))</f>
        <v/>
      </c>
      <c r="K132" s="47" t="str">
        <f aca="false">IF($B132="","",N(INDEX(Purchase_Register!$AL$6:$AL$205,$B132)))</f>
        <v/>
      </c>
      <c r="L132" s="32" t="str">
        <f aca="false">IF($B132="","",INDEX(Purchase_Register!$BK$6:$BK$205,$B132)&amp;"")</f>
        <v/>
      </c>
    </row>
    <row r="133" customFormat="false" ht="15" hidden="false" customHeight="false" outlineLevel="0" collapsed="false">
      <c r="A133" s="33" t="str">
        <f aca="false">IF(ROWS($A$7:A133)&gt;COUNT(Purchase_Register!$BM$6:$BM$205),"",ROWS($A$7:A133))</f>
        <v/>
      </c>
      <c r="B133" s="33" t="str">
        <f aca="false">IF($A133="","",MATCH(SMALL(Purchase_Register!$BM$6:$BM$205,$A133),Purchase_Register!$BM$6:$BM$205,0))</f>
        <v/>
      </c>
      <c r="C133" s="46" t="str">
        <f aca="false">IF($B133="","",INDEX(Purchase_Register!$BL$6:$BL$205,$B133)&amp;"")</f>
        <v/>
      </c>
      <c r="D133" s="31" t="str">
        <f aca="false">IF($B133="","",INDEX(Purchase_Register!$A$6:$A$205,$B133)&amp;"")</f>
        <v/>
      </c>
      <c r="E133" s="32" t="str">
        <f aca="false">IF($B133="","",INDEX(Purchase_Register!$E$6:$E$205,$B133)&amp;"")</f>
        <v/>
      </c>
      <c r="F133" s="32" t="str">
        <f aca="false">IF($B133="","",INDEX(Purchase_Register!$M$6:$M$205,$B133)&amp;"")</f>
        <v/>
      </c>
      <c r="G133" s="32" t="str">
        <f aca="false">IF($B133="","",INDEX(Purchase_Register!$C$6:$C$205,$B133)&amp;"")</f>
        <v/>
      </c>
      <c r="H133" s="32" t="str">
        <f aca="false">IF($B133="","",INDEX(Purchase_Register!$BI$6:$BI$205,$B133)&amp;"")</f>
        <v/>
      </c>
      <c r="I133" s="32" t="str">
        <f aca="false">IF($B133="","",INDEX(Purchase_Register!$AX$6:$AX$205,$B133)&amp;"")</f>
        <v/>
      </c>
      <c r="J133" s="47" t="str">
        <f aca="false">IF($B133="","",N(INDEX(Purchase_Register!$AK$6:$AK$205,$B133)))</f>
        <v/>
      </c>
      <c r="K133" s="47" t="str">
        <f aca="false">IF($B133="","",N(INDEX(Purchase_Register!$AL$6:$AL$205,$B133)))</f>
        <v/>
      </c>
      <c r="L133" s="32" t="str">
        <f aca="false">IF($B133="","",INDEX(Purchase_Register!$BK$6:$BK$205,$B133)&amp;"")</f>
        <v/>
      </c>
    </row>
    <row r="134" customFormat="false" ht="15" hidden="false" customHeight="false" outlineLevel="0" collapsed="false">
      <c r="A134" s="33" t="str">
        <f aca="false">IF(ROWS($A$7:A134)&gt;COUNT(Purchase_Register!$BM$6:$BM$205),"",ROWS($A$7:A134))</f>
        <v/>
      </c>
      <c r="B134" s="33" t="str">
        <f aca="false">IF($A134="","",MATCH(SMALL(Purchase_Register!$BM$6:$BM$205,$A134),Purchase_Register!$BM$6:$BM$205,0))</f>
        <v/>
      </c>
      <c r="C134" s="46" t="str">
        <f aca="false">IF($B134="","",INDEX(Purchase_Register!$BL$6:$BL$205,$B134)&amp;"")</f>
        <v/>
      </c>
      <c r="D134" s="31" t="str">
        <f aca="false">IF($B134="","",INDEX(Purchase_Register!$A$6:$A$205,$B134)&amp;"")</f>
        <v/>
      </c>
      <c r="E134" s="32" t="str">
        <f aca="false">IF($B134="","",INDEX(Purchase_Register!$E$6:$E$205,$B134)&amp;"")</f>
        <v/>
      </c>
      <c r="F134" s="32" t="str">
        <f aca="false">IF($B134="","",INDEX(Purchase_Register!$M$6:$M$205,$B134)&amp;"")</f>
        <v/>
      </c>
      <c r="G134" s="32" t="str">
        <f aca="false">IF($B134="","",INDEX(Purchase_Register!$C$6:$C$205,$B134)&amp;"")</f>
        <v/>
      </c>
      <c r="H134" s="32" t="str">
        <f aca="false">IF($B134="","",INDEX(Purchase_Register!$BI$6:$BI$205,$B134)&amp;"")</f>
        <v/>
      </c>
      <c r="I134" s="32" t="str">
        <f aca="false">IF($B134="","",INDEX(Purchase_Register!$AX$6:$AX$205,$B134)&amp;"")</f>
        <v/>
      </c>
      <c r="J134" s="47" t="str">
        <f aca="false">IF($B134="","",N(INDEX(Purchase_Register!$AK$6:$AK$205,$B134)))</f>
        <v/>
      </c>
      <c r="K134" s="47" t="str">
        <f aca="false">IF($B134="","",N(INDEX(Purchase_Register!$AL$6:$AL$205,$B134)))</f>
        <v/>
      </c>
      <c r="L134" s="32" t="str">
        <f aca="false">IF($B134="","",INDEX(Purchase_Register!$BK$6:$BK$205,$B134)&amp;"")</f>
        <v/>
      </c>
    </row>
    <row r="135" customFormat="false" ht="15" hidden="false" customHeight="false" outlineLevel="0" collapsed="false">
      <c r="A135" s="33" t="str">
        <f aca="false">IF(ROWS($A$7:A135)&gt;COUNT(Purchase_Register!$BM$6:$BM$205),"",ROWS($A$7:A135))</f>
        <v/>
      </c>
      <c r="B135" s="33" t="str">
        <f aca="false">IF($A135="","",MATCH(SMALL(Purchase_Register!$BM$6:$BM$205,$A135),Purchase_Register!$BM$6:$BM$205,0))</f>
        <v/>
      </c>
      <c r="C135" s="46" t="str">
        <f aca="false">IF($B135="","",INDEX(Purchase_Register!$BL$6:$BL$205,$B135)&amp;"")</f>
        <v/>
      </c>
      <c r="D135" s="31" t="str">
        <f aca="false">IF($B135="","",INDEX(Purchase_Register!$A$6:$A$205,$B135)&amp;"")</f>
        <v/>
      </c>
      <c r="E135" s="32" t="str">
        <f aca="false">IF($B135="","",INDEX(Purchase_Register!$E$6:$E$205,$B135)&amp;"")</f>
        <v/>
      </c>
      <c r="F135" s="32" t="str">
        <f aca="false">IF($B135="","",INDEX(Purchase_Register!$M$6:$M$205,$B135)&amp;"")</f>
        <v/>
      </c>
      <c r="G135" s="32" t="str">
        <f aca="false">IF($B135="","",INDEX(Purchase_Register!$C$6:$C$205,$B135)&amp;"")</f>
        <v/>
      </c>
      <c r="H135" s="32" t="str">
        <f aca="false">IF($B135="","",INDEX(Purchase_Register!$BI$6:$BI$205,$B135)&amp;"")</f>
        <v/>
      </c>
      <c r="I135" s="32" t="str">
        <f aca="false">IF($B135="","",INDEX(Purchase_Register!$AX$6:$AX$205,$B135)&amp;"")</f>
        <v/>
      </c>
      <c r="J135" s="47" t="str">
        <f aca="false">IF($B135="","",N(INDEX(Purchase_Register!$AK$6:$AK$205,$B135)))</f>
        <v/>
      </c>
      <c r="K135" s="47" t="str">
        <f aca="false">IF($B135="","",N(INDEX(Purchase_Register!$AL$6:$AL$205,$B135)))</f>
        <v/>
      </c>
      <c r="L135" s="32" t="str">
        <f aca="false">IF($B135="","",INDEX(Purchase_Register!$BK$6:$BK$205,$B135)&amp;"")</f>
        <v/>
      </c>
    </row>
    <row r="136" customFormat="false" ht="15" hidden="false" customHeight="false" outlineLevel="0" collapsed="false">
      <c r="A136" s="33" t="str">
        <f aca="false">IF(ROWS($A$7:A136)&gt;COUNT(Purchase_Register!$BM$6:$BM$205),"",ROWS($A$7:A136))</f>
        <v/>
      </c>
      <c r="B136" s="33" t="str">
        <f aca="false">IF($A136="","",MATCH(SMALL(Purchase_Register!$BM$6:$BM$205,$A136),Purchase_Register!$BM$6:$BM$205,0))</f>
        <v/>
      </c>
      <c r="C136" s="46" t="str">
        <f aca="false">IF($B136="","",INDEX(Purchase_Register!$BL$6:$BL$205,$B136)&amp;"")</f>
        <v/>
      </c>
      <c r="D136" s="31" t="str">
        <f aca="false">IF($B136="","",INDEX(Purchase_Register!$A$6:$A$205,$B136)&amp;"")</f>
        <v/>
      </c>
      <c r="E136" s="32" t="str">
        <f aca="false">IF($B136="","",INDEX(Purchase_Register!$E$6:$E$205,$B136)&amp;"")</f>
        <v/>
      </c>
      <c r="F136" s="32" t="str">
        <f aca="false">IF($B136="","",INDEX(Purchase_Register!$M$6:$M$205,$B136)&amp;"")</f>
        <v/>
      </c>
      <c r="G136" s="32" t="str">
        <f aca="false">IF($B136="","",INDEX(Purchase_Register!$C$6:$C$205,$B136)&amp;"")</f>
        <v/>
      </c>
      <c r="H136" s="32" t="str">
        <f aca="false">IF($B136="","",INDEX(Purchase_Register!$BI$6:$BI$205,$B136)&amp;"")</f>
        <v/>
      </c>
      <c r="I136" s="32" t="str">
        <f aca="false">IF($B136="","",INDEX(Purchase_Register!$AX$6:$AX$205,$B136)&amp;"")</f>
        <v/>
      </c>
      <c r="J136" s="47" t="str">
        <f aca="false">IF($B136="","",N(INDEX(Purchase_Register!$AK$6:$AK$205,$B136)))</f>
        <v/>
      </c>
      <c r="K136" s="47" t="str">
        <f aca="false">IF($B136="","",N(INDEX(Purchase_Register!$AL$6:$AL$205,$B136)))</f>
        <v/>
      </c>
      <c r="L136" s="32" t="str">
        <f aca="false">IF($B136="","",INDEX(Purchase_Register!$BK$6:$BK$205,$B136)&amp;"")</f>
        <v/>
      </c>
    </row>
    <row r="137" customFormat="false" ht="15" hidden="false" customHeight="false" outlineLevel="0" collapsed="false">
      <c r="A137" s="33" t="str">
        <f aca="false">IF(ROWS($A$7:A137)&gt;COUNT(Purchase_Register!$BM$6:$BM$205),"",ROWS($A$7:A137))</f>
        <v/>
      </c>
      <c r="B137" s="33" t="str">
        <f aca="false">IF($A137="","",MATCH(SMALL(Purchase_Register!$BM$6:$BM$205,$A137),Purchase_Register!$BM$6:$BM$205,0))</f>
        <v/>
      </c>
      <c r="C137" s="46" t="str">
        <f aca="false">IF($B137="","",INDEX(Purchase_Register!$BL$6:$BL$205,$B137)&amp;"")</f>
        <v/>
      </c>
      <c r="D137" s="31" t="str">
        <f aca="false">IF($B137="","",INDEX(Purchase_Register!$A$6:$A$205,$B137)&amp;"")</f>
        <v/>
      </c>
      <c r="E137" s="32" t="str">
        <f aca="false">IF($B137="","",INDEX(Purchase_Register!$E$6:$E$205,$B137)&amp;"")</f>
        <v/>
      </c>
      <c r="F137" s="32" t="str">
        <f aca="false">IF($B137="","",INDEX(Purchase_Register!$M$6:$M$205,$B137)&amp;"")</f>
        <v/>
      </c>
      <c r="G137" s="32" t="str">
        <f aca="false">IF($B137="","",INDEX(Purchase_Register!$C$6:$C$205,$B137)&amp;"")</f>
        <v/>
      </c>
      <c r="H137" s="32" t="str">
        <f aca="false">IF($B137="","",INDEX(Purchase_Register!$BI$6:$BI$205,$B137)&amp;"")</f>
        <v/>
      </c>
      <c r="I137" s="32" t="str">
        <f aca="false">IF($B137="","",INDEX(Purchase_Register!$AX$6:$AX$205,$B137)&amp;"")</f>
        <v/>
      </c>
      <c r="J137" s="47" t="str">
        <f aca="false">IF($B137="","",N(INDEX(Purchase_Register!$AK$6:$AK$205,$B137)))</f>
        <v/>
      </c>
      <c r="K137" s="47" t="str">
        <f aca="false">IF($B137="","",N(INDEX(Purchase_Register!$AL$6:$AL$205,$B137)))</f>
        <v/>
      </c>
      <c r="L137" s="32" t="str">
        <f aca="false">IF($B137="","",INDEX(Purchase_Register!$BK$6:$BK$205,$B137)&amp;"")</f>
        <v/>
      </c>
    </row>
    <row r="138" customFormat="false" ht="15" hidden="false" customHeight="false" outlineLevel="0" collapsed="false">
      <c r="A138" s="33" t="str">
        <f aca="false">IF(ROWS($A$7:A138)&gt;COUNT(Purchase_Register!$BM$6:$BM$205),"",ROWS($A$7:A138))</f>
        <v/>
      </c>
      <c r="B138" s="33" t="str">
        <f aca="false">IF($A138="","",MATCH(SMALL(Purchase_Register!$BM$6:$BM$205,$A138),Purchase_Register!$BM$6:$BM$205,0))</f>
        <v/>
      </c>
      <c r="C138" s="46" t="str">
        <f aca="false">IF($B138="","",INDEX(Purchase_Register!$BL$6:$BL$205,$B138)&amp;"")</f>
        <v/>
      </c>
      <c r="D138" s="31" t="str">
        <f aca="false">IF($B138="","",INDEX(Purchase_Register!$A$6:$A$205,$B138)&amp;"")</f>
        <v/>
      </c>
      <c r="E138" s="32" t="str">
        <f aca="false">IF($B138="","",INDEX(Purchase_Register!$E$6:$E$205,$B138)&amp;"")</f>
        <v/>
      </c>
      <c r="F138" s="32" t="str">
        <f aca="false">IF($B138="","",INDEX(Purchase_Register!$M$6:$M$205,$B138)&amp;"")</f>
        <v/>
      </c>
      <c r="G138" s="32" t="str">
        <f aca="false">IF($B138="","",INDEX(Purchase_Register!$C$6:$C$205,$B138)&amp;"")</f>
        <v/>
      </c>
      <c r="H138" s="32" t="str">
        <f aca="false">IF($B138="","",INDEX(Purchase_Register!$BI$6:$BI$205,$B138)&amp;"")</f>
        <v/>
      </c>
      <c r="I138" s="32" t="str">
        <f aca="false">IF($B138="","",INDEX(Purchase_Register!$AX$6:$AX$205,$B138)&amp;"")</f>
        <v/>
      </c>
      <c r="J138" s="47" t="str">
        <f aca="false">IF($B138="","",N(INDEX(Purchase_Register!$AK$6:$AK$205,$B138)))</f>
        <v/>
      </c>
      <c r="K138" s="47" t="str">
        <f aca="false">IF($B138="","",N(INDEX(Purchase_Register!$AL$6:$AL$205,$B138)))</f>
        <v/>
      </c>
      <c r="L138" s="32" t="str">
        <f aca="false">IF($B138="","",INDEX(Purchase_Register!$BK$6:$BK$205,$B138)&amp;"")</f>
        <v/>
      </c>
    </row>
    <row r="139" customFormat="false" ht="15" hidden="false" customHeight="false" outlineLevel="0" collapsed="false">
      <c r="A139" s="33" t="str">
        <f aca="false">IF(ROWS($A$7:A139)&gt;COUNT(Purchase_Register!$BM$6:$BM$205),"",ROWS($A$7:A139))</f>
        <v/>
      </c>
      <c r="B139" s="33" t="str">
        <f aca="false">IF($A139="","",MATCH(SMALL(Purchase_Register!$BM$6:$BM$205,$A139),Purchase_Register!$BM$6:$BM$205,0))</f>
        <v/>
      </c>
      <c r="C139" s="46" t="str">
        <f aca="false">IF($B139="","",INDEX(Purchase_Register!$BL$6:$BL$205,$B139)&amp;"")</f>
        <v/>
      </c>
      <c r="D139" s="31" t="str">
        <f aca="false">IF($B139="","",INDEX(Purchase_Register!$A$6:$A$205,$B139)&amp;"")</f>
        <v/>
      </c>
      <c r="E139" s="32" t="str">
        <f aca="false">IF($B139="","",INDEX(Purchase_Register!$E$6:$E$205,$B139)&amp;"")</f>
        <v/>
      </c>
      <c r="F139" s="32" t="str">
        <f aca="false">IF($B139="","",INDEX(Purchase_Register!$M$6:$M$205,$B139)&amp;"")</f>
        <v/>
      </c>
      <c r="G139" s="32" t="str">
        <f aca="false">IF($B139="","",INDEX(Purchase_Register!$C$6:$C$205,$B139)&amp;"")</f>
        <v/>
      </c>
      <c r="H139" s="32" t="str">
        <f aca="false">IF($B139="","",INDEX(Purchase_Register!$BI$6:$BI$205,$B139)&amp;"")</f>
        <v/>
      </c>
      <c r="I139" s="32" t="str">
        <f aca="false">IF($B139="","",INDEX(Purchase_Register!$AX$6:$AX$205,$B139)&amp;"")</f>
        <v/>
      </c>
      <c r="J139" s="47" t="str">
        <f aca="false">IF($B139="","",N(INDEX(Purchase_Register!$AK$6:$AK$205,$B139)))</f>
        <v/>
      </c>
      <c r="K139" s="47" t="str">
        <f aca="false">IF($B139="","",N(INDEX(Purchase_Register!$AL$6:$AL$205,$B139)))</f>
        <v/>
      </c>
      <c r="L139" s="32" t="str">
        <f aca="false">IF($B139="","",INDEX(Purchase_Register!$BK$6:$BK$205,$B139)&amp;"")</f>
        <v/>
      </c>
    </row>
    <row r="140" customFormat="false" ht="15" hidden="false" customHeight="false" outlineLevel="0" collapsed="false">
      <c r="A140" s="33" t="str">
        <f aca="false">IF(ROWS($A$7:A140)&gt;COUNT(Purchase_Register!$BM$6:$BM$205),"",ROWS($A$7:A140))</f>
        <v/>
      </c>
      <c r="B140" s="33" t="str">
        <f aca="false">IF($A140="","",MATCH(SMALL(Purchase_Register!$BM$6:$BM$205,$A140),Purchase_Register!$BM$6:$BM$205,0))</f>
        <v/>
      </c>
      <c r="C140" s="46" t="str">
        <f aca="false">IF($B140="","",INDEX(Purchase_Register!$BL$6:$BL$205,$B140)&amp;"")</f>
        <v/>
      </c>
      <c r="D140" s="31" t="str">
        <f aca="false">IF($B140="","",INDEX(Purchase_Register!$A$6:$A$205,$B140)&amp;"")</f>
        <v/>
      </c>
      <c r="E140" s="32" t="str">
        <f aca="false">IF($B140="","",INDEX(Purchase_Register!$E$6:$E$205,$B140)&amp;"")</f>
        <v/>
      </c>
      <c r="F140" s="32" t="str">
        <f aca="false">IF($B140="","",INDEX(Purchase_Register!$M$6:$M$205,$B140)&amp;"")</f>
        <v/>
      </c>
      <c r="G140" s="32" t="str">
        <f aca="false">IF($B140="","",INDEX(Purchase_Register!$C$6:$C$205,$B140)&amp;"")</f>
        <v/>
      </c>
      <c r="H140" s="32" t="str">
        <f aca="false">IF($B140="","",INDEX(Purchase_Register!$BI$6:$BI$205,$B140)&amp;"")</f>
        <v/>
      </c>
      <c r="I140" s="32" t="str">
        <f aca="false">IF($B140="","",INDEX(Purchase_Register!$AX$6:$AX$205,$B140)&amp;"")</f>
        <v/>
      </c>
      <c r="J140" s="47" t="str">
        <f aca="false">IF($B140="","",N(INDEX(Purchase_Register!$AK$6:$AK$205,$B140)))</f>
        <v/>
      </c>
      <c r="K140" s="47" t="str">
        <f aca="false">IF($B140="","",N(INDEX(Purchase_Register!$AL$6:$AL$205,$B140)))</f>
        <v/>
      </c>
      <c r="L140" s="32" t="str">
        <f aca="false">IF($B140="","",INDEX(Purchase_Register!$BK$6:$BK$205,$B140)&amp;"")</f>
        <v/>
      </c>
    </row>
    <row r="141" customFormat="false" ht="15" hidden="false" customHeight="false" outlineLevel="0" collapsed="false">
      <c r="A141" s="33" t="str">
        <f aca="false">IF(ROWS($A$7:A141)&gt;COUNT(Purchase_Register!$BM$6:$BM$205),"",ROWS($A$7:A141))</f>
        <v/>
      </c>
      <c r="B141" s="33" t="str">
        <f aca="false">IF($A141="","",MATCH(SMALL(Purchase_Register!$BM$6:$BM$205,$A141),Purchase_Register!$BM$6:$BM$205,0))</f>
        <v/>
      </c>
      <c r="C141" s="46" t="str">
        <f aca="false">IF($B141="","",INDEX(Purchase_Register!$BL$6:$BL$205,$B141)&amp;"")</f>
        <v/>
      </c>
      <c r="D141" s="31" t="str">
        <f aca="false">IF($B141="","",INDEX(Purchase_Register!$A$6:$A$205,$B141)&amp;"")</f>
        <v/>
      </c>
      <c r="E141" s="32" t="str">
        <f aca="false">IF($B141="","",INDEX(Purchase_Register!$E$6:$E$205,$B141)&amp;"")</f>
        <v/>
      </c>
      <c r="F141" s="32" t="str">
        <f aca="false">IF($B141="","",INDEX(Purchase_Register!$M$6:$M$205,$B141)&amp;"")</f>
        <v/>
      </c>
      <c r="G141" s="32" t="str">
        <f aca="false">IF($B141="","",INDEX(Purchase_Register!$C$6:$C$205,$B141)&amp;"")</f>
        <v/>
      </c>
      <c r="H141" s="32" t="str">
        <f aca="false">IF($B141="","",INDEX(Purchase_Register!$BI$6:$BI$205,$B141)&amp;"")</f>
        <v/>
      </c>
      <c r="I141" s="32" t="str">
        <f aca="false">IF($B141="","",INDEX(Purchase_Register!$AX$6:$AX$205,$B141)&amp;"")</f>
        <v/>
      </c>
      <c r="J141" s="47" t="str">
        <f aca="false">IF($B141="","",N(INDEX(Purchase_Register!$AK$6:$AK$205,$B141)))</f>
        <v/>
      </c>
      <c r="K141" s="47" t="str">
        <f aca="false">IF($B141="","",N(INDEX(Purchase_Register!$AL$6:$AL$205,$B141)))</f>
        <v/>
      </c>
      <c r="L141" s="32" t="str">
        <f aca="false">IF($B141="","",INDEX(Purchase_Register!$BK$6:$BK$205,$B141)&amp;"")</f>
        <v/>
      </c>
    </row>
    <row r="142" customFormat="false" ht="15" hidden="false" customHeight="false" outlineLevel="0" collapsed="false">
      <c r="A142" s="33" t="str">
        <f aca="false">IF(ROWS($A$7:A142)&gt;COUNT(Purchase_Register!$BM$6:$BM$205),"",ROWS($A$7:A142))</f>
        <v/>
      </c>
      <c r="B142" s="33" t="str">
        <f aca="false">IF($A142="","",MATCH(SMALL(Purchase_Register!$BM$6:$BM$205,$A142),Purchase_Register!$BM$6:$BM$205,0))</f>
        <v/>
      </c>
      <c r="C142" s="46" t="str">
        <f aca="false">IF($B142="","",INDEX(Purchase_Register!$BL$6:$BL$205,$B142)&amp;"")</f>
        <v/>
      </c>
      <c r="D142" s="31" t="str">
        <f aca="false">IF($B142="","",INDEX(Purchase_Register!$A$6:$A$205,$B142)&amp;"")</f>
        <v/>
      </c>
      <c r="E142" s="32" t="str">
        <f aca="false">IF($B142="","",INDEX(Purchase_Register!$E$6:$E$205,$B142)&amp;"")</f>
        <v/>
      </c>
      <c r="F142" s="32" t="str">
        <f aca="false">IF($B142="","",INDEX(Purchase_Register!$M$6:$M$205,$B142)&amp;"")</f>
        <v/>
      </c>
      <c r="G142" s="32" t="str">
        <f aca="false">IF($B142="","",INDEX(Purchase_Register!$C$6:$C$205,$B142)&amp;"")</f>
        <v/>
      </c>
      <c r="H142" s="32" t="str">
        <f aca="false">IF($B142="","",INDEX(Purchase_Register!$BI$6:$BI$205,$B142)&amp;"")</f>
        <v/>
      </c>
      <c r="I142" s="32" t="str">
        <f aca="false">IF($B142="","",INDEX(Purchase_Register!$AX$6:$AX$205,$B142)&amp;"")</f>
        <v/>
      </c>
      <c r="J142" s="47" t="str">
        <f aca="false">IF($B142="","",N(INDEX(Purchase_Register!$AK$6:$AK$205,$B142)))</f>
        <v/>
      </c>
      <c r="K142" s="47" t="str">
        <f aca="false">IF($B142="","",N(INDEX(Purchase_Register!$AL$6:$AL$205,$B142)))</f>
        <v/>
      </c>
      <c r="L142" s="32" t="str">
        <f aca="false">IF($B142="","",INDEX(Purchase_Register!$BK$6:$BK$205,$B142)&amp;"")</f>
        <v/>
      </c>
    </row>
    <row r="143" customFormat="false" ht="15" hidden="false" customHeight="false" outlineLevel="0" collapsed="false">
      <c r="A143" s="33" t="str">
        <f aca="false">IF(ROWS($A$7:A143)&gt;COUNT(Purchase_Register!$BM$6:$BM$205),"",ROWS($A$7:A143))</f>
        <v/>
      </c>
      <c r="B143" s="33" t="str">
        <f aca="false">IF($A143="","",MATCH(SMALL(Purchase_Register!$BM$6:$BM$205,$A143),Purchase_Register!$BM$6:$BM$205,0))</f>
        <v/>
      </c>
      <c r="C143" s="46" t="str">
        <f aca="false">IF($B143="","",INDEX(Purchase_Register!$BL$6:$BL$205,$B143)&amp;"")</f>
        <v/>
      </c>
      <c r="D143" s="31" t="str">
        <f aca="false">IF($B143="","",INDEX(Purchase_Register!$A$6:$A$205,$B143)&amp;"")</f>
        <v/>
      </c>
      <c r="E143" s="32" t="str">
        <f aca="false">IF($B143="","",INDEX(Purchase_Register!$E$6:$E$205,$B143)&amp;"")</f>
        <v/>
      </c>
      <c r="F143" s="32" t="str">
        <f aca="false">IF($B143="","",INDEX(Purchase_Register!$M$6:$M$205,$B143)&amp;"")</f>
        <v/>
      </c>
      <c r="G143" s="32" t="str">
        <f aca="false">IF($B143="","",INDEX(Purchase_Register!$C$6:$C$205,$B143)&amp;"")</f>
        <v/>
      </c>
      <c r="H143" s="32" t="str">
        <f aca="false">IF($B143="","",INDEX(Purchase_Register!$BI$6:$BI$205,$B143)&amp;"")</f>
        <v/>
      </c>
      <c r="I143" s="32" t="str">
        <f aca="false">IF($B143="","",INDEX(Purchase_Register!$AX$6:$AX$205,$B143)&amp;"")</f>
        <v/>
      </c>
      <c r="J143" s="47" t="str">
        <f aca="false">IF($B143="","",N(INDEX(Purchase_Register!$AK$6:$AK$205,$B143)))</f>
        <v/>
      </c>
      <c r="K143" s="47" t="str">
        <f aca="false">IF($B143="","",N(INDEX(Purchase_Register!$AL$6:$AL$205,$B143)))</f>
        <v/>
      </c>
      <c r="L143" s="32" t="str">
        <f aca="false">IF($B143="","",INDEX(Purchase_Register!$BK$6:$BK$205,$B143)&amp;"")</f>
        <v/>
      </c>
    </row>
    <row r="144" customFormat="false" ht="15" hidden="false" customHeight="false" outlineLevel="0" collapsed="false">
      <c r="A144" s="33" t="str">
        <f aca="false">IF(ROWS($A$7:A144)&gt;COUNT(Purchase_Register!$BM$6:$BM$205),"",ROWS($A$7:A144))</f>
        <v/>
      </c>
      <c r="B144" s="33" t="str">
        <f aca="false">IF($A144="","",MATCH(SMALL(Purchase_Register!$BM$6:$BM$205,$A144),Purchase_Register!$BM$6:$BM$205,0))</f>
        <v/>
      </c>
      <c r="C144" s="46" t="str">
        <f aca="false">IF($B144="","",INDEX(Purchase_Register!$BL$6:$BL$205,$B144)&amp;"")</f>
        <v/>
      </c>
      <c r="D144" s="31" t="str">
        <f aca="false">IF($B144="","",INDEX(Purchase_Register!$A$6:$A$205,$B144)&amp;"")</f>
        <v/>
      </c>
      <c r="E144" s="32" t="str">
        <f aca="false">IF($B144="","",INDEX(Purchase_Register!$E$6:$E$205,$B144)&amp;"")</f>
        <v/>
      </c>
      <c r="F144" s="32" t="str">
        <f aca="false">IF($B144="","",INDEX(Purchase_Register!$M$6:$M$205,$B144)&amp;"")</f>
        <v/>
      </c>
      <c r="G144" s="32" t="str">
        <f aca="false">IF($B144="","",INDEX(Purchase_Register!$C$6:$C$205,$B144)&amp;"")</f>
        <v/>
      </c>
      <c r="H144" s="32" t="str">
        <f aca="false">IF($B144="","",INDEX(Purchase_Register!$BI$6:$BI$205,$B144)&amp;"")</f>
        <v/>
      </c>
      <c r="I144" s="32" t="str">
        <f aca="false">IF($B144="","",INDEX(Purchase_Register!$AX$6:$AX$205,$B144)&amp;"")</f>
        <v/>
      </c>
      <c r="J144" s="47" t="str">
        <f aca="false">IF($B144="","",N(INDEX(Purchase_Register!$AK$6:$AK$205,$B144)))</f>
        <v/>
      </c>
      <c r="K144" s="47" t="str">
        <f aca="false">IF($B144="","",N(INDEX(Purchase_Register!$AL$6:$AL$205,$B144)))</f>
        <v/>
      </c>
      <c r="L144" s="32" t="str">
        <f aca="false">IF($B144="","",INDEX(Purchase_Register!$BK$6:$BK$205,$B144)&amp;"")</f>
        <v/>
      </c>
    </row>
    <row r="145" customFormat="false" ht="15" hidden="false" customHeight="false" outlineLevel="0" collapsed="false">
      <c r="A145" s="33" t="str">
        <f aca="false">IF(ROWS($A$7:A145)&gt;COUNT(Purchase_Register!$BM$6:$BM$205),"",ROWS($A$7:A145))</f>
        <v/>
      </c>
      <c r="B145" s="33" t="str">
        <f aca="false">IF($A145="","",MATCH(SMALL(Purchase_Register!$BM$6:$BM$205,$A145),Purchase_Register!$BM$6:$BM$205,0))</f>
        <v/>
      </c>
      <c r="C145" s="46" t="str">
        <f aca="false">IF($B145="","",INDEX(Purchase_Register!$BL$6:$BL$205,$B145)&amp;"")</f>
        <v/>
      </c>
      <c r="D145" s="31" t="str">
        <f aca="false">IF($B145="","",INDEX(Purchase_Register!$A$6:$A$205,$B145)&amp;"")</f>
        <v/>
      </c>
      <c r="E145" s="32" t="str">
        <f aca="false">IF($B145="","",INDEX(Purchase_Register!$E$6:$E$205,$B145)&amp;"")</f>
        <v/>
      </c>
      <c r="F145" s="32" t="str">
        <f aca="false">IF($B145="","",INDEX(Purchase_Register!$M$6:$M$205,$B145)&amp;"")</f>
        <v/>
      </c>
      <c r="G145" s="32" t="str">
        <f aca="false">IF($B145="","",INDEX(Purchase_Register!$C$6:$C$205,$B145)&amp;"")</f>
        <v/>
      </c>
      <c r="H145" s="32" t="str">
        <f aca="false">IF($B145="","",INDEX(Purchase_Register!$BI$6:$BI$205,$B145)&amp;"")</f>
        <v/>
      </c>
      <c r="I145" s="32" t="str">
        <f aca="false">IF($B145="","",INDEX(Purchase_Register!$AX$6:$AX$205,$B145)&amp;"")</f>
        <v/>
      </c>
      <c r="J145" s="47" t="str">
        <f aca="false">IF($B145="","",N(INDEX(Purchase_Register!$AK$6:$AK$205,$B145)))</f>
        <v/>
      </c>
      <c r="K145" s="47" t="str">
        <f aca="false">IF($B145="","",N(INDEX(Purchase_Register!$AL$6:$AL$205,$B145)))</f>
        <v/>
      </c>
      <c r="L145" s="32" t="str">
        <f aca="false">IF($B145="","",INDEX(Purchase_Register!$BK$6:$BK$205,$B145)&amp;"")</f>
        <v/>
      </c>
    </row>
    <row r="146" customFormat="false" ht="15" hidden="false" customHeight="false" outlineLevel="0" collapsed="false">
      <c r="A146" s="33" t="str">
        <f aca="false">IF(ROWS($A$7:A146)&gt;COUNT(Purchase_Register!$BM$6:$BM$205),"",ROWS($A$7:A146))</f>
        <v/>
      </c>
      <c r="B146" s="33" t="str">
        <f aca="false">IF($A146="","",MATCH(SMALL(Purchase_Register!$BM$6:$BM$205,$A146),Purchase_Register!$BM$6:$BM$205,0))</f>
        <v/>
      </c>
      <c r="C146" s="46" t="str">
        <f aca="false">IF($B146="","",INDEX(Purchase_Register!$BL$6:$BL$205,$B146)&amp;"")</f>
        <v/>
      </c>
      <c r="D146" s="31" t="str">
        <f aca="false">IF($B146="","",INDEX(Purchase_Register!$A$6:$A$205,$B146)&amp;"")</f>
        <v/>
      </c>
      <c r="E146" s="32" t="str">
        <f aca="false">IF($B146="","",INDEX(Purchase_Register!$E$6:$E$205,$B146)&amp;"")</f>
        <v/>
      </c>
      <c r="F146" s="32" t="str">
        <f aca="false">IF($B146="","",INDEX(Purchase_Register!$M$6:$M$205,$B146)&amp;"")</f>
        <v/>
      </c>
      <c r="G146" s="32" t="str">
        <f aca="false">IF($B146="","",INDEX(Purchase_Register!$C$6:$C$205,$B146)&amp;"")</f>
        <v/>
      </c>
      <c r="H146" s="32" t="str">
        <f aca="false">IF($B146="","",INDEX(Purchase_Register!$BI$6:$BI$205,$B146)&amp;"")</f>
        <v/>
      </c>
      <c r="I146" s="32" t="str">
        <f aca="false">IF($B146="","",INDEX(Purchase_Register!$AX$6:$AX$205,$B146)&amp;"")</f>
        <v/>
      </c>
      <c r="J146" s="47" t="str">
        <f aca="false">IF($B146="","",N(INDEX(Purchase_Register!$AK$6:$AK$205,$B146)))</f>
        <v/>
      </c>
      <c r="K146" s="47" t="str">
        <f aca="false">IF($B146="","",N(INDEX(Purchase_Register!$AL$6:$AL$205,$B146)))</f>
        <v/>
      </c>
      <c r="L146" s="32" t="str">
        <f aca="false">IF($B146="","",INDEX(Purchase_Register!$BK$6:$BK$205,$B146)&amp;"")</f>
        <v/>
      </c>
    </row>
    <row r="147" customFormat="false" ht="15" hidden="false" customHeight="false" outlineLevel="0" collapsed="false">
      <c r="A147" s="33" t="str">
        <f aca="false">IF(ROWS($A$7:A147)&gt;COUNT(Purchase_Register!$BM$6:$BM$205),"",ROWS($A$7:A147))</f>
        <v/>
      </c>
      <c r="B147" s="33" t="str">
        <f aca="false">IF($A147="","",MATCH(SMALL(Purchase_Register!$BM$6:$BM$205,$A147),Purchase_Register!$BM$6:$BM$205,0))</f>
        <v/>
      </c>
      <c r="C147" s="46" t="str">
        <f aca="false">IF($B147="","",INDEX(Purchase_Register!$BL$6:$BL$205,$B147)&amp;"")</f>
        <v/>
      </c>
      <c r="D147" s="31" t="str">
        <f aca="false">IF($B147="","",INDEX(Purchase_Register!$A$6:$A$205,$B147)&amp;"")</f>
        <v/>
      </c>
      <c r="E147" s="32" t="str">
        <f aca="false">IF($B147="","",INDEX(Purchase_Register!$E$6:$E$205,$B147)&amp;"")</f>
        <v/>
      </c>
      <c r="F147" s="32" t="str">
        <f aca="false">IF($B147="","",INDEX(Purchase_Register!$M$6:$M$205,$B147)&amp;"")</f>
        <v/>
      </c>
      <c r="G147" s="32" t="str">
        <f aca="false">IF($B147="","",INDEX(Purchase_Register!$C$6:$C$205,$B147)&amp;"")</f>
        <v/>
      </c>
      <c r="H147" s="32" t="str">
        <f aca="false">IF($B147="","",INDEX(Purchase_Register!$BI$6:$BI$205,$B147)&amp;"")</f>
        <v/>
      </c>
      <c r="I147" s="32" t="str">
        <f aca="false">IF($B147="","",INDEX(Purchase_Register!$AX$6:$AX$205,$B147)&amp;"")</f>
        <v/>
      </c>
      <c r="J147" s="47" t="str">
        <f aca="false">IF($B147="","",N(INDEX(Purchase_Register!$AK$6:$AK$205,$B147)))</f>
        <v/>
      </c>
      <c r="K147" s="47" t="str">
        <f aca="false">IF($B147="","",N(INDEX(Purchase_Register!$AL$6:$AL$205,$B147)))</f>
        <v/>
      </c>
      <c r="L147" s="32" t="str">
        <f aca="false">IF($B147="","",INDEX(Purchase_Register!$BK$6:$BK$205,$B147)&amp;"")</f>
        <v/>
      </c>
    </row>
    <row r="148" customFormat="false" ht="15" hidden="false" customHeight="false" outlineLevel="0" collapsed="false">
      <c r="A148" s="33" t="str">
        <f aca="false">IF(ROWS($A$7:A148)&gt;COUNT(Purchase_Register!$BM$6:$BM$205),"",ROWS($A$7:A148))</f>
        <v/>
      </c>
      <c r="B148" s="33" t="str">
        <f aca="false">IF($A148="","",MATCH(SMALL(Purchase_Register!$BM$6:$BM$205,$A148),Purchase_Register!$BM$6:$BM$205,0))</f>
        <v/>
      </c>
      <c r="C148" s="46" t="str">
        <f aca="false">IF($B148="","",INDEX(Purchase_Register!$BL$6:$BL$205,$B148)&amp;"")</f>
        <v/>
      </c>
      <c r="D148" s="31" t="str">
        <f aca="false">IF($B148="","",INDEX(Purchase_Register!$A$6:$A$205,$B148)&amp;"")</f>
        <v/>
      </c>
      <c r="E148" s="32" t="str">
        <f aca="false">IF($B148="","",INDEX(Purchase_Register!$E$6:$E$205,$B148)&amp;"")</f>
        <v/>
      </c>
      <c r="F148" s="32" t="str">
        <f aca="false">IF($B148="","",INDEX(Purchase_Register!$M$6:$M$205,$B148)&amp;"")</f>
        <v/>
      </c>
      <c r="G148" s="32" t="str">
        <f aca="false">IF($B148="","",INDEX(Purchase_Register!$C$6:$C$205,$B148)&amp;"")</f>
        <v/>
      </c>
      <c r="H148" s="32" t="str">
        <f aca="false">IF($B148="","",INDEX(Purchase_Register!$BI$6:$BI$205,$B148)&amp;"")</f>
        <v/>
      </c>
      <c r="I148" s="32" t="str">
        <f aca="false">IF($B148="","",INDEX(Purchase_Register!$AX$6:$AX$205,$B148)&amp;"")</f>
        <v/>
      </c>
      <c r="J148" s="47" t="str">
        <f aca="false">IF($B148="","",N(INDEX(Purchase_Register!$AK$6:$AK$205,$B148)))</f>
        <v/>
      </c>
      <c r="K148" s="47" t="str">
        <f aca="false">IF($B148="","",N(INDEX(Purchase_Register!$AL$6:$AL$205,$B148)))</f>
        <v/>
      </c>
      <c r="L148" s="32" t="str">
        <f aca="false">IF($B148="","",INDEX(Purchase_Register!$BK$6:$BK$205,$B148)&amp;"")</f>
        <v/>
      </c>
    </row>
    <row r="149" customFormat="false" ht="15" hidden="false" customHeight="false" outlineLevel="0" collapsed="false">
      <c r="A149" s="33" t="str">
        <f aca="false">IF(ROWS($A$7:A149)&gt;COUNT(Purchase_Register!$BM$6:$BM$205),"",ROWS($A$7:A149))</f>
        <v/>
      </c>
      <c r="B149" s="33" t="str">
        <f aca="false">IF($A149="","",MATCH(SMALL(Purchase_Register!$BM$6:$BM$205,$A149),Purchase_Register!$BM$6:$BM$205,0))</f>
        <v/>
      </c>
      <c r="C149" s="46" t="str">
        <f aca="false">IF($B149="","",INDEX(Purchase_Register!$BL$6:$BL$205,$B149)&amp;"")</f>
        <v/>
      </c>
      <c r="D149" s="31" t="str">
        <f aca="false">IF($B149="","",INDEX(Purchase_Register!$A$6:$A$205,$B149)&amp;"")</f>
        <v/>
      </c>
      <c r="E149" s="32" t="str">
        <f aca="false">IF($B149="","",INDEX(Purchase_Register!$E$6:$E$205,$B149)&amp;"")</f>
        <v/>
      </c>
      <c r="F149" s="32" t="str">
        <f aca="false">IF($B149="","",INDEX(Purchase_Register!$M$6:$M$205,$B149)&amp;"")</f>
        <v/>
      </c>
      <c r="G149" s="32" t="str">
        <f aca="false">IF($B149="","",INDEX(Purchase_Register!$C$6:$C$205,$B149)&amp;"")</f>
        <v/>
      </c>
      <c r="H149" s="32" t="str">
        <f aca="false">IF($B149="","",INDEX(Purchase_Register!$BI$6:$BI$205,$B149)&amp;"")</f>
        <v/>
      </c>
      <c r="I149" s="32" t="str">
        <f aca="false">IF($B149="","",INDEX(Purchase_Register!$AX$6:$AX$205,$B149)&amp;"")</f>
        <v/>
      </c>
      <c r="J149" s="47" t="str">
        <f aca="false">IF($B149="","",N(INDEX(Purchase_Register!$AK$6:$AK$205,$B149)))</f>
        <v/>
      </c>
      <c r="K149" s="47" t="str">
        <f aca="false">IF($B149="","",N(INDEX(Purchase_Register!$AL$6:$AL$205,$B149)))</f>
        <v/>
      </c>
      <c r="L149" s="32" t="str">
        <f aca="false">IF($B149="","",INDEX(Purchase_Register!$BK$6:$BK$205,$B149)&amp;"")</f>
        <v/>
      </c>
    </row>
    <row r="150" customFormat="false" ht="15" hidden="false" customHeight="false" outlineLevel="0" collapsed="false">
      <c r="A150" s="33" t="str">
        <f aca="false">IF(ROWS($A$7:A150)&gt;COUNT(Purchase_Register!$BM$6:$BM$205),"",ROWS($A$7:A150))</f>
        <v/>
      </c>
      <c r="B150" s="33" t="str">
        <f aca="false">IF($A150="","",MATCH(SMALL(Purchase_Register!$BM$6:$BM$205,$A150),Purchase_Register!$BM$6:$BM$205,0))</f>
        <v/>
      </c>
      <c r="C150" s="46" t="str">
        <f aca="false">IF($B150="","",INDEX(Purchase_Register!$BL$6:$BL$205,$B150)&amp;"")</f>
        <v/>
      </c>
      <c r="D150" s="31" t="str">
        <f aca="false">IF($B150="","",INDEX(Purchase_Register!$A$6:$A$205,$B150)&amp;"")</f>
        <v/>
      </c>
      <c r="E150" s="32" t="str">
        <f aca="false">IF($B150="","",INDEX(Purchase_Register!$E$6:$E$205,$B150)&amp;"")</f>
        <v/>
      </c>
      <c r="F150" s="32" t="str">
        <f aca="false">IF($B150="","",INDEX(Purchase_Register!$M$6:$M$205,$B150)&amp;"")</f>
        <v/>
      </c>
      <c r="G150" s="32" t="str">
        <f aca="false">IF($B150="","",INDEX(Purchase_Register!$C$6:$C$205,$B150)&amp;"")</f>
        <v/>
      </c>
      <c r="H150" s="32" t="str">
        <f aca="false">IF($B150="","",INDEX(Purchase_Register!$BI$6:$BI$205,$B150)&amp;"")</f>
        <v/>
      </c>
      <c r="I150" s="32" t="str">
        <f aca="false">IF($B150="","",INDEX(Purchase_Register!$AX$6:$AX$205,$B150)&amp;"")</f>
        <v/>
      </c>
      <c r="J150" s="47" t="str">
        <f aca="false">IF($B150="","",N(INDEX(Purchase_Register!$AK$6:$AK$205,$B150)))</f>
        <v/>
      </c>
      <c r="K150" s="47" t="str">
        <f aca="false">IF($B150="","",N(INDEX(Purchase_Register!$AL$6:$AL$205,$B150)))</f>
        <v/>
      </c>
      <c r="L150" s="32" t="str">
        <f aca="false">IF($B150="","",INDEX(Purchase_Register!$BK$6:$BK$205,$B150)&amp;"")</f>
        <v/>
      </c>
    </row>
    <row r="151" customFormat="false" ht="15" hidden="false" customHeight="false" outlineLevel="0" collapsed="false">
      <c r="A151" s="33" t="str">
        <f aca="false">IF(ROWS($A$7:A151)&gt;COUNT(Purchase_Register!$BM$6:$BM$205),"",ROWS($A$7:A151))</f>
        <v/>
      </c>
      <c r="B151" s="33" t="str">
        <f aca="false">IF($A151="","",MATCH(SMALL(Purchase_Register!$BM$6:$BM$205,$A151),Purchase_Register!$BM$6:$BM$205,0))</f>
        <v/>
      </c>
      <c r="C151" s="46" t="str">
        <f aca="false">IF($B151="","",INDEX(Purchase_Register!$BL$6:$BL$205,$B151)&amp;"")</f>
        <v/>
      </c>
      <c r="D151" s="31" t="str">
        <f aca="false">IF($B151="","",INDEX(Purchase_Register!$A$6:$A$205,$B151)&amp;"")</f>
        <v/>
      </c>
      <c r="E151" s="32" t="str">
        <f aca="false">IF($B151="","",INDEX(Purchase_Register!$E$6:$E$205,$B151)&amp;"")</f>
        <v/>
      </c>
      <c r="F151" s="32" t="str">
        <f aca="false">IF($B151="","",INDEX(Purchase_Register!$M$6:$M$205,$B151)&amp;"")</f>
        <v/>
      </c>
      <c r="G151" s="32" t="str">
        <f aca="false">IF($B151="","",INDEX(Purchase_Register!$C$6:$C$205,$B151)&amp;"")</f>
        <v/>
      </c>
      <c r="H151" s="32" t="str">
        <f aca="false">IF($B151="","",INDEX(Purchase_Register!$BI$6:$BI$205,$B151)&amp;"")</f>
        <v/>
      </c>
      <c r="I151" s="32" t="str">
        <f aca="false">IF($B151="","",INDEX(Purchase_Register!$AX$6:$AX$205,$B151)&amp;"")</f>
        <v/>
      </c>
      <c r="J151" s="47" t="str">
        <f aca="false">IF($B151="","",N(INDEX(Purchase_Register!$AK$6:$AK$205,$B151)))</f>
        <v/>
      </c>
      <c r="K151" s="47" t="str">
        <f aca="false">IF($B151="","",N(INDEX(Purchase_Register!$AL$6:$AL$205,$B151)))</f>
        <v/>
      </c>
      <c r="L151" s="32" t="str">
        <f aca="false">IF($B151="","",INDEX(Purchase_Register!$BK$6:$BK$205,$B151)&amp;"")</f>
        <v/>
      </c>
    </row>
    <row r="152" customFormat="false" ht="15" hidden="false" customHeight="false" outlineLevel="0" collapsed="false">
      <c r="A152" s="33" t="str">
        <f aca="false">IF(ROWS($A$7:A152)&gt;COUNT(Purchase_Register!$BM$6:$BM$205),"",ROWS($A$7:A152))</f>
        <v/>
      </c>
      <c r="B152" s="33" t="str">
        <f aca="false">IF($A152="","",MATCH(SMALL(Purchase_Register!$BM$6:$BM$205,$A152),Purchase_Register!$BM$6:$BM$205,0))</f>
        <v/>
      </c>
      <c r="C152" s="46" t="str">
        <f aca="false">IF($B152="","",INDEX(Purchase_Register!$BL$6:$BL$205,$B152)&amp;"")</f>
        <v/>
      </c>
      <c r="D152" s="31" t="str">
        <f aca="false">IF($B152="","",INDEX(Purchase_Register!$A$6:$A$205,$B152)&amp;"")</f>
        <v/>
      </c>
      <c r="E152" s="32" t="str">
        <f aca="false">IF($B152="","",INDEX(Purchase_Register!$E$6:$E$205,$B152)&amp;"")</f>
        <v/>
      </c>
      <c r="F152" s="32" t="str">
        <f aca="false">IF($B152="","",INDEX(Purchase_Register!$M$6:$M$205,$B152)&amp;"")</f>
        <v/>
      </c>
      <c r="G152" s="32" t="str">
        <f aca="false">IF($B152="","",INDEX(Purchase_Register!$C$6:$C$205,$B152)&amp;"")</f>
        <v/>
      </c>
      <c r="H152" s="32" t="str">
        <f aca="false">IF($B152="","",INDEX(Purchase_Register!$BI$6:$BI$205,$B152)&amp;"")</f>
        <v/>
      </c>
      <c r="I152" s="32" t="str">
        <f aca="false">IF($B152="","",INDEX(Purchase_Register!$AX$6:$AX$205,$B152)&amp;"")</f>
        <v/>
      </c>
      <c r="J152" s="47" t="str">
        <f aca="false">IF($B152="","",N(INDEX(Purchase_Register!$AK$6:$AK$205,$B152)))</f>
        <v/>
      </c>
      <c r="K152" s="47" t="str">
        <f aca="false">IF($B152="","",N(INDEX(Purchase_Register!$AL$6:$AL$205,$B152)))</f>
        <v/>
      </c>
      <c r="L152" s="32" t="str">
        <f aca="false">IF($B152="","",INDEX(Purchase_Register!$BK$6:$BK$205,$B152)&amp;"")</f>
        <v/>
      </c>
    </row>
    <row r="153" customFormat="false" ht="15" hidden="false" customHeight="false" outlineLevel="0" collapsed="false">
      <c r="A153" s="33" t="str">
        <f aca="false">IF(ROWS($A$7:A153)&gt;COUNT(Purchase_Register!$BM$6:$BM$205),"",ROWS($A$7:A153))</f>
        <v/>
      </c>
      <c r="B153" s="33" t="str">
        <f aca="false">IF($A153="","",MATCH(SMALL(Purchase_Register!$BM$6:$BM$205,$A153),Purchase_Register!$BM$6:$BM$205,0))</f>
        <v/>
      </c>
      <c r="C153" s="46" t="str">
        <f aca="false">IF($B153="","",INDEX(Purchase_Register!$BL$6:$BL$205,$B153)&amp;"")</f>
        <v/>
      </c>
      <c r="D153" s="31" t="str">
        <f aca="false">IF($B153="","",INDEX(Purchase_Register!$A$6:$A$205,$B153)&amp;"")</f>
        <v/>
      </c>
      <c r="E153" s="32" t="str">
        <f aca="false">IF($B153="","",INDEX(Purchase_Register!$E$6:$E$205,$B153)&amp;"")</f>
        <v/>
      </c>
      <c r="F153" s="32" t="str">
        <f aca="false">IF($B153="","",INDEX(Purchase_Register!$M$6:$M$205,$B153)&amp;"")</f>
        <v/>
      </c>
      <c r="G153" s="32" t="str">
        <f aca="false">IF($B153="","",INDEX(Purchase_Register!$C$6:$C$205,$B153)&amp;"")</f>
        <v/>
      </c>
      <c r="H153" s="32" t="str">
        <f aca="false">IF($B153="","",INDEX(Purchase_Register!$BI$6:$BI$205,$B153)&amp;"")</f>
        <v/>
      </c>
      <c r="I153" s="32" t="str">
        <f aca="false">IF($B153="","",INDEX(Purchase_Register!$AX$6:$AX$205,$B153)&amp;"")</f>
        <v/>
      </c>
      <c r="J153" s="47" t="str">
        <f aca="false">IF($B153="","",N(INDEX(Purchase_Register!$AK$6:$AK$205,$B153)))</f>
        <v/>
      </c>
      <c r="K153" s="47" t="str">
        <f aca="false">IF($B153="","",N(INDEX(Purchase_Register!$AL$6:$AL$205,$B153)))</f>
        <v/>
      </c>
      <c r="L153" s="32" t="str">
        <f aca="false">IF($B153="","",INDEX(Purchase_Register!$BK$6:$BK$205,$B153)&amp;"")</f>
        <v/>
      </c>
    </row>
    <row r="154" customFormat="false" ht="15" hidden="false" customHeight="false" outlineLevel="0" collapsed="false">
      <c r="A154" s="33" t="str">
        <f aca="false">IF(ROWS($A$7:A154)&gt;COUNT(Purchase_Register!$BM$6:$BM$205),"",ROWS($A$7:A154))</f>
        <v/>
      </c>
      <c r="B154" s="33" t="str">
        <f aca="false">IF($A154="","",MATCH(SMALL(Purchase_Register!$BM$6:$BM$205,$A154),Purchase_Register!$BM$6:$BM$205,0))</f>
        <v/>
      </c>
      <c r="C154" s="46" t="str">
        <f aca="false">IF($B154="","",INDEX(Purchase_Register!$BL$6:$BL$205,$B154)&amp;"")</f>
        <v/>
      </c>
      <c r="D154" s="31" t="str">
        <f aca="false">IF($B154="","",INDEX(Purchase_Register!$A$6:$A$205,$B154)&amp;"")</f>
        <v/>
      </c>
      <c r="E154" s="32" t="str">
        <f aca="false">IF($B154="","",INDEX(Purchase_Register!$E$6:$E$205,$B154)&amp;"")</f>
        <v/>
      </c>
      <c r="F154" s="32" t="str">
        <f aca="false">IF($B154="","",INDEX(Purchase_Register!$M$6:$M$205,$B154)&amp;"")</f>
        <v/>
      </c>
      <c r="G154" s="32" t="str">
        <f aca="false">IF($B154="","",INDEX(Purchase_Register!$C$6:$C$205,$B154)&amp;"")</f>
        <v/>
      </c>
      <c r="H154" s="32" t="str">
        <f aca="false">IF($B154="","",INDEX(Purchase_Register!$BI$6:$BI$205,$B154)&amp;"")</f>
        <v/>
      </c>
      <c r="I154" s="32" t="str">
        <f aca="false">IF($B154="","",INDEX(Purchase_Register!$AX$6:$AX$205,$B154)&amp;"")</f>
        <v/>
      </c>
      <c r="J154" s="47" t="str">
        <f aca="false">IF($B154="","",N(INDEX(Purchase_Register!$AK$6:$AK$205,$B154)))</f>
        <v/>
      </c>
      <c r="K154" s="47" t="str">
        <f aca="false">IF($B154="","",N(INDEX(Purchase_Register!$AL$6:$AL$205,$B154)))</f>
        <v/>
      </c>
      <c r="L154" s="32" t="str">
        <f aca="false">IF($B154="","",INDEX(Purchase_Register!$BK$6:$BK$205,$B154)&amp;"")</f>
        <v/>
      </c>
    </row>
    <row r="155" customFormat="false" ht="15" hidden="false" customHeight="false" outlineLevel="0" collapsed="false">
      <c r="A155" s="33" t="str">
        <f aca="false">IF(ROWS($A$7:A155)&gt;COUNT(Purchase_Register!$BM$6:$BM$205),"",ROWS($A$7:A155))</f>
        <v/>
      </c>
      <c r="B155" s="33" t="str">
        <f aca="false">IF($A155="","",MATCH(SMALL(Purchase_Register!$BM$6:$BM$205,$A155),Purchase_Register!$BM$6:$BM$205,0))</f>
        <v/>
      </c>
      <c r="C155" s="46" t="str">
        <f aca="false">IF($B155="","",INDEX(Purchase_Register!$BL$6:$BL$205,$B155)&amp;"")</f>
        <v/>
      </c>
      <c r="D155" s="31" t="str">
        <f aca="false">IF($B155="","",INDEX(Purchase_Register!$A$6:$A$205,$B155)&amp;"")</f>
        <v/>
      </c>
      <c r="E155" s="32" t="str">
        <f aca="false">IF($B155="","",INDEX(Purchase_Register!$E$6:$E$205,$B155)&amp;"")</f>
        <v/>
      </c>
      <c r="F155" s="32" t="str">
        <f aca="false">IF($B155="","",INDEX(Purchase_Register!$M$6:$M$205,$B155)&amp;"")</f>
        <v/>
      </c>
      <c r="G155" s="32" t="str">
        <f aca="false">IF($B155="","",INDEX(Purchase_Register!$C$6:$C$205,$B155)&amp;"")</f>
        <v/>
      </c>
      <c r="H155" s="32" t="str">
        <f aca="false">IF($B155="","",INDEX(Purchase_Register!$BI$6:$BI$205,$B155)&amp;"")</f>
        <v/>
      </c>
      <c r="I155" s="32" t="str">
        <f aca="false">IF($B155="","",INDEX(Purchase_Register!$AX$6:$AX$205,$B155)&amp;"")</f>
        <v/>
      </c>
      <c r="J155" s="47" t="str">
        <f aca="false">IF($B155="","",N(INDEX(Purchase_Register!$AK$6:$AK$205,$B155)))</f>
        <v/>
      </c>
      <c r="K155" s="47" t="str">
        <f aca="false">IF($B155="","",N(INDEX(Purchase_Register!$AL$6:$AL$205,$B155)))</f>
        <v/>
      </c>
      <c r="L155" s="32" t="str">
        <f aca="false">IF($B155="","",INDEX(Purchase_Register!$BK$6:$BK$205,$B155)&amp;"")</f>
        <v/>
      </c>
    </row>
    <row r="156" customFormat="false" ht="15" hidden="false" customHeight="false" outlineLevel="0" collapsed="false">
      <c r="A156" s="33" t="str">
        <f aca="false">IF(ROWS($A$7:A156)&gt;COUNT(Purchase_Register!$BM$6:$BM$205),"",ROWS($A$7:A156))</f>
        <v/>
      </c>
      <c r="B156" s="33" t="str">
        <f aca="false">IF($A156="","",MATCH(SMALL(Purchase_Register!$BM$6:$BM$205,$A156),Purchase_Register!$BM$6:$BM$205,0))</f>
        <v/>
      </c>
      <c r="C156" s="46" t="str">
        <f aca="false">IF($B156="","",INDEX(Purchase_Register!$BL$6:$BL$205,$B156)&amp;"")</f>
        <v/>
      </c>
      <c r="D156" s="31" t="str">
        <f aca="false">IF($B156="","",INDEX(Purchase_Register!$A$6:$A$205,$B156)&amp;"")</f>
        <v/>
      </c>
      <c r="E156" s="32" t="str">
        <f aca="false">IF($B156="","",INDEX(Purchase_Register!$E$6:$E$205,$B156)&amp;"")</f>
        <v/>
      </c>
      <c r="F156" s="32" t="str">
        <f aca="false">IF($B156="","",INDEX(Purchase_Register!$M$6:$M$205,$B156)&amp;"")</f>
        <v/>
      </c>
      <c r="G156" s="32" t="str">
        <f aca="false">IF($B156="","",INDEX(Purchase_Register!$C$6:$C$205,$B156)&amp;"")</f>
        <v/>
      </c>
      <c r="H156" s="32" t="str">
        <f aca="false">IF($B156="","",INDEX(Purchase_Register!$BI$6:$BI$205,$B156)&amp;"")</f>
        <v/>
      </c>
      <c r="I156" s="32" t="str">
        <f aca="false">IF($B156="","",INDEX(Purchase_Register!$AX$6:$AX$205,$B156)&amp;"")</f>
        <v/>
      </c>
      <c r="J156" s="47" t="str">
        <f aca="false">IF($B156="","",N(INDEX(Purchase_Register!$AK$6:$AK$205,$B156)))</f>
        <v/>
      </c>
      <c r="K156" s="47" t="str">
        <f aca="false">IF($B156="","",N(INDEX(Purchase_Register!$AL$6:$AL$205,$B156)))</f>
        <v/>
      </c>
      <c r="L156" s="32" t="str">
        <f aca="false">IF($B156="","",INDEX(Purchase_Register!$BK$6:$BK$205,$B156)&amp;"")</f>
        <v/>
      </c>
    </row>
    <row r="157" customFormat="false" ht="15" hidden="false" customHeight="false" outlineLevel="0" collapsed="false">
      <c r="A157" s="33" t="str">
        <f aca="false">IF(ROWS($A$7:A157)&gt;COUNT(Purchase_Register!$BM$6:$BM$205),"",ROWS($A$7:A157))</f>
        <v/>
      </c>
      <c r="B157" s="33" t="str">
        <f aca="false">IF($A157="","",MATCH(SMALL(Purchase_Register!$BM$6:$BM$205,$A157),Purchase_Register!$BM$6:$BM$205,0))</f>
        <v/>
      </c>
      <c r="C157" s="46" t="str">
        <f aca="false">IF($B157="","",INDEX(Purchase_Register!$BL$6:$BL$205,$B157)&amp;"")</f>
        <v/>
      </c>
      <c r="D157" s="31" t="str">
        <f aca="false">IF($B157="","",INDEX(Purchase_Register!$A$6:$A$205,$B157)&amp;"")</f>
        <v/>
      </c>
      <c r="E157" s="32" t="str">
        <f aca="false">IF($B157="","",INDEX(Purchase_Register!$E$6:$E$205,$B157)&amp;"")</f>
        <v/>
      </c>
      <c r="F157" s="32" t="str">
        <f aca="false">IF($B157="","",INDEX(Purchase_Register!$M$6:$M$205,$B157)&amp;"")</f>
        <v/>
      </c>
      <c r="G157" s="32" t="str">
        <f aca="false">IF($B157="","",INDEX(Purchase_Register!$C$6:$C$205,$B157)&amp;"")</f>
        <v/>
      </c>
      <c r="H157" s="32" t="str">
        <f aca="false">IF($B157="","",INDEX(Purchase_Register!$BI$6:$BI$205,$B157)&amp;"")</f>
        <v/>
      </c>
      <c r="I157" s="32" t="str">
        <f aca="false">IF($B157="","",INDEX(Purchase_Register!$AX$6:$AX$205,$B157)&amp;"")</f>
        <v/>
      </c>
      <c r="J157" s="47" t="str">
        <f aca="false">IF($B157="","",N(INDEX(Purchase_Register!$AK$6:$AK$205,$B157)))</f>
        <v/>
      </c>
      <c r="K157" s="47" t="str">
        <f aca="false">IF($B157="","",N(INDEX(Purchase_Register!$AL$6:$AL$205,$B157)))</f>
        <v/>
      </c>
      <c r="L157" s="32" t="str">
        <f aca="false">IF($B157="","",INDEX(Purchase_Register!$BK$6:$BK$205,$B157)&amp;"")</f>
        <v/>
      </c>
    </row>
    <row r="158" customFormat="false" ht="15" hidden="false" customHeight="false" outlineLevel="0" collapsed="false">
      <c r="A158" s="33" t="str">
        <f aca="false">IF(ROWS($A$7:A158)&gt;COUNT(Purchase_Register!$BM$6:$BM$205),"",ROWS($A$7:A158))</f>
        <v/>
      </c>
      <c r="B158" s="33" t="str">
        <f aca="false">IF($A158="","",MATCH(SMALL(Purchase_Register!$BM$6:$BM$205,$A158),Purchase_Register!$BM$6:$BM$205,0))</f>
        <v/>
      </c>
      <c r="C158" s="46" t="str">
        <f aca="false">IF($B158="","",INDEX(Purchase_Register!$BL$6:$BL$205,$B158)&amp;"")</f>
        <v/>
      </c>
      <c r="D158" s="31" t="str">
        <f aca="false">IF($B158="","",INDEX(Purchase_Register!$A$6:$A$205,$B158)&amp;"")</f>
        <v/>
      </c>
      <c r="E158" s="32" t="str">
        <f aca="false">IF($B158="","",INDEX(Purchase_Register!$E$6:$E$205,$B158)&amp;"")</f>
        <v/>
      </c>
      <c r="F158" s="32" t="str">
        <f aca="false">IF($B158="","",INDEX(Purchase_Register!$M$6:$M$205,$B158)&amp;"")</f>
        <v/>
      </c>
      <c r="G158" s="32" t="str">
        <f aca="false">IF($B158="","",INDEX(Purchase_Register!$C$6:$C$205,$B158)&amp;"")</f>
        <v/>
      </c>
      <c r="H158" s="32" t="str">
        <f aca="false">IF($B158="","",INDEX(Purchase_Register!$BI$6:$BI$205,$B158)&amp;"")</f>
        <v/>
      </c>
      <c r="I158" s="32" t="str">
        <f aca="false">IF($B158="","",INDEX(Purchase_Register!$AX$6:$AX$205,$B158)&amp;"")</f>
        <v/>
      </c>
      <c r="J158" s="47" t="str">
        <f aca="false">IF($B158="","",N(INDEX(Purchase_Register!$AK$6:$AK$205,$B158)))</f>
        <v/>
      </c>
      <c r="K158" s="47" t="str">
        <f aca="false">IF($B158="","",N(INDEX(Purchase_Register!$AL$6:$AL$205,$B158)))</f>
        <v/>
      </c>
      <c r="L158" s="32" t="str">
        <f aca="false">IF($B158="","",INDEX(Purchase_Register!$BK$6:$BK$205,$B158)&amp;"")</f>
        <v/>
      </c>
    </row>
    <row r="159" customFormat="false" ht="15" hidden="false" customHeight="false" outlineLevel="0" collapsed="false">
      <c r="A159" s="33" t="str">
        <f aca="false">IF(ROWS($A$7:A159)&gt;COUNT(Purchase_Register!$BM$6:$BM$205),"",ROWS($A$7:A159))</f>
        <v/>
      </c>
      <c r="B159" s="33" t="str">
        <f aca="false">IF($A159="","",MATCH(SMALL(Purchase_Register!$BM$6:$BM$205,$A159),Purchase_Register!$BM$6:$BM$205,0))</f>
        <v/>
      </c>
      <c r="C159" s="46" t="str">
        <f aca="false">IF($B159="","",INDEX(Purchase_Register!$BL$6:$BL$205,$B159)&amp;"")</f>
        <v/>
      </c>
      <c r="D159" s="31" t="str">
        <f aca="false">IF($B159="","",INDEX(Purchase_Register!$A$6:$A$205,$B159)&amp;"")</f>
        <v/>
      </c>
      <c r="E159" s="32" t="str">
        <f aca="false">IF($B159="","",INDEX(Purchase_Register!$E$6:$E$205,$B159)&amp;"")</f>
        <v/>
      </c>
      <c r="F159" s="32" t="str">
        <f aca="false">IF($B159="","",INDEX(Purchase_Register!$M$6:$M$205,$B159)&amp;"")</f>
        <v/>
      </c>
      <c r="G159" s="32" t="str">
        <f aca="false">IF($B159="","",INDEX(Purchase_Register!$C$6:$C$205,$B159)&amp;"")</f>
        <v/>
      </c>
      <c r="H159" s="32" t="str">
        <f aca="false">IF($B159="","",INDEX(Purchase_Register!$BI$6:$BI$205,$B159)&amp;"")</f>
        <v/>
      </c>
      <c r="I159" s="32" t="str">
        <f aca="false">IF($B159="","",INDEX(Purchase_Register!$AX$6:$AX$205,$B159)&amp;"")</f>
        <v/>
      </c>
      <c r="J159" s="47" t="str">
        <f aca="false">IF($B159="","",N(INDEX(Purchase_Register!$AK$6:$AK$205,$B159)))</f>
        <v/>
      </c>
      <c r="K159" s="47" t="str">
        <f aca="false">IF($B159="","",N(INDEX(Purchase_Register!$AL$6:$AL$205,$B159)))</f>
        <v/>
      </c>
      <c r="L159" s="32" t="str">
        <f aca="false">IF($B159="","",INDEX(Purchase_Register!$BK$6:$BK$205,$B159)&amp;"")</f>
        <v/>
      </c>
    </row>
    <row r="160" customFormat="false" ht="15" hidden="false" customHeight="false" outlineLevel="0" collapsed="false">
      <c r="A160" s="33" t="str">
        <f aca="false">IF(ROWS($A$7:A160)&gt;COUNT(Purchase_Register!$BM$6:$BM$205),"",ROWS($A$7:A160))</f>
        <v/>
      </c>
      <c r="B160" s="33" t="str">
        <f aca="false">IF($A160="","",MATCH(SMALL(Purchase_Register!$BM$6:$BM$205,$A160),Purchase_Register!$BM$6:$BM$205,0))</f>
        <v/>
      </c>
      <c r="C160" s="46" t="str">
        <f aca="false">IF($B160="","",INDEX(Purchase_Register!$BL$6:$BL$205,$B160)&amp;"")</f>
        <v/>
      </c>
      <c r="D160" s="31" t="str">
        <f aca="false">IF($B160="","",INDEX(Purchase_Register!$A$6:$A$205,$B160)&amp;"")</f>
        <v/>
      </c>
      <c r="E160" s="32" t="str">
        <f aca="false">IF($B160="","",INDEX(Purchase_Register!$E$6:$E$205,$B160)&amp;"")</f>
        <v/>
      </c>
      <c r="F160" s="32" t="str">
        <f aca="false">IF($B160="","",INDEX(Purchase_Register!$M$6:$M$205,$B160)&amp;"")</f>
        <v/>
      </c>
      <c r="G160" s="32" t="str">
        <f aca="false">IF($B160="","",INDEX(Purchase_Register!$C$6:$C$205,$B160)&amp;"")</f>
        <v/>
      </c>
      <c r="H160" s="32" t="str">
        <f aca="false">IF($B160="","",INDEX(Purchase_Register!$BI$6:$BI$205,$B160)&amp;"")</f>
        <v/>
      </c>
      <c r="I160" s="32" t="str">
        <f aca="false">IF($B160="","",INDEX(Purchase_Register!$AX$6:$AX$205,$B160)&amp;"")</f>
        <v/>
      </c>
      <c r="J160" s="47" t="str">
        <f aca="false">IF($B160="","",N(INDEX(Purchase_Register!$AK$6:$AK$205,$B160)))</f>
        <v/>
      </c>
      <c r="K160" s="47" t="str">
        <f aca="false">IF($B160="","",N(INDEX(Purchase_Register!$AL$6:$AL$205,$B160)))</f>
        <v/>
      </c>
      <c r="L160" s="32" t="str">
        <f aca="false">IF($B160="","",INDEX(Purchase_Register!$BK$6:$BK$205,$B160)&amp;"")</f>
        <v/>
      </c>
    </row>
    <row r="161" customFormat="false" ht="15" hidden="false" customHeight="false" outlineLevel="0" collapsed="false">
      <c r="A161" s="33" t="str">
        <f aca="false">IF(ROWS($A$7:A161)&gt;COUNT(Purchase_Register!$BM$6:$BM$205),"",ROWS($A$7:A161))</f>
        <v/>
      </c>
      <c r="B161" s="33" t="str">
        <f aca="false">IF($A161="","",MATCH(SMALL(Purchase_Register!$BM$6:$BM$205,$A161),Purchase_Register!$BM$6:$BM$205,0))</f>
        <v/>
      </c>
      <c r="C161" s="46" t="str">
        <f aca="false">IF($B161="","",INDEX(Purchase_Register!$BL$6:$BL$205,$B161)&amp;"")</f>
        <v/>
      </c>
      <c r="D161" s="31" t="str">
        <f aca="false">IF($B161="","",INDEX(Purchase_Register!$A$6:$A$205,$B161)&amp;"")</f>
        <v/>
      </c>
      <c r="E161" s="32" t="str">
        <f aca="false">IF($B161="","",INDEX(Purchase_Register!$E$6:$E$205,$B161)&amp;"")</f>
        <v/>
      </c>
      <c r="F161" s="32" t="str">
        <f aca="false">IF($B161="","",INDEX(Purchase_Register!$M$6:$M$205,$B161)&amp;"")</f>
        <v/>
      </c>
      <c r="G161" s="32" t="str">
        <f aca="false">IF($B161="","",INDEX(Purchase_Register!$C$6:$C$205,$B161)&amp;"")</f>
        <v/>
      </c>
      <c r="H161" s="32" t="str">
        <f aca="false">IF($B161="","",INDEX(Purchase_Register!$BI$6:$BI$205,$B161)&amp;"")</f>
        <v/>
      </c>
      <c r="I161" s="32" t="str">
        <f aca="false">IF($B161="","",INDEX(Purchase_Register!$AX$6:$AX$205,$B161)&amp;"")</f>
        <v/>
      </c>
      <c r="J161" s="47" t="str">
        <f aca="false">IF($B161="","",N(INDEX(Purchase_Register!$AK$6:$AK$205,$B161)))</f>
        <v/>
      </c>
      <c r="K161" s="47" t="str">
        <f aca="false">IF($B161="","",N(INDEX(Purchase_Register!$AL$6:$AL$205,$B161)))</f>
        <v/>
      </c>
      <c r="L161" s="32" t="str">
        <f aca="false">IF($B161="","",INDEX(Purchase_Register!$BK$6:$BK$205,$B161)&amp;"")</f>
        <v/>
      </c>
    </row>
    <row r="162" customFormat="false" ht="15" hidden="false" customHeight="false" outlineLevel="0" collapsed="false">
      <c r="A162" s="33" t="str">
        <f aca="false">IF(ROWS($A$7:A162)&gt;COUNT(Purchase_Register!$BM$6:$BM$205),"",ROWS($A$7:A162))</f>
        <v/>
      </c>
      <c r="B162" s="33" t="str">
        <f aca="false">IF($A162="","",MATCH(SMALL(Purchase_Register!$BM$6:$BM$205,$A162),Purchase_Register!$BM$6:$BM$205,0))</f>
        <v/>
      </c>
      <c r="C162" s="46" t="str">
        <f aca="false">IF($B162="","",INDEX(Purchase_Register!$BL$6:$BL$205,$B162)&amp;"")</f>
        <v/>
      </c>
      <c r="D162" s="31" t="str">
        <f aca="false">IF($B162="","",INDEX(Purchase_Register!$A$6:$A$205,$B162)&amp;"")</f>
        <v/>
      </c>
      <c r="E162" s="32" t="str">
        <f aca="false">IF($B162="","",INDEX(Purchase_Register!$E$6:$E$205,$B162)&amp;"")</f>
        <v/>
      </c>
      <c r="F162" s="32" t="str">
        <f aca="false">IF($B162="","",INDEX(Purchase_Register!$M$6:$M$205,$B162)&amp;"")</f>
        <v/>
      </c>
      <c r="G162" s="32" t="str">
        <f aca="false">IF($B162="","",INDEX(Purchase_Register!$C$6:$C$205,$B162)&amp;"")</f>
        <v/>
      </c>
      <c r="H162" s="32" t="str">
        <f aca="false">IF($B162="","",INDEX(Purchase_Register!$BI$6:$BI$205,$B162)&amp;"")</f>
        <v/>
      </c>
      <c r="I162" s="32" t="str">
        <f aca="false">IF($B162="","",INDEX(Purchase_Register!$AX$6:$AX$205,$B162)&amp;"")</f>
        <v/>
      </c>
      <c r="J162" s="47" t="str">
        <f aca="false">IF($B162="","",N(INDEX(Purchase_Register!$AK$6:$AK$205,$B162)))</f>
        <v/>
      </c>
      <c r="K162" s="47" t="str">
        <f aca="false">IF($B162="","",N(INDEX(Purchase_Register!$AL$6:$AL$205,$B162)))</f>
        <v/>
      </c>
      <c r="L162" s="32" t="str">
        <f aca="false">IF($B162="","",INDEX(Purchase_Register!$BK$6:$BK$205,$B162)&amp;"")</f>
        <v/>
      </c>
    </row>
    <row r="163" customFormat="false" ht="15" hidden="false" customHeight="false" outlineLevel="0" collapsed="false">
      <c r="A163" s="33" t="str">
        <f aca="false">IF(ROWS($A$7:A163)&gt;COUNT(Purchase_Register!$BM$6:$BM$205),"",ROWS($A$7:A163))</f>
        <v/>
      </c>
      <c r="B163" s="33" t="str">
        <f aca="false">IF($A163="","",MATCH(SMALL(Purchase_Register!$BM$6:$BM$205,$A163),Purchase_Register!$BM$6:$BM$205,0))</f>
        <v/>
      </c>
      <c r="C163" s="46" t="str">
        <f aca="false">IF($B163="","",INDEX(Purchase_Register!$BL$6:$BL$205,$B163)&amp;"")</f>
        <v/>
      </c>
      <c r="D163" s="31" t="str">
        <f aca="false">IF($B163="","",INDEX(Purchase_Register!$A$6:$A$205,$B163)&amp;"")</f>
        <v/>
      </c>
      <c r="E163" s="32" t="str">
        <f aca="false">IF($B163="","",INDEX(Purchase_Register!$E$6:$E$205,$B163)&amp;"")</f>
        <v/>
      </c>
      <c r="F163" s="32" t="str">
        <f aca="false">IF($B163="","",INDEX(Purchase_Register!$M$6:$M$205,$B163)&amp;"")</f>
        <v/>
      </c>
      <c r="G163" s="32" t="str">
        <f aca="false">IF($B163="","",INDEX(Purchase_Register!$C$6:$C$205,$B163)&amp;"")</f>
        <v/>
      </c>
      <c r="H163" s="32" t="str">
        <f aca="false">IF($B163="","",INDEX(Purchase_Register!$BI$6:$BI$205,$B163)&amp;"")</f>
        <v/>
      </c>
      <c r="I163" s="32" t="str">
        <f aca="false">IF($B163="","",INDEX(Purchase_Register!$AX$6:$AX$205,$B163)&amp;"")</f>
        <v/>
      </c>
      <c r="J163" s="47" t="str">
        <f aca="false">IF($B163="","",N(INDEX(Purchase_Register!$AK$6:$AK$205,$B163)))</f>
        <v/>
      </c>
      <c r="K163" s="47" t="str">
        <f aca="false">IF($B163="","",N(INDEX(Purchase_Register!$AL$6:$AL$205,$B163)))</f>
        <v/>
      </c>
      <c r="L163" s="32" t="str">
        <f aca="false">IF($B163="","",INDEX(Purchase_Register!$BK$6:$BK$205,$B163)&amp;"")</f>
        <v/>
      </c>
    </row>
    <row r="164" customFormat="false" ht="15" hidden="false" customHeight="false" outlineLevel="0" collapsed="false">
      <c r="A164" s="33" t="str">
        <f aca="false">IF(ROWS($A$7:A164)&gt;COUNT(Purchase_Register!$BM$6:$BM$205),"",ROWS($A$7:A164))</f>
        <v/>
      </c>
      <c r="B164" s="33" t="str">
        <f aca="false">IF($A164="","",MATCH(SMALL(Purchase_Register!$BM$6:$BM$205,$A164),Purchase_Register!$BM$6:$BM$205,0))</f>
        <v/>
      </c>
      <c r="C164" s="46" t="str">
        <f aca="false">IF($B164="","",INDEX(Purchase_Register!$BL$6:$BL$205,$B164)&amp;"")</f>
        <v/>
      </c>
      <c r="D164" s="31" t="str">
        <f aca="false">IF($B164="","",INDEX(Purchase_Register!$A$6:$A$205,$B164)&amp;"")</f>
        <v/>
      </c>
      <c r="E164" s="32" t="str">
        <f aca="false">IF($B164="","",INDEX(Purchase_Register!$E$6:$E$205,$B164)&amp;"")</f>
        <v/>
      </c>
      <c r="F164" s="32" t="str">
        <f aca="false">IF($B164="","",INDEX(Purchase_Register!$M$6:$M$205,$B164)&amp;"")</f>
        <v/>
      </c>
      <c r="G164" s="32" t="str">
        <f aca="false">IF($B164="","",INDEX(Purchase_Register!$C$6:$C$205,$B164)&amp;"")</f>
        <v/>
      </c>
      <c r="H164" s="32" t="str">
        <f aca="false">IF($B164="","",INDEX(Purchase_Register!$BI$6:$BI$205,$B164)&amp;"")</f>
        <v/>
      </c>
      <c r="I164" s="32" t="str">
        <f aca="false">IF($B164="","",INDEX(Purchase_Register!$AX$6:$AX$205,$B164)&amp;"")</f>
        <v/>
      </c>
      <c r="J164" s="47" t="str">
        <f aca="false">IF($B164="","",N(INDEX(Purchase_Register!$AK$6:$AK$205,$B164)))</f>
        <v/>
      </c>
      <c r="K164" s="47" t="str">
        <f aca="false">IF($B164="","",N(INDEX(Purchase_Register!$AL$6:$AL$205,$B164)))</f>
        <v/>
      </c>
      <c r="L164" s="32" t="str">
        <f aca="false">IF($B164="","",INDEX(Purchase_Register!$BK$6:$BK$205,$B164)&amp;"")</f>
        <v/>
      </c>
    </row>
    <row r="165" customFormat="false" ht="15" hidden="false" customHeight="false" outlineLevel="0" collapsed="false">
      <c r="A165" s="33" t="str">
        <f aca="false">IF(ROWS($A$7:A165)&gt;COUNT(Purchase_Register!$BM$6:$BM$205),"",ROWS($A$7:A165))</f>
        <v/>
      </c>
      <c r="B165" s="33" t="str">
        <f aca="false">IF($A165="","",MATCH(SMALL(Purchase_Register!$BM$6:$BM$205,$A165),Purchase_Register!$BM$6:$BM$205,0))</f>
        <v/>
      </c>
      <c r="C165" s="46" t="str">
        <f aca="false">IF($B165="","",INDEX(Purchase_Register!$BL$6:$BL$205,$B165)&amp;"")</f>
        <v/>
      </c>
      <c r="D165" s="31" t="str">
        <f aca="false">IF($B165="","",INDEX(Purchase_Register!$A$6:$A$205,$B165)&amp;"")</f>
        <v/>
      </c>
      <c r="E165" s="32" t="str">
        <f aca="false">IF($B165="","",INDEX(Purchase_Register!$E$6:$E$205,$B165)&amp;"")</f>
        <v/>
      </c>
      <c r="F165" s="32" t="str">
        <f aca="false">IF($B165="","",INDEX(Purchase_Register!$M$6:$M$205,$B165)&amp;"")</f>
        <v/>
      </c>
      <c r="G165" s="32" t="str">
        <f aca="false">IF($B165="","",INDEX(Purchase_Register!$C$6:$C$205,$B165)&amp;"")</f>
        <v/>
      </c>
      <c r="H165" s="32" t="str">
        <f aca="false">IF($B165="","",INDEX(Purchase_Register!$BI$6:$BI$205,$B165)&amp;"")</f>
        <v/>
      </c>
      <c r="I165" s="32" t="str">
        <f aca="false">IF($B165="","",INDEX(Purchase_Register!$AX$6:$AX$205,$B165)&amp;"")</f>
        <v/>
      </c>
      <c r="J165" s="47" t="str">
        <f aca="false">IF($B165="","",N(INDEX(Purchase_Register!$AK$6:$AK$205,$B165)))</f>
        <v/>
      </c>
      <c r="K165" s="47" t="str">
        <f aca="false">IF($B165="","",N(INDEX(Purchase_Register!$AL$6:$AL$205,$B165)))</f>
        <v/>
      </c>
      <c r="L165" s="32" t="str">
        <f aca="false">IF($B165="","",INDEX(Purchase_Register!$BK$6:$BK$205,$B165)&amp;"")</f>
        <v/>
      </c>
    </row>
    <row r="166" customFormat="false" ht="15" hidden="false" customHeight="false" outlineLevel="0" collapsed="false">
      <c r="A166" s="33" t="str">
        <f aca="false">IF(ROWS($A$7:A166)&gt;COUNT(Purchase_Register!$BM$6:$BM$205),"",ROWS($A$7:A166))</f>
        <v/>
      </c>
      <c r="B166" s="33" t="str">
        <f aca="false">IF($A166="","",MATCH(SMALL(Purchase_Register!$BM$6:$BM$205,$A166),Purchase_Register!$BM$6:$BM$205,0))</f>
        <v/>
      </c>
      <c r="C166" s="46" t="str">
        <f aca="false">IF($B166="","",INDEX(Purchase_Register!$BL$6:$BL$205,$B166)&amp;"")</f>
        <v/>
      </c>
      <c r="D166" s="31" t="str">
        <f aca="false">IF($B166="","",INDEX(Purchase_Register!$A$6:$A$205,$B166)&amp;"")</f>
        <v/>
      </c>
      <c r="E166" s="32" t="str">
        <f aca="false">IF($B166="","",INDEX(Purchase_Register!$E$6:$E$205,$B166)&amp;"")</f>
        <v/>
      </c>
      <c r="F166" s="32" t="str">
        <f aca="false">IF($B166="","",INDEX(Purchase_Register!$M$6:$M$205,$B166)&amp;"")</f>
        <v/>
      </c>
      <c r="G166" s="32" t="str">
        <f aca="false">IF($B166="","",INDEX(Purchase_Register!$C$6:$C$205,$B166)&amp;"")</f>
        <v/>
      </c>
      <c r="H166" s="32" t="str">
        <f aca="false">IF($B166="","",INDEX(Purchase_Register!$BI$6:$BI$205,$B166)&amp;"")</f>
        <v/>
      </c>
      <c r="I166" s="32" t="str">
        <f aca="false">IF($B166="","",INDEX(Purchase_Register!$AX$6:$AX$205,$B166)&amp;"")</f>
        <v/>
      </c>
      <c r="J166" s="47" t="str">
        <f aca="false">IF($B166="","",N(INDEX(Purchase_Register!$AK$6:$AK$205,$B166)))</f>
        <v/>
      </c>
      <c r="K166" s="47" t="str">
        <f aca="false">IF($B166="","",N(INDEX(Purchase_Register!$AL$6:$AL$205,$B166)))</f>
        <v/>
      </c>
      <c r="L166" s="32" t="str">
        <f aca="false">IF($B166="","",INDEX(Purchase_Register!$BK$6:$BK$205,$B166)&amp;"")</f>
        <v/>
      </c>
    </row>
    <row r="167" customFormat="false" ht="15" hidden="false" customHeight="false" outlineLevel="0" collapsed="false">
      <c r="A167" s="33" t="str">
        <f aca="false">IF(ROWS($A$7:A167)&gt;COUNT(Purchase_Register!$BM$6:$BM$205),"",ROWS($A$7:A167))</f>
        <v/>
      </c>
      <c r="B167" s="33" t="str">
        <f aca="false">IF($A167="","",MATCH(SMALL(Purchase_Register!$BM$6:$BM$205,$A167),Purchase_Register!$BM$6:$BM$205,0))</f>
        <v/>
      </c>
      <c r="C167" s="46" t="str">
        <f aca="false">IF($B167="","",INDEX(Purchase_Register!$BL$6:$BL$205,$B167)&amp;"")</f>
        <v/>
      </c>
      <c r="D167" s="31" t="str">
        <f aca="false">IF($B167="","",INDEX(Purchase_Register!$A$6:$A$205,$B167)&amp;"")</f>
        <v/>
      </c>
      <c r="E167" s="32" t="str">
        <f aca="false">IF($B167="","",INDEX(Purchase_Register!$E$6:$E$205,$B167)&amp;"")</f>
        <v/>
      </c>
      <c r="F167" s="32" t="str">
        <f aca="false">IF($B167="","",INDEX(Purchase_Register!$M$6:$M$205,$B167)&amp;"")</f>
        <v/>
      </c>
      <c r="G167" s="32" t="str">
        <f aca="false">IF($B167="","",INDEX(Purchase_Register!$C$6:$C$205,$B167)&amp;"")</f>
        <v/>
      </c>
      <c r="H167" s="32" t="str">
        <f aca="false">IF($B167="","",INDEX(Purchase_Register!$BI$6:$BI$205,$B167)&amp;"")</f>
        <v/>
      </c>
      <c r="I167" s="32" t="str">
        <f aca="false">IF($B167="","",INDEX(Purchase_Register!$AX$6:$AX$205,$B167)&amp;"")</f>
        <v/>
      </c>
      <c r="J167" s="47" t="str">
        <f aca="false">IF($B167="","",N(INDEX(Purchase_Register!$AK$6:$AK$205,$B167)))</f>
        <v/>
      </c>
      <c r="K167" s="47" t="str">
        <f aca="false">IF($B167="","",N(INDEX(Purchase_Register!$AL$6:$AL$205,$B167)))</f>
        <v/>
      </c>
      <c r="L167" s="32" t="str">
        <f aca="false">IF($B167="","",INDEX(Purchase_Register!$BK$6:$BK$205,$B167)&amp;"")</f>
        <v/>
      </c>
    </row>
    <row r="168" customFormat="false" ht="15" hidden="false" customHeight="false" outlineLevel="0" collapsed="false">
      <c r="A168" s="33" t="str">
        <f aca="false">IF(ROWS($A$7:A168)&gt;COUNT(Purchase_Register!$BM$6:$BM$205),"",ROWS($A$7:A168))</f>
        <v/>
      </c>
      <c r="B168" s="33" t="str">
        <f aca="false">IF($A168="","",MATCH(SMALL(Purchase_Register!$BM$6:$BM$205,$A168),Purchase_Register!$BM$6:$BM$205,0))</f>
        <v/>
      </c>
      <c r="C168" s="46" t="str">
        <f aca="false">IF($B168="","",INDEX(Purchase_Register!$BL$6:$BL$205,$B168)&amp;"")</f>
        <v/>
      </c>
      <c r="D168" s="31" t="str">
        <f aca="false">IF($B168="","",INDEX(Purchase_Register!$A$6:$A$205,$B168)&amp;"")</f>
        <v/>
      </c>
      <c r="E168" s="32" t="str">
        <f aca="false">IF($B168="","",INDEX(Purchase_Register!$E$6:$E$205,$B168)&amp;"")</f>
        <v/>
      </c>
      <c r="F168" s="32" t="str">
        <f aca="false">IF($B168="","",INDEX(Purchase_Register!$M$6:$M$205,$B168)&amp;"")</f>
        <v/>
      </c>
      <c r="G168" s="32" t="str">
        <f aca="false">IF($B168="","",INDEX(Purchase_Register!$C$6:$C$205,$B168)&amp;"")</f>
        <v/>
      </c>
      <c r="H168" s="32" t="str">
        <f aca="false">IF($B168="","",INDEX(Purchase_Register!$BI$6:$BI$205,$B168)&amp;"")</f>
        <v/>
      </c>
      <c r="I168" s="32" t="str">
        <f aca="false">IF($B168="","",INDEX(Purchase_Register!$AX$6:$AX$205,$B168)&amp;"")</f>
        <v/>
      </c>
      <c r="J168" s="47" t="str">
        <f aca="false">IF($B168="","",N(INDEX(Purchase_Register!$AK$6:$AK$205,$B168)))</f>
        <v/>
      </c>
      <c r="K168" s="47" t="str">
        <f aca="false">IF($B168="","",N(INDEX(Purchase_Register!$AL$6:$AL$205,$B168)))</f>
        <v/>
      </c>
      <c r="L168" s="32" t="str">
        <f aca="false">IF($B168="","",INDEX(Purchase_Register!$BK$6:$BK$205,$B168)&amp;"")</f>
        <v/>
      </c>
    </row>
    <row r="169" customFormat="false" ht="15" hidden="false" customHeight="false" outlineLevel="0" collapsed="false">
      <c r="A169" s="33" t="str">
        <f aca="false">IF(ROWS($A$7:A169)&gt;COUNT(Purchase_Register!$BM$6:$BM$205),"",ROWS($A$7:A169))</f>
        <v/>
      </c>
      <c r="B169" s="33" t="str">
        <f aca="false">IF($A169="","",MATCH(SMALL(Purchase_Register!$BM$6:$BM$205,$A169),Purchase_Register!$BM$6:$BM$205,0))</f>
        <v/>
      </c>
      <c r="C169" s="46" t="str">
        <f aca="false">IF($B169="","",INDEX(Purchase_Register!$BL$6:$BL$205,$B169)&amp;"")</f>
        <v/>
      </c>
      <c r="D169" s="31" t="str">
        <f aca="false">IF($B169="","",INDEX(Purchase_Register!$A$6:$A$205,$B169)&amp;"")</f>
        <v/>
      </c>
      <c r="E169" s="32" t="str">
        <f aca="false">IF($B169="","",INDEX(Purchase_Register!$E$6:$E$205,$B169)&amp;"")</f>
        <v/>
      </c>
      <c r="F169" s="32" t="str">
        <f aca="false">IF($B169="","",INDEX(Purchase_Register!$M$6:$M$205,$B169)&amp;"")</f>
        <v/>
      </c>
      <c r="G169" s="32" t="str">
        <f aca="false">IF($B169="","",INDEX(Purchase_Register!$C$6:$C$205,$B169)&amp;"")</f>
        <v/>
      </c>
      <c r="H169" s="32" t="str">
        <f aca="false">IF($B169="","",INDEX(Purchase_Register!$BI$6:$BI$205,$B169)&amp;"")</f>
        <v/>
      </c>
      <c r="I169" s="32" t="str">
        <f aca="false">IF($B169="","",INDEX(Purchase_Register!$AX$6:$AX$205,$B169)&amp;"")</f>
        <v/>
      </c>
      <c r="J169" s="47" t="str">
        <f aca="false">IF($B169="","",N(INDEX(Purchase_Register!$AK$6:$AK$205,$B169)))</f>
        <v/>
      </c>
      <c r="K169" s="47" t="str">
        <f aca="false">IF($B169="","",N(INDEX(Purchase_Register!$AL$6:$AL$205,$B169)))</f>
        <v/>
      </c>
      <c r="L169" s="32" t="str">
        <f aca="false">IF($B169="","",INDEX(Purchase_Register!$BK$6:$BK$205,$B169)&amp;"")</f>
        <v/>
      </c>
    </row>
    <row r="170" customFormat="false" ht="15" hidden="false" customHeight="false" outlineLevel="0" collapsed="false">
      <c r="A170" s="33" t="str">
        <f aca="false">IF(ROWS($A$7:A170)&gt;COUNT(Purchase_Register!$BM$6:$BM$205),"",ROWS($A$7:A170))</f>
        <v/>
      </c>
      <c r="B170" s="33" t="str">
        <f aca="false">IF($A170="","",MATCH(SMALL(Purchase_Register!$BM$6:$BM$205,$A170),Purchase_Register!$BM$6:$BM$205,0))</f>
        <v/>
      </c>
      <c r="C170" s="46" t="str">
        <f aca="false">IF($B170="","",INDEX(Purchase_Register!$BL$6:$BL$205,$B170)&amp;"")</f>
        <v/>
      </c>
      <c r="D170" s="31" t="str">
        <f aca="false">IF($B170="","",INDEX(Purchase_Register!$A$6:$A$205,$B170)&amp;"")</f>
        <v/>
      </c>
      <c r="E170" s="32" t="str">
        <f aca="false">IF($B170="","",INDEX(Purchase_Register!$E$6:$E$205,$B170)&amp;"")</f>
        <v/>
      </c>
      <c r="F170" s="32" t="str">
        <f aca="false">IF($B170="","",INDEX(Purchase_Register!$M$6:$M$205,$B170)&amp;"")</f>
        <v/>
      </c>
      <c r="G170" s="32" t="str">
        <f aca="false">IF($B170="","",INDEX(Purchase_Register!$C$6:$C$205,$B170)&amp;"")</f>
        <v/>
      </c>
      <c r="H170" s="32" t="str">
        <f aca="false">IF($B170="","",INDEX(Purchase_Register!$BI$6:$BI$205,$B170)&amp;"")</f>
        <v/>
      </c>
      <c r="I170" s="32" t="str">
        <f aca="false">IF($B170="","",INDEX(Purchase_Register!$AX$6:$AX$205,$B170)&amp;"")</f>
        <v/>
      </c>
      <c r="J170" s="47" t="str">
        <f aca="false">IF($B170="","",N(INDEX(Purchase_Register!$AK$6:$AK$205,$B170)))</f>
        <v/>
      </c>
      <c r="K170" s="47" t="str">
        <f aca="false">IF($B170="","",N(INDEX(Purchase_Register!$AL$6:$AL$205,$B170)))</f>
        <v/>
      </c>
      <c r="L170" s="32" t="str">
        <f aca="false">IF($B170="","",INDEX(Purchase_Register!$BK$6:$BK$205,$B170)&amp;"")</f>
        <v/>
      </c>
    </row>
    <row r="171" customFormat="false" ht="15" hidden="false" customHeight="false" outlineLevel="0" collapsed="false">
      <c r="A171" s="33" t="str">
        <f aca="false">IF(ROWS($A$7:A171)&gt;COUNT(Purchase_Register!$BM$6:$BM$205),"",ROWS($A$7:A171))</f>
        <v/>
      </c>
      <c r="B171" s="33" t="str">
        <f aca="false">IF($A171="","",MATCH(SMALL(Purchase_Register!$BM$6:$BM$205,$A171),Purchase_Register!$BM$6:$BM$205,0))</f>
        <v/>
      </c>
      <c r="C171" s="46" t="str">
        <f aca="false">IF($B171="","",INDEX(Purchase_Register!$BL$6:$BL$205,$B171)&amp;"")</f>
        <v/>
      </c>
      <c r="D171" s="31" t="str">
        <f aca="false">IF($B171="","",INDEX(Purchase_Register!$A$6:$A$205,$B171)&amp;"")</f>
        <v/>
      </c>
      <c r="E171" s="32" t="str">
        <f aca="false">IF($B171="","",INDEX(Purchase_Register!$E$6:$E$205,$B171)&amp;"")</f>
        <v/>
      </c>
      <c r="F171" s="32" t="str">
        <f aca="false">IF($B171="","",INDEX(Purchase_Register!$M$6:$M$205,$B171)&amp;"")</f>
        <v/>
      </c>
      <c r="G171" s="32" t="str">
        <f aca="false">IF($B171="","",INDEX(Purchase_Register!$C$6:$C$205,$B171)&amp;"")</f>
        <v/>
      </c>
      <c r="H171" s="32" t="str">
        <f aca="false">IF($B171="","",INDEX(Purchase_Register!$BI$6:$BI$205,$B171)&amp;"")</f>
        <v/>
      </c>
      <c r="I171" s="32" t="str">
        <f aca="false">IF($B171="","",INDEX(Purchase_Register!$AX$6:$AX$205,$B171)&amp;"")</f>
        <v/>
      </c>
      <c r="J171" s="47" t="str">
        <f aca="false">IF($B171="","",N(INDEX(Purchase_Register!$AK$6:$AK$205,$B171)))</f>
        <v/>
      </c>
      <c r="K171" s="47" t="str">
        <f aca="false">IF($B171="","",N(INDEX(Purchase_Register!$AL$6:$AL$205,$B171)))</f>
        <v/>
      </c>
      <c r="L171" s="32" t="str">
        <f aca="false">IF($B171="","",INDEX(Purchase_Register!$BK$6:$BK$205,$B171)&amp;"")</f>
        <v/>
      </c>
    </row>
    <row r="172" customFormat="false" ht="15" hidden="false" customHeight="false" outlineLevel="0" collapsed="false">
      <c r="A172" s="33" t="str">
        <f aca="false">IF(ROWS($A$7:A172)&gt;COUNT(Purchase_Register!$BM$6:$BM$205),"",ROWS($A$7:A172))</f>
        <v/>
      </c>
      <c r="B172" s="33" t="str">
        <f aca="false">IF($A172="","",MATCH(SMALL(Purchase_Register!$BM$6:$BM$205,$A172),Purchase_Register!$BM$6:$BM$205,0))</f>
        <v/>
      </c>
      <c r="C172" s="46" t="str">
        <f aca="false">IF($B172="","",INDEX(Purchase_Register!$BL$6:$BL$205,$B172)&amp;"")</f>
        <v/>
      </c>
      <c r="D172" s="31" t="str">
        <f aca="false">IF($B172="","",INDEX(Purchase_Register!$A$6:$A$205,$B172)&amp;"")</f>
        <v/>
      </c>
      <c r="E172" s="32" t="str">
        <f aca="false">IF($B172="","",INDEX(Purchase_Register!$E$6:$E$205,$B172)&amp;"")</f>
        <v/>
      </c>
      <c r="F172" s="32" t="str">
        <f aca="false">IF($B172="","",INDEX(Purchase_Register!$M$6:$M$205,$B172)&amp;"")</f>
        <v/>
      </c>
      <c r="G172" s="32" t="str">
        <f aca="false">IF($B172="","",INDEX(Purchase_Register!$C$6:$C$205,$B172)&amp;"")</f>
        <v/>
      </c>
      <c r="H172" s="32" t="str">
        <f aca="false">IF($B172="","",INDEX(Purchase_Register!$BI$6:$BI$205,$B172)&amp;"")</f>
        <v/>
      </c>
      <c r="I172" s="32" t="str">
        <f aca="false">IF($B172="","",INDEX(Purchase_Register!$AX$6:$AX$205,$B172)&amp;"")</f>
        <v/>
      </c>
      <c r="J172" s="47" t="str">
        <f aca="false">IF($B172="","",N(INDEX(Purchase_Register!$AK$6:$AK$205,$B172)))</f>
        <v/>
      </c>
      <c r="K172" s="47" t="str">
        <f aca="false">IF($B172="","",N(INDEX(Purchase_Register!$AL$6:$AL$205,$B172)))</f>
        <v/>
      </c>
      <c r="L172" s="32" t="str">
        <f aca="false">IF($B172="","",INDEX(Purchase_Register!$BK$6:$BK$205,$B172)&amp;"")</f>
        <v/>
      </c>
    </row>
    <row r="173" customFormat="false" ht="15" hidden="false" customHeight="false" outlineLevel="0" collapsed="false">
      <c r="A173" s="33" t="str">
        <f aca="false">IF(ROWS($A$7:A173)&gt;COUNT(Purchase_Register!$BM$6:$BM$205),"",ROWS($A$7:A173))</f>
        <v/>
      </c>
      <c r="B173" s="33" t="str">
        <f aca="false">IF($A173="","",MATCH(SMALL(Purchase_Register!$BM$6:$BM$205,$A173),Purchase_Register!$BM$6:$BM$205,0))</f>
        <v/>
      </c>
      <c r="C173" s="46" t="str">
        <f aca="false">IF($B173="","",INDEX(Purchase_Register!$BL$6:$BL$205,$B173)&amp;"")</f>
        <v/>
      </c>
      <c r="D173" s="31" t="str">
        <f aca="false">IF($B173="","",INDEX(Purchase_Register!$A$6:$A$205,$B173)&amp;"")</f>
        <v/>
      </c>
      <c r="E173" s="32" t="str">
        <f aca="false">IF($B173="","",INDEX(Purchase_Register!$E$6:$E$205,$B173)&amp;"")</f>
        <v/>
      </c>
      <c r="F173" s="32" t="str">
        <f aca="false">IF($B173="","",INDEX(Purchase_Register!$M$6:$M$205,$B173)&amp;"")</f>
        <v/>
      </c>
      <c r="G173" s="32" t="str">
        <f aca="false">IF($B173="","",INDEX(Purchase_Register!$C$6:$C$205,$B173)&amp;"")</f>
        <v/>
      </c>
      <c r="H173" s="32" t="str">
        <f aca="false">IF($B173="","",INDEX(Purchase_Register!$BI$6:$BI$205,$B173)&amp;"")</f>
        <v/>
      </c>
      <c r="I173" s="32" t="str">
        <f aca="false">IF($B173="","",INDEX(Purchase_Register!$AX$6:$AX$205,$B173)&amp;"")</f>
        <v/>
      </c>
      <c r="J173" s="47" t="str">
        <f aca="false">IF($B173="","",N(INDEX(Purchase_Register!$AK$6:$AK$205,$B173)))</f>
        <v/>
      </c>
      <c r="K173" s="47" t="str">
        <f aca="false">IF($B173="","",N(INDEX(Purchase_Register!$AL$6:$AL$205,$B173)))</f>
        <v/>
      </c>
      <c r="L173" s="32" t="str">
        <f aca="false">IF($B173="","",INDEX(Purchase_Register!$BK$6:$BK$205,$B173)&amp;"")</f>
        <v/>
      </c>
    </row>
    <row r="174" customFormat="false" ht="15" hidden="false" customHeight="false" outlineLevel="0" collapsed="false">
      <c r="A174" s="33" t="str">
        <f aca="false">IF(ROWS($A$7:A174)&gt;COUNT(Purchase_Register!$BM$6:$BM$205),"",ROWS($A$7:A174))</f>
        <v/>
      </c>
      <c r="B174" s="33" t="str">
        <f aca="false">IF($A174="","",MATCH(SMALL(Purchase_Register!$BM$6:$BM$205,$A174),Purchase_Register!$BM$6:$BM$205,0))</f>
        <v/>
      </c>
      <c r="C174" s="46" t="str">
        <f aca="false">IF($B174="","",INDEX(Purchase_Register!$BL$6:$BL$205,$B174)&amp;"")</f>
        <v/>
      </c>
      <c r="D174" s="31" t="str">
        <f aca="false">IF($B174="","",INDEX(Purchase_Register!$A$6:$A$205,$B174)&amp;"")</f>
        <v/>
      </c>
      <c r="E174" s="32" t="str">
        <f aca="false">IF($B174="","",INDEX(Purchase_Register!$E$6:$E$205,$B174)&amp;"")</f>
        <v/>
      </c>
      <c r="F174" s="32" t="str">
        <f aca="false">IF($B174="","",INDEX(Purchase_Register!$M$6:$M$205,$B174)&amp;"")</f>
        <v/>
      </c>
      <c r="G174" s="32" t="str">
        <f aca="false">IF($B174="","",INDEX(Purchase_Register!$C$6:$C$205,$B174)&amp;"")</f>
        <v/>
      </c>
      <c r="H174" s="32" t="str">
        <f aca="false">IF($B174="","",INDEX(Purchase_Register!$BI$6:$BI$205,$B174)&amp;"")</f>
        <v/>
      </c>
      <c r="I174" s="32" t="str">
        <f aca="false">IF($B174="","",INDEX(Purchase_Register!$AX$6:$AX$205,$B174)&amp;"")</f>
        <v/>
      </c>
      <c r="J174" s="47" t="str">
        <f aca="false">IF($B174="","",N(INDEX(Purchase_Register!$AK$6:$AK$205,$B174)))</f>
        <v/>
      </c>
      <c r="K174" s="47" t="str">
        <f aca="false">IF($B174="","",N(INDEX(Purchase_Register!$AL$6:$AL$205,$B174)))</f>
        <v/>
      </c>
      <c r="L174" s="32" t="str">
        <f aca="false">IF($B174="","",INDEX(Purchase_Register!$BK$6:$BK$205,$B174)&amp;"")</f>
        <v/>
      </c>
    </row>
    <row r="175" customFormat="false" ht="15" hidden="false" customHeight="false" outlineLevel="0" collapsed="false">
      <c r="A175" s="33" t="str">
        <f aca="false">IF(ROWS($A$7:A175)&gt;COUNT(Purchase_Register!$BM$6:$BM$205),"",ROWS($A$7:A175))</f>
        <v/>
      </c>
      <c r="B175" s="33" t="str">
        <f aca="false">IF($A175="","",MATCH(SMALL(Purchase_Register!$BM$6:$BM$205,$A175),Purchase_Register!$BM$6:$BM$205,0))</f>
        <v/>
      </c>
      <c r="C175" s="46" t="str">
        <f aca="false">IF($B175="","",INDEX(Purchase_Register!$BL$6:$BL$205,$B175)&amp;"")</f>
        <v/>
      </c>
      <c r="D175" s="31" t="str">
        <f aca="false">IF($B175="","",INDEX(Purchase_Register!$A$6:$A$205,$B175)&amp;"")</f>
        <v/>
      </c>
      <c r="E175" s="32" t="str">
        <f aca="false">IF($B175="","",INDEX(Purchase_Register!$E$6:$E$205,$B175)&amp;"")</f>
        <v/>
      </c>
      <c r="F175" s="32" t="str">
        <f aca="false">IF($B175="","",INDEX(Purchase_Register!$M$6:$M$205,$B175)&amp;"")</f>
        <v/>
      </c>
      <c r="G175" s="32" t="str">
        <f aca="false">IF($B175="","",INDEX(Purchase_Register!$C$6:$C$205,$B175)&amp;"")</f>
        <v/>
      </c>
      <c r="H175" s="32" t="str">
        <f aca="false">IF($B175="","",INDEX(Purchase_Register!$BI$6:$BI$205,$B175)&amp;"")</f>
        <v/>
      </c>
      <c r="I175" s="32" t="str">
        <f aca="false">IF($B175="","",INDEX(Purchase_Register!$AX$6:$AX$205,$B175)&amp;"")</f>
        <v/>
      </c>
      <c r="J175" s="47" t="str">
        <f aca="false">IF($B175="","",N(INDEX(Purchase_Register!$AK$6:$AK$205,$B175)))</f>
        <v/>
      </c>
      <c r="K175" s="47" t="str">
        <f aca="false">IF($B175="","",N(INDEX(Purchase_Register!$AL$6:$AL$205,$B175)))</f>
        <v/>
      </c>
      <c r="L175" s="32" t="str">
        <f aca="false">IF($B175="","",INDEX(Purchase_Register!$BK$6:$BK$205,$B175)&amp;"")</f>
        <v/>
      </c>
    </row>
    <row r="176" customFormat="false" ht="15" hidden="false" customHeight="false" outlineLevel="0" collapsed="false">
      <c r="A176" s="33" t="str">
        <f aca="false">IF(ROWS($A$7:A176)&gt;COUNT(Purchase_Register!$BM$6:$BM$205),"",ROWS($A$7:A176))</f>
        <v/>
      </c>
      <c r="B176" s="33" t="str">
        <f aca="false">IF($A176="","",MATCH(SMALL(Purchase_Register!$BM$6:$BM$205,$A176),Purchase_Register!$BM$6:$BM$205,0))</f>
        <v/>
      </c>
      <c r="C176" s="46" t="str">
        <f aca="false">IF($B176="","",INDEX(Purchase_Register!$BL$6:$BL$205,$B176)&amp;"")</f>
        <v/>
      </c>
      <c r="D176" s="31" t="str">
        <f aca="false">IF($B176="","",INDEX(Purchase_Register!$A$6:$A$205,$B176)&amp;"")</f>
        <v/>
      </c>
      <c r="E176" s="32" t="str">
        <f aca="false">IF($B176="","",INDEX(Purchase_Register!$E$6:$E$205,$B176)&amp;"")</f>
        <v/>
      </c>
      <c r="F176" s="32" t="str">
        <f aca="false">IF($B176="","",INDEX(Purchase_Register!$M$6:$M$205,$B176)&amp;"")</f>
        <v/>
      </c>
      <c r="G176" s="32" t="str">
        <f aca="false">IF($B176="","",INDEX(Purchase_Register!$C$6:$C$205,$B176)&amp;"")</f>
        <v/>
      </c>
      <c r="H176" s="32" t="str">
        <f aca="false">IF($B176="","",INDEX(Purchase_Register!$BI$6:$BI$205,$B176)&amp;"")</f>
        <v/>
      </c>
      <c r="I176" s="32" t="str">
        <f aca="false">IF($B176="","",INDEX(Purchase_Register!$AX$6:$AX$205,$B176)&amp;"")</f>
        <v/>
      </c>
      <c r="J176" s="47" t="str">
        <f aca="false">IF($B176="","",N(INDEX(Purchase_Register!$AK$6:$AK$205,$B176)))</f>
        <v/>
      </c>
      <c r="K176" s="47" t="str">
        <f aca="false">IF($B176="","",N(INDEX(Purchase_Register!$AL$6:$AL$205,$B176)))</f>
        <v/>
      </c>
      <c r="L176" s="32" t="str">
        <f aca="false">IF($B176="","",INDEX(Purchase_Register!$BK$6:$BK$205,$B176)&amp;"")</f>
        <v/>
      </c>
    </row>
    <row r="177" customFormat="false" ht="15" hidden="false" customHeight="false" outlineLevel="0" collapsed="false">
      <c r="A177" s="33" t="str">
        <f aca="false">IF(ROWS($A$7:A177)&gt;COUNT(Purchase_Register!$BM$6:$BM$205),"",ROWS($A$7:A177))</f>
        <v/>
      </c>
      <c r="B177" s="33" t="str">
        <f aca="false">IF($A177="","",MATCH(SMALL(Purchase_Register!$BM$6:$BM$205,$A177),Purchase_Register!$BM$6:$BM$205,0))</f>
        <v/>
      </c>
      <c r="C177" s="46" t="str">
        <f aca="false">IF($B177="","",INDEX(Purchase_Register!$BL$6:$BL$205,$B177)&amp;"")</f>
        <v/>
      </c>
      <c r="D177" s="31" t="str">
        <f aca="false">IF($B177="","",INDEX(Purchase_Register!$A$6:$A$205,$B177)&amp;"")</f>
        <v/>
      </c>
      <c r="E177" s="32" t="str">
        <f aca="false">IF($B177="","",INDEX(Purchase_Register!$E$6:$E$205,$B177)&amp;"")</f>
        <v/>
      </c>
      <c r="F177" s="32" t="str">
        <f aca="false">IF($B177="","",INDEX(Purchase_Register!$M$6:$M$205,$B177)&amp;"")</f>
        <v/>
      </c>
      <c r="G177" s="32" t="str">
        <f aca="false">IF($B177="","",INDEX(Purchase_Register!$C$6:$C$205,$B177)&amp;"")</f>
        <v/>
      </c>
      <c r="H177" s="32" t="str">
        <f aca="false">IF($B177="","",INDEX(Purchase_Register!$BI$6:$BI$205,$B177)&amp;"")</f>
        <v/>
      </c>
      <c r="I177" s="32" t="str">
        <f aca="false">IF($B177="","",INDEX(Purchase_Register!$AX$6:$AX$205,$B177)&amp;"")</f>
        <v/>
      </c>
      <c r="J177" s="47" t="str">
        <f aca="false">IF($B177="","",N(INDEX(Purchase_Register!$AK$6:$AK$205,$B177)))</f>
        <v/>
      </c>
      <c r="K177" s="47" t="str">
        <f aca="false">IF($B177="","",N(INDEX(Purchase_Register!$AL$6:$AL$205,$B177)))</f>
        <v/>
      </c>
      <c r="L177" s="32" t="str">
        <f aca="false">IF($B177="","",INDEX(Purchase_Register!$BK$6:$BK$205,$B177)&amp;"")</f>
        <v/>
      </c>
    </row>
    <row r="178" customFormat="false" ht="15" hidden="false" customHeight="false" outlineLevel="0" collapsed="false">
      <c r="A178" s="33" t="str">
        <f aca="false">IF(ROWS($A$7:A178)&gt;COUNT(Purchase_Register!$BM$6:$BM$205),"",ROWS($A$7:A178))</f>
        <v/>
      </c>
      <c r="B178" s="33" t="str">
        <f aca="false">IF($A178="","",MATCH(SMALL(Purchase_Register!$BM$6:$BM$205,$A178),Purchase_Register!$BM$6:$BM$205,0))</f>
        <v/>
      </c>
      <c r="C178" s="46" t="str">
        <f aca="false">IF($B178="","",INDEX(Purchase_Register!$BL$6:$BL$205,$B178)&amp;"")</f>
        <v/>
      </c>
      <c r="D178" s="31" t="str">
        <f aca="false">IF($B178="","",INDEX(Purchase_Register!$A$6:$A$205,$B178)&amp;"")</f>
        <v/>
      </c>
      <c r="E178" s="32" t="str">
        <f aca="false">IF($B178="","",INDEX(Purchase_Register!$E$6:$E$205,$B178)&amp;"")</f>
        <v/>
      </c>
      <c r="F178" s="32" t="str">
        <f aca="false">IF($B178="","",INDEX(Purchase_Register!$M$6:$M$205,$B178)&amp;"")</f>
        <v/>
      </c>
      <c r="G178" s="32" t="str">
        <f aca="false">IF($B178="","",INDEX(Purchase_Register!$C$6:$C$205,$B178)&amp;"")</f>
        <v/>
      </c>
      <c r="H178" s="32" t="str">
        <f aca="false">IF($B178="","",INDEX(Purchase_Register!$BI$6:$BI$205,$B178)&amp;"")</f>
        <v/>
      </c>
      <c r="I178" s="32" t="str">
        <f aca="false">IF($B178="","",INDEX(Purchase_Register!$AX$6:$AX$205,$B178)&amp;"")</f>
        <v/>
      </c>
      <c r="J178" s="47" t="str">
        <f aca="false">IF($B178="","",N(INDEX(Purchase_Register!$AK$6:$AK$205,$B178)))</f>
        <v/>
      </c>
      <c r="K178" s="47" t="str">
        <f aca="false">IF($B178="","",N(INDEX(Purchase_Register!$AL$6:$AL$205,$B178)))</f>
        <v/>
      </c>
      <c r="L178" s="32" t="str">
        <f aca="false">IF($B178="","",INDEX(Purchase_Register!$BK$6:$BK$205,$B178)&amp;"")</f>
        <v/>
      </c>
    </row>
    <row r="179" customFormat="false" ht="15" hidden="false" customHeight="false" outlineLevel="0" collapsed="false">
      <c r="A179" s="33" t="str">
        <f aca="false">IF(ROWS($A$7:A179)&gt;COUNT(Purchase_Register!$BM$6:$BM$205),"",ROWS($A$7:A179))</f>
        <v/>
      </c>
      <c r="B179" s="33" t="str">
        <f aca="false">IF($A179="","",MATCH(SMALL(Purchase_Register!$BM$6:$BM$205,$A179),Purchase_Register!$BM$6:$BM$205,0))</f>
        <v/>
      </c>
      <c r="C179" s="46" t="str">
        <f aca="false">IF($B179="","",INDEX(Purchase_Register!$BL$6:$BL$205,$B179)&amp;"")</f>
        <v/>
      </c>
      <c r="D179" s="31" t="str">
        <f aca="false">IF($B179="","",INDEX(Purchase_Register!$A$6:$A$205,$B179)&amp;"")</f>
        <v/>
      </c>
      <c r="E179" s="32" t="str">
        <f aca="false">IF($B179="","",INDEX(Purchase_Register!$E$6:$E$205,$B179)&amp;"")</f>
        <v/>
      </c>
      <c r="F179" s="32" t="str">
        <f aca="false">IF($B179="","",INDEX(Purchase_Register!$M$6:$M$205,$B179)&amp;"")</f>
        <v/>
      </c>
      <c r="G179" s="32" t="str">
        <f aca="false">IF($B179="","",INDEX(Purchase_Register!$C$6:$C$205,$B179)&amp;"")</f>
        <v/>
      </c>
      <c r="H179" s="32" t="str">
        <f aca="false">IF($B179="","",INDEX(Purchase_Register!$BI$6:$BI$205,$B179)&amp;"")</f>
        <v/>
      </c>
      <c r="I179" s="32" t="str">
        <f aca="false">IF($B179="","",INDEX(Purchase_Register!$AX$6:$AX$205,$B179)&amp;"")</f>
        <v/>
      </c>
      <c r="J179" s="47" t="str">
        <f aca="false">IF($B179="","",N(INDEX(Purchase_Register!$AK$6:$AK$205,$B179)))</f>
        <v/>
      </c>
      <c r="K179" s="47" t="str">
        <f aca="false">IF($B179="","",N(INDEX(Purchase_Register!$AL$6:$AL$205,$B179)))</f>
        <v/>
      </c>
      <c r="L179" s="32" t="str">
        <f aca="false">IF($B179="","",INDEX(Purchase_Register!$BK$6:$BK$205,$B179)&amp;"")</f>
        <v/>
      </c>
    </row>
    <row r="180" customFormat="false" ht="15" hidden="false" customHeight="false" outlineLevel="0" collapsed="false">
      <c r="A180" s="33" t="str">
        <f aca="false">IF(ROWS($A$7:A180)&gt;COUNT(Purchase_Register!$BM$6:$BM$205),"",ROWS($A$7:A180))</f>
        <v/>
      </c>
      <c r="B180" s="33" t="str">
        <f aca="false">IF($A180="","",MATCH(SMALL(Purchase_Register!$BM$6:$BM$205,$A180),Purchase_Register!$BM$6:$BM$205,0))</f>
        <v/>
      </c>
      <c r="C180" s="46" t="str">
        <f aca="false">IF($B180="","",INDEX(Purchase_Register!$BL$6:$BL$205,$B180)&amp;"")</f>
        <v/>
      </c>
      <c r="D180" s="31" t="str">
        <f aca="false">IF($B180="","",INDEX(Purchase_Register!$A$6:$A$205,$B180)&amp;"")</f>
        <v/>
      </c>
      <c r="E180" s="32" t="str">
        <f aca="false">IF($B180="","",INDEX(Purchase_Register!$E$6:$E$205,$B180)&amp;"")</f>
        <v/>
      </c>
      <c r="F180" s="32" t="str">
        <f aca="false">IF($B180="","",INDEX(Purchase_Register!$M$6:$M$205,$B180)&amp;"")</f>
        <v/>
      </c>
      <c r="G180" s="32" t="str">
        <f aca="false">IF($B180="","",INDEX(Purchase_Register!$C$6:$C$205,$B180)&amp;"")</f>
        <v/>
      </c>
      <c r="H180" s="32" t="str">
        <f aca="false">IF($B180="","",INDEX(Purchase_Register!$BI$6:$BI$205,$B180)&amp;"")</f>
        <v/>
      </c>
      <c r="I180" s="32" t="str">
        <f aca="false">IF($B180="","",INDEX(Purchase_Register!$AX$6:$AX$205,$B180)&amp;"")</f>
        <v/>
      </c>
      <c r="J180" s="47" t="str">
        <f aca="false">IF($B180="","",N(INDEX(Purchase_Register!$AK$6:$AK$205,$B180)))</f>
        <v/>
      </c>
      <c r="K180" s="47" t="str">
        <f aca="false">IF($B180="","",N(INDEX(Purchase_Register!$AL$6:$AL$205,$B180)))</f>
        <v/>
      </c>
      <c r="L180" s="32" t="str">
        <f aca="false">IF($B180="","",INDEX(Purchase_Register!$BK$6:$BK$205,$B180)&amp;"")</f>
        <v/>
      </c>
    </row>
    <row r="181" customFormat="false" ht="15" hidden="false" customHeight="false" outlineLevel="0" collapsed="false">
      <c r="A181" s="33" t="str">
        <f aca="false">IF(ROWS($A$7:A181)&gt;COUNT(Purchase_Register!$BM$6:$BM$205),"",ROWS($A$7:A181))</f>
        <v/>
      </c>
      <c r="B181" s="33" t="str">
        <f aca="false">IF($A181="","",MATCH(SMALL(Purchase_Register!$BM$6:$BM$205,$A181),Purchase_Register!$BM$6:$BM$205,0))</f>
        <v/>
      </c>
      <c r="C181" s="46" t="str">
        <f aca="false">IF($B181="","",INDEX(Purchase_Register!$BL$6:$BL$205,$B181)&amp;"")</f>
        <v/>
      </c>
      <c r="D181" s="31" t="str">
        <f aca="false">IF($B181="","",INDEX(Purchase_Register!$A$6:$A$205,$B181)&amp;"")</f>
        <v/>
      </c>
      <c r="E181" s="32" t="str">
        <f aca="false">IF($B181="","",INDEX(Purchase_Register!$E$6:$E$205,$B181)&amp;"")</f>
        <v/>
      </c>
      <c r="F181" s="32" t="str">
        <f aca="false">IF($B181="","",INDEX(Purchase_Register!$M$6:$M$205,$B181)&amp;"")</f>
        <v/>
      </c>
      <c r="G181" s="32" t="str">
        <f aca="false">IF($B181="","",INDEX(Purchase_Register!$C$6:$C$205,$B181)&amp;"")</f>
        <v/>
      </c>
      <c r="H181" s="32" t="str">
        <f aca="false">IF($B181="","",INDEX(Purchase_Register!$BI$6:$BI$205,$B181)&amp;"")</f>
        <v/>
      </c>
      <c r="I181" s="32" t="str">
        <f aca="false">IF($B181="","",INDEX(Purchase_Register!$AX$6:$AX$205,$B181)&amp;"")</f>
        <v/>
      </c>
      <c r="J181" s="47" t="str">
        <f aca="false">IF($B181="","",N(INDEX(Purchase_Register!$AK$6:$AK$205,$B181)))</f>
        <v/>
      </c>
      <c r="K181" s="47" t="str">
        <f aca="false">IF($B181="","",N(INDEX(Purchase_Register!$AL$6:$AL$205,$B181)))</f>
        <v/>
      </c>
      <c r="L181" s="32" t="str">
        <f aca="false">IF($B181="","",INDEX(Purchase_Register!$BK$6:$BK$205,$B181)&amp;"")</f>
        <v/>
      </c>
    </row>
    <row r="182" customFormat="false" ht="15" hidden="false" customHeight="false" outlineLevel="0" collapsed="false">
      <c r="A182" s="33" t="str">
        <f aca="false">IF(ROWS($A$7:A182)&gt;COUNT(Purchase_Register!$BM$6:$BM$205),"",ROWS($A$7:A182))</f>
        <v/>
      </c>
      <c r="B182" s="33" t="str">
        <f aca="false">IF($A182="","",MATCH(SMALL(Purchase_Register!$BM$6:$BM$205,$A182),Purchase_Register!$BM$6:$BM$205,0))</f>
        <v/>
      </c>
      <c r="C182" s="46" t="str">
        <f aca="false">IF($B182="","",INDEX(Purchase_Register!$BL$6:$BL$205,$B182)&amp;"")</f>
        <v/>
      </c>
      <c r="D182" s="31" t="str">
        <f aca="false">IF($B182="","",INDEX(Purchase_Register!$A$6:$A$205,$B182)&amp;"")</f>
        <v/>
      </c>
      <c r="E182" s="32" t="str">
        <f aca="false">IF($B182="","",INDEX(Purchase_Register!$E$6:$E$205,$B182)&amp;"")</f>
        <v/>
      </c>
      <c r="F182" s="32" t="str">
        <f aca="false">IF($B182="","",INDEX(Purchase_Register!$M$6:$M$205,$B182)&amp;"")</f>
        <v/>
      </c>
      <c r="G182" s="32" t="str">
        <f aca="false">IF($B182="","",INDEX(Purchase_Register!$C$6:$C$205,$B182)&amp;"")</f>
        <v/>
      </c>
      <c r="H182" s="32" t="str">
        <f aca="false">IF($B182="","",INDEX(Purchase_Register!$BI$6:$BI$205,$B182)&amp;"")</f>
        <v/>
      </c>
      <c r="I182" s="32" t="str">
        <f aca="false">IF($B182="","",INDEX(Purchase_Register!$AX$6:$AX$205,$B182)&amp;"")</f>
        <v/>
      </c>
      <c r="J182" s="47" t="str">
        <f aca="false">IF($B182="","",N(INDEX(Purchase_Register!$AK$6:$AK$205,$B182)))</f>
        <v/>
      </c>
      <c r="K182" s="47" t="str">
        <f aca="false">IF($B182="","",N(INDEX(Purchase_Register!$AL$6:$AL$205,$B182)))</f>
        <v/>
      </c>
      <c r="L182" s="32" t="str">
        <f aca="false">IF($B182="","",INDEX(Purchase_Register!$BK$6:$BK$205,$B182)&amp;"")</f>
        <v/>
      </c>
    </row>
    <row r="183" customFormat="false" ht="15" hidden="false" customHeight="false" outlineLevel="0" collapsed="false">
      <c r="A183" s="33" t="str">
        <f aca="false">IF(ROWS($A$7:A183)&gt;COUNT(Purchase_Register!$BM$6:$BM$205),"",ROWS($A$7:A183))</f>
        <v/>
      </c>
      <c r="B183" s="33" t="str">
        <f aca="false">IF($A183="","",MATCH(SMALL(Purchase_Register!$BM$6:$BM$205,$A183),Purchase_Register!$BM$6:$BM$205,0))</f>
        <v/>
      </c>
      <c r="C183" s="46" t="str">
        <f aca="false">IF($B183="","",INDEX(Purchase_Register!$BL$6:$BL$205,$B183)&amp;"")</f>
        <v/>
      </c>
      <c r="D183" s="31" t="str">
        <f aca="false">IF($B183="","",INDEX(Purchase_Register!$A$6:$A$205,$B183)&amp;"")</f>
        <v/>
      </c>
      <c r="E183" s="32" t="str">
        <f aca="false">IF($B183="","",INDEX(Purchase_Register!$E$6:$E$205,$B183)&amp;"")</f>
        <v/>
      </c>
      <c r="F183" s="32" t="str">
        <f aca="false">IF($B183="","",INDEX(Purchase_Register!$M$6:$M$205,$B183)&amp;"")</f>
        <v/>
      </c>
      <c r="G183" s="32" t="str">
        <f aca="false">IF($B183="","",INDEX(Purchase_Register!$C$6:$C$205,$B183)&amp;"")</f>
        <v/>
      </c>
      <c r="H183" s="32" t="str">
        <f aca="false">IF($B183="","",INDEX(Purchase_Register!$BI$6:$BI$205,$B183)&amp;"")</f>
        <v/>
      </c>
      <c r="I183" s="32" t="str">
        <f aca="false">IF($B183="","",INDEX(Purchase_Register!$AX$6:$AX$205,$B183)&amp;"")</f>
        <v/>
      </c>
      <c r="J183" s="47" t="str">
        <f aca="false">IF($B183="","",N(INDEX(Purchase_Register!$AK$6:$AK$205,$B183)))</f>
        <v/>
      </c>
      <c r="K183" s="47" t="str">
        <f aca="false">IF($B183="","",N(INDEX(Purchase_Register!$AL$6:$AL$205,$B183)))</f>
        <v/>
      </c>
      <c r="L183" s="32" t="str">
        <f aca="false">IF($B183="","",INDEX(Purchase_Register!$BK$6:$BK$205,$B183)&amp;"")</f>
        <v/>
      </c>
    </row>
    <row r="184" customFormat="false" ht="15" hidden="false" customHeight="false" outlineLevel="0" collapsed="false">
      <c r="A184" s="33" t="str">
        <f aca="false">IF(ROWS($A$7:A184)&gt;COUNT(Purchase_Register!$BM$6:$BM$205),"",ROWS($A$7:A184))</f>
        <v/>
      </c>
      <c r="B184" s="33" t="str">
        <f aca="false">IF($A184="","",MATCH(SMALL(Purchase_Register!$BM$6:$BM$205,$A184),Purchase_Register!$BM$6:$BM$205,0))</f>
        <v/>
      </c>
      <c r="C184" s="46" t="str">
        <f aca="false">IF($B184="","",INDEX(Purchase_Register!$BL$6:$BL$205,$B184)&amp;"")</f>
        <v/>
      </c>
      <c r="D184" s="31" t="str">
        <f aca="false">IF($B184="","",INDEX(Purchase_Register!$A$6:$A$205,$B184)&amp;"")</f>
        <v/>
      </c>
      <c r="E184" s="32" t="str">
        <f aca="false">IF($B184="","",INDEX(Purchase_Register!$E$6:$E$205,$B184)&amp;"")</f>
        <v/>
      </c>
      <c r="F184" s="32" t="str">
        <f aca="false">IF($B184="","",INDEX(Purchase_Register!$M$6:$M$205,$B184)&amp;"")</f>
        <v/>
      </c>
      <c r="G184" s="32" t="str">
        <f aca="false">IF($B184="","",INDEX(Purchase_Register!$C$6:$C$205,$B184)&amp;"")</f>
        <v/>
      </c>
      <c r="H184" s="32" t="str">
        <f aca="false">IF($B184="","",INDEX(Purchase_Register!$BI$6:$BI$205,$B184)&amp;"")</f>
        <v/>
      </c>
      <c r="I184" s="32" t="str">
        <f aca="false">IF($B184="","",INDEX(Purchase_Register!$AX$6:$AX$205,$B184)&amp;"")</f>
        <v/>
      </c>
      <c r="J184" s="47" t="str">
        <f aca="false">IF($B184="","",N(INDEX(Purchase_Register!$AK$6:$AK$205,$B184)))</f>
        <v/>
      </c>
      <c r="K184" s="47" t="str">
        <f aca="false">IF($B184="","",N(INDEX(Purchase_Register!$AL$6:$AL$205,$B184)))</f>
        <v/>
      </c>
      <c r="L184" s="32" t="str">
        <f aca="false">IF($B184="","",INDEX(Purchase_Register!$BK$6:$BK$205,$B184)&amp;"")</f>
        <v/>
      </c>
    </row>
    <row r="185" customFormat="false" ht="15" hidden="false" customHeight="false" outlineLevel="0" collapsed="false">
      <c r="A185" s="33" t="str">
        <f aca="false">IF(ROWS($A$7:A185)&gt;COUNT(Purchase_Register!$BM$6:$BM$205),"",ROWS($A$7:A185))</f>
        <v/>
      </c>
      <c r="B185" s="33" t="str">
        <f aca="false">IF($A185="","",MATCH(SMALL(Purchase_Register!$BM$6:$BM$205,$A185),Purchase_Register!$BM$6:$BM$205,0))</f>
        <v/>
      </c>
      <c r="C185" s="46" t="str">
        <f aca="false">IF($B185="","",INDEX(Purchase_Register!$BL$6:$BL$205,$B185)&amp;"")</f>
        <v/>
      </c>
      <c r="D185" s="31" t="str">
        <f aca="false">IF($B185="","",INDEX(Purchase_Register!$A$6:$A$205,$B185)&amp;"")</f>
        <v/>
      </c>
      <c r="E185" s="32" t="str">
        <f aca="false">IF($B185="","",INDEX(Purchase_Register!$E$6:$E$205,$B185)&amp;"")</f>
        <v/>
      </c>
      <c r="F185" s="32" t="str">
        <f aca="false">IF($B185="","",INDEX(Purchase_Register!$M$6:$M$205,$B185)&amp;"")</f>
        <v/>
      </c>
      <c r="G185" s="32" t="str">
        <f aca="false">IF($B185="","",INDEX(Purchase_Register!$C$6:$C$205,$B185)&amp;"")</f>
        <v/>
      </c>
      <c r="H185" s="32" t="str">
        <f aca="false">IF($B185="","",INDEX(Purchase_Register!$BI$6:$BI$205,$B185)&amp;"")</f>
        <v/>
      </c>
      <c r="I185" s="32" t="str">
        <f aca="false">IF($B185="","",INDEX(Purchase_Register!$AX$6:$AX$205,$B185)&amp;"")</f>
        <v/>
      </c>
      <c r="J185" s="47" t="str">
        <f aca="false">IF($B185="","",N(INDEX(Purchase_Register!$AK$6:$AK$205,$B185)))</f>
        <v/>
      </c>
      <c r="K185" s="47" t="str">
        <f aca="false">IF($B185="","",N(INDEX(Purchase_Register!$AL$6:$AL$205,$B185)))</f>
        <v/>
      </c>
      <c r="L185" s="32" t="str">
        <f aca="false">IF($B185="","",INDEX(Purchase_Register!$BK$6:$BK$205,$B185)&amp;"")</f>
        <v/>
      </c>
    </row>
    <row r="186" customFormat="false" ht="15" hidden="false" customHeight="false" outlineLevel="0" collapsed="false">
      <c r="A186" s="33" t="str">
        <f aca="false">IF(ROWS($A$7:A186)&gt;COUNT(Purchase_Register!$BM$6:$BM$205),"",ROWS($A$7:A186))</f>
        <v/>
      </c>
      <c r="B186" s="33" t="str">
        <f aca="false">IF($A186="","",MATCH(SMALL(Purchase_Register!$BM$6:$BM$205,$A186),Purchase_Register!$BM$6:$BM$205,0))</f>
        <v/>
      </c>
      <c r="C186" s="46" t="str">
        <f aca="false">IF($B186="","",INDEX(Purchase_Register!$BL$6:$BL$205,$B186)&amp;"")</f>
        <v/>
      </c>
      <c r="D186" s="31" t="str">
        <f aca="false">IF($B186="","",INDEX(Purchase_Register!$A$6:$A$205,$B186)&amp;"")</f>
        <v/>
      </c>
      <c r="E186" s="32" t="str">
        <f aca="false">IF($B186="","",INDEX(Purchase_Register!$E$6:$E$205,$B186)&amp;"")</f>
        <v/>
      </c>
      <c r="F186" s="32" t="str">
        <f aca="false">IF($B186="","",INDEX(Purchase_Register!$M$6:$M$205,$B186)&amp;"")</f>
        <v/>
      </c>
      <c r="G186" s="32" t="str">
        <f aca="false">IF($B186="","",INDEX(Purchase_Register!$C$6:$C$205,$B186)&amp;"")</f>
        <v/>
      </c>
      <c r="H186" s="32" t="str">
        <f aca="false">IF($B186="","",INDEX(Purchase_Register!$BI$6:$BI$205,$B186)&amp;"")</f>
        <v/>
      </c>
      <c r="I186" s="32" t="str">
        <f aca="false">IF($B186="","",INDEX(Purchase_Register!$AX$6:$AX$205,$B186)&amp;"")</f>
        <v/>
      </c>
      <c r="J186" s="47" t="str">
        <f aca="false">IF($B186="","",N(INDEX(Purchase_Register!$AK$6:$AK$205,$B186)))</f>
        <v/>
      </c>
      <c r="K186" s="47" t="str">
        <f aca="false">IF($B186="","",N(INDEX(Purchase_Register!$AL$6:$AL$205,$B186)))</f>
        <v/>
      </c>
      <c r="L186" s="32" t="str">
        <f aca="false">IF($B186="","",INDEX(Purchase_Register!$BK$6:$BK$205,$B186)&amp;"")</f>
        <v/>
      </c>
    </row>
    <row r="187" customFormat="false" ht="15" hidden="false" customHeight="false" outlineLevel="0" collapsed="false">
      <c r="A187" s="33" t="str">
        <f aca="false">IF(ROWS($A$7:A187)&gt;COUNT(Purchase_Register!$BM$6:$BM$205),"",ROWS($A$7:A187))</f>
        <v/>
      </c>
      <c r="B187" s="33" t="str">
        <f aca="false">IF($A187="","",MATCH(SMALL(Purchase_Register!$BM$6:$BM$205,$A187),Purchase_Register!$BM$6:$BM$205,0))</f>
        <v/>
      </c>
      <c r="C187" s="46" t="str">
        <f aca="false">IF($B187="","",INDEX(Purchase_Register!$BL$6:$BL$205,$B187)&amp;"")</f>
        <v/>
      </c>
      <c r="D187" s="31" t="str">
        <f aca="false">IF($B187="","",INDEX(Purchase_Register!$A$6:$A$205,$B187)&amp;"")</f>
        <v/>
      </c>
      <c r="E187" s="32" t="str">
        <f aca="false">IF($B187="","",INDEX(Purchase_Register!$E$6:$E$205,$B187)&amp;"")</f>
        <v/>
      </c>
      <c r="F187" s="32" t="str">
        <f aca="false">IF($B187="","",INDEX(Purchase_Register!$M$6:$M$205,$B187)&amp;"")</f>
        <v/>
      </c>
      <c r="G187" s="32" t="str">
        <f aca="false">IF($B187="","",INDEX(Purchase_Register!$C$6:$C$205,$B187)&amp;"")</f>
        <v/>
      </c>
      <c r="H187" s="32" t="str">
        <f aca="false">IF($B187="","",INDEX(Purchase_Register!$BI$6:$BI$205,$B187)&amp;"")</f>
        <v/>
      </c>
      <c r="I187" s="32" t="str">
        <f aca="false">IF($B187="","",INDEX(Purchase_Register!$AX$6:$AX$205,$B187)&amp;"")</f>
        <v/>
      </c>
      <c r="J187" s="47" t="str">
        <f aca="false">IF($B187="","",N(INDEX(Purchase_Register!$AK$6:$AK$205,$B187)))</f>
        <v/>
      </c>
      <c r="K187" s="47" t="str">
        <f aca="false">IF($B187="","",N(INDEX(Purchase_Register!$AL$6:$AL$205,$B187)))</f>
        <v/>
      </c>
      <c r="L187" s="32" t="str">
        <f aca="false">IF($B187="","",INDEX(Purchase_Register!$BK$6:$BK$205,$B187)&amp;"")</f>
        <v/>
      </c>
    </row>
    <row r="188" customFormat="false" ht="15" hidden="false" customHeight="false" outlineLevel="0" collapsed="false">
      <c r="A188" s="33" t="str">
        <f aca="false">IF(ROWS($A$7:A188)&gt;COUNT(Purchase_Register!$BM$6:$BM$205),"",ROWS($A$7:A188))</f>
        <v/>
      </c>
      <c r="B188" s="33" t="str">
        <f aca="false">IF($A188="","",MATCH(SMALL(Purchase_Register!$BM$6:$BM$205,$A188),Purchase_Register!$BM$6:$BM$205,0))</f>
        <v/>
      </c>
      <c r="C188" s="46" t="str">
        <f aca="false">IF($B188="","",INDEX(Purchase_Register!$BL$6:$BL$205,$B188)&amp;"")</f>
        <v/>
      </c>
      <c r="D188" s="31" t="str">
        <f aca="false">IF($B188="","",INDEX(Purchase_Register!$A$6:$A$205,$B188)&amp;"")</f>
        <v/>
      </c>
      <c r="E188" s="32" t="str">
        <f aca="false">IF($B188="","",INDEX(Purchase_Register!$E$6:$E$205,$B188)&amp;"")</f>
        <v/>
      </c>
      <c r="F188" s="32" t="str">
        <f aca="false">IF($B188="","",INDEX(Purchase_Register!$M$6:$M$205,$B188)&amp;"")</f>
        <v/>
      </c>
      <c r="G188" s="32" t="str">
        <f aca="false">IF($B188="","",INDEX(Purchase_Register!$C$6:$C$205,$B188)&amp;"")</f>
        <v/>
      </c>
      <c r="H188" s="32" t="str">
        <f aca="false">IF($B188="","",INDEX(Purchase_Register!$BI$6:$BI$205,$B188)&amp;"")</f>
        <v/>
      </c>
      <c r="I188" s="32" t="str">
        <f aca="false">IF($B188="","",INDEX(Purchase_Register!$AX$6:$AX$205,$B188)&amp;"")</f>
        <v/>
      </c>
      <c r="J188" s="47" t="str">
        <f aca="false">IF($B188="","",N(INDEX(Purchase_Register!$AK$6:$AK$205,$B188)))</f>
        <v/>
      </c>
      <c r="K188" s="47" t="str">
        <f aca="false">IF($B188="","",N(INDEX(Purchase_Register!$AL$6:$AL$205,$B188)))</f>
        <v/>
      </c>
      <c r="L188" s="32" t="str">
        <f aca="false">IF($B188="","",INDEX(Purchase_Register!$BK$6:$BK$205,$B188)&amp;"")</f>
        <v/>
      </c>
    </row>
    <row r="189" customFormat="false" ht="15" hidden="false" customHeight="false" outlineLevel="0" collapsed="false">
      <c r="A189" s="33" t="str">
        <f aca="false">IF(ROWS($A$7:A189)&gt;COUNT(Purchase_Register!$BM$6:$BM$205),"",ROWS($A$7:A189))</f>
        <v/>
      </c>
      <c r="B189" s="33" t="str">
        <f aca="false">IF($A189="","",MATCH(SMALL(Purchase_Register!$BM$6:$BM$205,$A189),Purchase_Register!$BM$6:$BM$205,0))</f>
        <v/>
      </c>
      <c r="C189" s="46" t="str">
        <f aca="false">IF($B189="","",INDEX(Purchase_Register!$BL$6:$BL$205,$B189)&amp;"")</f>
        <v/>
      </c>
      <c r="D189" s="31" t="str">
        <f aca="false">IF($B189="","",INDEX(Purchase_Register!$A$6:$A$205,$B189)&amp;"")</f>
        <v/>
      </c>
      <c r="E189" s="32" t="str">
        <f aca="false">IF($B189="","",INDEX(Purchase_Register!$E$6:$E$205,$B189)&amp;"")</f>
        <v/>
      </c>
      <c r="F189" s="32" t="str">
        <f aca="false">IF($B189="","",INDEX(Purchase_Register!$M$6:$M$205,$B189)&amp;"")</f>
        <v/>
      </c>
      <c r="G189" s="32" t="str">
        <f aca="false">IF($B189="","",INDEX(Purchase_Register!$C$6:$C$205,$B189)&amp;"")</f>
        <v/>
      </c>
      <c r="H189" s="32" t="str">
        <f aca="false">IF($B189="","",INDEX(Purchase_Register!$BI$6:$BI$205,$B189)&amp;"")</f>
        <v/>
      </c>
      <c r="I189" s="32" t="str">
        <f aca="false">IF($B189="","",INDEX(Purchase_Register!$AX$6:$AX$205,$B189)&amp;"")</f>
        <v/>
      </c>
      <c r="J189" s="47" t="str">
        <f aca="false">IF($B189="","",N(INDEX(Purchase_Register!$AK$6:$AK$205,$B189)))</f>
        <v/>
      </c>
      <c r="K189" s="47" t="str">
        <f aca="false">IF($B189="","",N(INDEX(Purchase_Register!$AL$6:$AL$205,$B189)))</f>
        <v/>
      </c>
      <c r="L189" s="32" t="str">
        <f aca="false">IF($B189="","",INDEX(Purchase_Register!$BK$6:$BK$205,$B189)&amp;"")</f>
        <v/>
      </c>
    </row>
    <row r="190" customFormat="false" ht="15" hidden="false" customHeight="false" outlineLevel="0" collapsed="false">
      <c r="A190" s="33" t="str">
        <f aca="false">IF(ROWS($A$7:A190)&gt;COUNT(Purchase_Register!$BM$6:$BM$205),"",ROWS($A$7:A190))</f>
        <v/>
      </c>
      <c r="B190" s="33" t="str">
        <f aca="false">IF($A190="","",MATCH(SMALL(Purchase_Register!$BM$6:$BM$205,$A190),Purchase_Register!$BM$6:$BM$205,0))</f>
        <v/>
      </c>
      <c r="C190" s="46" t="str">
        <f aca="false">IF($B190="","",INDEX(Purchase_Register!$BL$6:$BL$205,$B190)&amp;"")</f>
        <v/>
      </c>
      <c r="D190" s="31" t="str">
        <f aca="false">IF($B190="","",INDEX(Purchase_Register!$A$6:$A$205,$B190)&amp;"")</f>
        <v/>
      </c>
      <c r="E190" s="32" t="str">
        <f aca="false">IF($B190="","",INDEX(Purchase_Register!$E$6:$E$205,$B190)&amp;"")</f>
        <v/>
      </c>
      <c r="F190" s="32" t="str">
        <f aca="false">IF($B190="","",INDEX(Purchase_Register!$M$6:$M$205,$B190)&amp;"")</f>
        <v/>
      </c>
      <c r="G190" s="32" t="str">
        <f aca="false">IF($B190="","",INDEX(Purchase_Register!$C$6:$C$205,$B190)&amp;"")</f>
        <v/>
      </c>
      <c r="H190" s="32" t="str">
        <f aca="false">IF($B190="","",INDEX(Purchase_Register!$BI$6:$BI$205,$B190)&amp;"")</f>
        <v/>
      </c>
      <c r="I190" s="32" t="str">
        <f aca="false">IF($B190="","",INDEX(Purchase_Register!$AX$6:$AX$205,$B190)&amp;"")</f>
        <v/>
      </c>
      <c r="J190" s="47" t="str">
        <f aca="false">IF($B190="","",N(INDEX(Purchase_Register!$AK$6:$AK$205,$B190)))</f>
        <v/>
      </c>
      <c r="K190" s="47" t="str">
        <f aca="false">IF($B190="","",N(INDEX(Purchase_Register!$AL$6:$AL$205,$B190)))</f>
        <v/>
      </c>
      <c r="L190" s="32" t="str">
        <f aca="false">IF($B190="","",INDEX(Purchase_Register!$BK$6:$BK$205,$B190)&amp;"")</f>
        <v/>
      </c>
    </row>
    <row r="191" customFormat="false" ht="15" hidden="false" customHeight="false" outlineLevel="0" collapsed="false">
      <c r="A191" s="33" t="str">
        <f aca="false">IF(ROWS($A$7:A191)&gt;COUNT(Purchase_Register!$BM$6:$BM$205),"",ROWS($A$7:A191))</f>
        <v/>
      </c>
      <c r="B191" s="33" t="str">
        <f aca="false">IF($A191="","",MATCH(SMALL(Purchase_Register!$BM$6:$BM$205,$A191),Purchase_Register!$BM$6:$BM$205,0))</f>
        <v/>
      </c>
      <c r="C191" s="46" t="str">
        <f aca="false">IF($B191="","",INDEX(Purchase_Register!$BL$6:$BL$205,$B191)&amp;"")</f>
        <v/>
      </c>
      <c r="D191" s="31" t="str">
        <f aca="false">IF($B191="","",INDEX(Purchase_Register!$A$6:$A$205,$B191)&amp;"")</f>
        <v/>
      </c>
      <c r="E191" s="32" t="str">
        <f aca="false">IF($B191="","",INDEX(Purchase_Register!$E$6:$E$205,$B191)&amp;"")</f>
        <v/>
      </c>
      <c r="F191" s="32" t="str">
        <f aca="false">IF($B191="","",INDEX(Purchase_Register!$M$6:$M$205,$B191)&amp;"")</f>
        <v/>
      </c>
      <c r="G191" s="32" t="str">
        <f aca="false">IF($B191="","",INDEX(Purchase_Register!$C$6:$C$205,$B191)&amp;"")</f>
        <v/>
      </c>
      <c r="H191" s="32" t="str">
        <f aca="false">IF($B191="","",INDEX(Purchase_Register!$BI$6:$BI$205,$B191)&amp;"")</f>
        <v/>
      </c>
      <c r="I191" s="32" t="str">
        <f aca="false">IF($B191="","",INDEX(Purchase_Register!$AX$6:$AX$205,$B191)&amp;"")</f>
        <v/>
      </c>
      <c r="J191" s="47" t="str">
        <f aca="false">IF($B191="","",N(INDEX(Purchase_Register!$AK$6:$AK$205,$B191)))</f>
        <v/>
      </c>
      <c r="K191" s="47" t="str">
        <f aca="false">IF($B191="","",N(INDEX(Purchase_Register!$AL$6:$AL$205,$B191)))</f>
        <v/>
      </c>
      <c r="L191" s="32" t="str">
        <f aca="false">IF($B191="","",INDEX(Purchase_Register!$BK$6:$BK$205,$B191)&amp;"")</f>
        <v/>
      </c>
    </row>
    <row r="192" customFormat="false" ht="15" hidden="false" customHeight="false" outlineLevel="0" collapsed="false">
      <c r="A192" s="33" t="str">
        <f aca="false">IF(ROWS($A$7:A192)&gt;COUNT(Purchase_Register!$BM$6:$BM$205),"",ROWS($A$7:A192))</f>
        <v/>
      </c>
      <c r="B192" s="33" t="str">
        <f aca="false">IF($A192="","",MATCH(SMALL(Purchase_Register!$BM$6:$BM$205,$A192),Purchase_Register!$BM$6:$BM$205,0))</f>
        <v/>
      </c>
      <c r="C192" s="46" t="str">
        <f aca="false">IF($B192="","",INDEX(Purchase_Register!$BL$6:$BL$205,$B192)&amp;"")</f>
        <v/>
      </c>
      <c r="D192" s="31" t="str">
        <f aca="false">IF($B192="","",INDEX(Purchase_Register!$A$6:$A$205,$B192)&amp;"")</f>
        <v/>
      </c>
      <c r="E192" s="32" t="str">
        <f aca="false">IF($B192="","",INDEX(Purchase_Register!$E$6:$E$205,$B192)&amp;"")</f>
        <v/>
      </c>
      <c r="F192" s="32" t="str">
        <f aca="false">IF($B192="","",INDEX(Purchase_Register!$M$6:$M$205,$B192)&amp;"")</f>
        <v/>
      </c>
      <c r="G192" s="32" t="str">
        <f aca="false">IF($B192="","",INDEX(Purchase_Register!$C$6:$C$205,$B192)&amp;"")</f>
        <v/>
      </c>
      <c r="H192" s="32" t="str">
        <f aca="false">IF($B192="","",INDEX(Purchase_Register!$BI$6:$BI$205,$B192)&amp;"")</f>
        <v/>
      </c>
      <c r="I192" s="32" t="str">
        <f aca="false">IF($B192="","",INDEX(Purchase_Register!$AX$6:$AX$205,$B192)&amp;"")</f>
        <v/>
      </c>
      <c r="J192" s="47" t="str">
        <f aca="false">IF($B192="","",N(INDEX(Purchase_Register!$AK$6:$AK$205,$B192)))</f>
        <v/>
      </c>
      <c r="K192" s="47" t="str">
        <f aca="false">IF($B192="","",N(INDEX(Purchase_Register!$AL$6:$AL$205,$B192)))</f>
        <v/>
      </c>
      <c r="L192" s="32" t="str">
        <f aca="false">IF($B192="","",INDEX(Purchase_Register!$BK$6:$BK$205,$B192)&amp;"")</f>
        <v/>
      </c>
    </row>
    <row r="193" customFormat="false" ht="15" hidden="false" customHeight="false" outlineLevel="0" collapsed="false">
      <c r="A193" s="33" t="str">
        <f aca="false">IF(ROWS($A$7:A193)&gt;COUNT(Purchase_Register!$BM$6:$BM$205),"",ROWS($A$7:A193))</f>
        <v/>
      </c>
      <c r="B193" s="33" t="str">
        <f aca="false">IF($A193="","",MATCH(SMALL(Purchase_Register!$BM$6:$BM$205,$A193),Purchase_Register!$BM$6:$BM$205,0))</f>
        <v/>
      </c>
      <c r="C193" s="46" t="str">
        <f aca="false">IF($B193="","",INDEX(Purchase_Register!$BL$6:$BL$205,$B193)&amp;"")</f>
        <v/>
      </c>
      <c r="D193" s="31" t="str">
        <f aca="false">IF($B193="","",INDEX(Purchase_Register!$A$6:$A$205,$B193)&amp;"")</f>
        <v/>
      </c>
      <c r="E193" s="32" t="str">
        <f aca="false">IF($B193="","",INDEX(Purchase_Register!$E$6:$E$205,$B193)&amp;"")</f>
        <v/>
      </c>
      <c r="F193" s="32" t="str">
        <f aca="false">IF($B193="","",INDEX(Purchase_Register!$M$6:$M$205,$B193)&amp;"")</f>
        <v/>
      </c>
      <c r="G193" s="32" t="str">
        <f aca="false">IF($B193="","",INDEX(Purchase_Register!$C$6:$C$205,$B193)&amp;"")</f>
        <v/>
      </c>
      <c r="H193" s="32" t="str">
        <f aca="false">IF($B193="","",INDEX(Purchase_Register!$BI$6:$BI$205,$B193)&amp;"")</f>
        <v/>
      </c>
      <c r="I193" s="32" t="str">
        <f aca="false">IF($B193="","",INDEX(Purchase_Register!$AX$6:$AX$205,$B193)&amp;"")</f>
        <v/>
      </c>
      <c r="J193" s="47" t="str">
        <f aca="false">IF($B193="","",N(INDEX(Purchase_Register!$AK$6:$AK$205,$B193)))</f>
        <v/>
      </c>
      <c r="K193" s="47" t="str">
        <f aca="false">IF($B193="","",N(INDEX(Purchase_Register!$AL$6:$AL$205,$B193)))</f>
        <v/>
      </c>
      <c r="L193" s="32" t="str">
        <f aca="false">IF($B193="","",INDEX(Purchase_Register!$BK$6:$BK$205,$B193)&amp;"")</f>
        <v/>
      </c>
    </row>
    <row r="194" customFormat="false" ht="15" hidden="false" customHeight="false" outlineLevel="0" collapsed="false">
      <c r="A194" s="33" t="str">
        <f aca="false">IF(ROWS($A$7:A194)&gt;COUNT(Purchase_Register!$BM$6:$BM$205),"",ROWS($A$7:A194))</f>
        <v/>
      </c>
      <c r="B194" s="33" t="str">
        <f aca="false">IF($A194="","",MATCH(SMALL(Purchase_Register!$BM$6:$BM$205,$A194),Purchase_Register!$BM$6:$BM$205,0))</f>
        <v/>
      </c>
      <c r="C194" s="46" t="str">
        <f aca="false">IF($B194="","",INDEX(Purchase_Register!$BL$6:$BL$205,$B194)&amp;"")</f>
        <v/>
      </c>
      <c r="D194" s="31" t="str">
        <f aca="false">IF($B194="","",INDEX(Purchase_Register!$A$6:$A$205,$B194)&amp;"")</f>
        <v/>
      </c>
      <c r="E194" s="32" t="str">
        <f aca="false">IF($B194="","",INDEX(Purchase_Register!$E$6:$E$205,$B194)&amp;"")</f>
        <v/>
      </c>
      <c r="F194" s="32" t="str">
        <f aca="false">IF($B194="","",INDEX(Purchase_Register!$M$6:$M$205,$B194)&amp;"")</f>
        <v/>
      </c>
      <c r="G194" s="32" t="str">
        <f aca="false">IF($B194="","",INDEX(Purchase_Register!$C$6:$C$205,$B194)&amp;"")</f>
        <v/>
      </c>
      <c r="H194" s="32" t="str">
        <f aca="false">IF($B194="","",INDEX(Purchase_Register!$BI$6:$BI$205,$B194)&amp;"")</f>
        <v/>
      </c>
      <c r="I194" s="32" t="str">
        <f aca="false">IF($B194="","",INDEX(Purchase_Register!$AX$6:$AX$205,$B194)&amp;"")</f>
        <v/>
      </c>
      <c r="J194" s="47" t="str">
        <f aca="false">IF($B194="","",N(INDEX(Purchase_Register!$AK$6:$AK$205,$B194)))</f>
        <v/>
      </c>
      <c r="K194" s="47" t="str">
        <f aca="false">IF($B194="","",N(INDEX(Purchase_Register!$AL$6:$AL$205,$B194)))</f>
        <v/>
      </c>
      <c r="L194" s="32" t="str">
        <f aca="false">IF($B194="","",INDEX(Purchase_Register!$BK$6:$BK$205,$B194)&amp;"")</f>
        <v/>
      </c>
    </row>
    <row r="195" customFormat="false" ht="15" hidden="false" customHeight="false" outlineLevel="0" collapsed="false">
      <c r="A195" s="33" t="str">
        <f aca="false">IF(ROWS($A$7:A195)&gt;COUNT(Purchase_Register!$BM$6:$BM$205),"",ROWS($A$7:A195))</f>
        <v/>
      </c>
      <c r="B195" s="33" t="str">
        <f aca="false">IF($A195="","",MATCH(SMALL(Purchase_Register!$BM$6:$BM$205,$A195),Purchase_Register!$BM$6:$BM$205,0))</f>
        <v/>
      </c>
      <c r="C195" s="46" t="str">
        <f aca="false">IF($B195="","",INDEX(Purchase_Register!$BL$6:$BL$205,$B195)&amp;"")</f>
        <v/>
      </c>
      <c r="D195" s="31" t="str">
        <f aca="false">IF($B195="","",INDEX(Purchase_Register!$A$6:$A$205,$B195)&amp;"")</f>
        <v/>
      </c>
      <c r="E195" s="32" t="str">
        <f aca="false">IF($B195="","",INDEX(Purchase_Register!$E$6:$E$205,$B195)&amp;"")</f>
        <v/>
      </c>
      <c r="F195" s="32" t="str">
        <f aca="false">IF($B195="","",INDEX(Purchase_Register!$M$6:$M$205,$B195)&amp;"")</f>
        <v/>
      </c>
      <c r="G195" s="32" t="str">
        <f aca="false">IF($B195="","",INDEX(Purchase_Register!$C$6:$C$205,$B195)&amp;"")</f>
        <v/>
      </c>
      <c r="H195" s="32" t="str">
        <f aca="false">IF($B195="","",INDEX(Purchase_Register!$BI$6:$BI$205,$B195)&amp;"")</f>
        <v/>
      </c>
      <c r="I195" s="32" t="str">
        <f aca="false">IF($B195="","",INDEX(Purchase_Register!$AX$6:$AX$205,$B195)&amp;"")</f>
        <v/>
      </c>
      <c r="J195" s="47" t="str">
        <f aca="false">IF($B195="","",N(INDEX(Purchase_Register!$AK$6:$AK$205,$B195)))</f>
        <v/>
      </c>
      <c r="K195" s="47" t="str">
        <f aca="false">IF($B195="","",N(INDEX(Purchase_Register!$AL$6:$AL$205,$B195)))</f>
        <v/>
      </c>
      <c r="L195" s="32" t="str">
        <f aca="false">IF($B195="","",INDEX(Purchase_Register!$BK$6:$BK$205,$B195)&amp;"")</f>
        <v/>
      </c>
    </row>
    <row r="196" customFormat="false" ht="15" hidden="false" customHeight="false" outlineLevel="0" collapsed="false">
      <c r="A196" s="33" t="str">
        <f aca="false">IF(ROWS($A$7:A196)&gt;COUNT(Purchase_Register!$BM$6:$BM$205),"",ROWS($A$7:A196))</f>
        <v/>
      </c>
      <c r="B196" s="33" t="str">
        <f aca="false">IF($A196="","",MATCH(SMALL(Purchase_Register!$BM$6:$BM$205,$A196),Purchase_Register!$BM$6:$BM$205,0))</f>
        <v/>
      </c>
      <c r="C196" s="46" t="str">
        <f aca="false">IF($B196="","",INDEX(Purchase_Register!$BL$6:$BL$205,$B196)&amp;"")</f>
        <v/>
      </c>
      <c r="D196" s="31" t="str">
        <f aca="false">IF($B196="","",INDEX(Purchase_Register!$A$6:$A$205,$B196)&amp;"")</f>
        <v/>
      </c>
      <c r="E196" s="32" t="str">
        <f aca="false">IF($B196="","",INDEX(Purchase_Register!$E$6:$E$205,$B196)&amp;"")</f>
        <v/>
      </c>
      <c r="F196" s="32" t="str">
        <f aca="false">IF($B196="","",INDEX(Purchase_Register!$M$6:$M$205,$B196)&amp;"")</f>
        <v/>
      </c>
      <c r="G196" s="32" t="str">
        <f aca="false">IF($B196="","",INDEX(Purchase_Register!$C$6:$C$205,$B196)&amp;"")</f>
        <v/>
      </c>
      <c r="H196" s="32" t="str">
        <f aca="false">IF($B196="","",INDEX(Purchase_Register!$BI$6:$BI$205,$B196)&amp;"")</f>
        <v/>
      </c>
      <c r="I196" s="32" t="str">
        <f aca="false">IF($B196="","",INDEX(Purchase_Register!$AX$6:$AX$205,$B196)&amp;"")</f>
        <v/>
      </c>
      <c r="J196" s="47" t="str">
        <f aca="false">IF($B196="","",N(INDEX(Purchase_Register!$AK$6:$AK$205,$B196)))</f>
        <v/>
      </c>
      <c r="K196" s="47" t="str">
        <f aca="false">IF($B196="","",N(INDEX(Purchase_Register!$AL$6:$AL$205,$B196)))</f>
        <v/>
      </c>
      <c r="L196" s="32" t="str">
        <f aca="false">IF($B196="","",INDEX(Purchase_Register!$BK$6:$BK$205,$B196)&amp;"")</f>
        <v/>
      </c>
    </row>
    <row r="197" customFormat="false" ht="15" hidden="false" customHeight="false" outlineLevel="0" collapsed="false">
      <c r="A197" s="33" t="str">
        <f aca="false">IF(ROWS($A$7:A197)&gt;COUNT(Purchase_Register!$BM$6:$BM$205),"",ROWS($A$7:A197))</f>
        <v/>
      </c>
      <c r="B197" s="33" t="str">
        <f aca="false">IF($A197="","",MATCH(SMALL(Purchase_Register!$BM$6:$BM$205,$A197),Purchase_Register!$BM$6:$BM$205,0))</f>
        <v/>
      </c>
      <c r="C197" s="46" t="str">
        <f aca="false">IF($B197="","",INDEX(Purchase_Register!$BL$6:$BL$205,$B197)&amp;"")</f>
        <v/>
      </c>
      <c r="D197" s="31" t="str">
        <f aca="false">IF($B197="","",INDEX(Purchase_Register!$A$6:$A$205,$B197)&amp;"")</f>
        <v/>
      </c>
      <c r="E197" s="32" t="str">
        <f aca="false">IF($B197="","",INDEX(Purchase_Register!$E$6:$E$205,$B197)&amp;"")</f>
        <v/>
      </c>
      <c r="F197" s="32" t="str">
        <f aca="false">IF($B197="","",INDEX(Purchase_Register!$M$6:$M$205,$B197)&amp;"")</f>
        <v/>
      </c>
      <c r="G197" s="32" t="str">
        <f aca="false">IF($B197="","",INDEX(Purchase_Register!$C$6:$C$205,$B197)&amp;"")</f>
        <v/>
      </c>
      <c r="H197" s="32" t="str">
        <f aca="false">IF($B197="","",INDEX(Purchase_Register!$BI$6:$BI$205,$B197)&amp;"")</f>
        <v/>
      </c>
      <c r="I197" s="32" t="str">
        <f aca="false">IF($B197="","",INDEX(Purchase_Register!$AX$6:$AX$205,$B197)&amp;"")</f>
        <v/>
      </c>
      <c r="J197" s="47" t="str">
        <f aca="false">IF($B197="","",N(INDEX(Purchase_Register!$AK$6:$AK$205,$B197)))</f>
        <v/>
      </c>
      <c r="K197" s="47" t="str">
        <f aca="false">IF($B197="","",N(INDEX(Purchase_Register!$AL$6:$AL$205,$B197)))</f>
        <v/>
      </c>
      <c r="L197" s="32" t="str">
        <f aca="false">IF($B197="","",INDEX(Purchase_Register!$BK$6:$BK$205,$B197)&amp;"")</f>
        <v/>
      </c>
    </row>
    <row r="198" customFormat="false" ht="15" hidden="false" customHeight="false" outlineLevel="0" collapsed="false">
      <c r="A198" s="33" t="str">
        <f aca="false">IF(ROWS($A$7:A198)&gt;COUNT(Purchase_Register!$BM$6:$BM$205),"",ROWS($A$7:A198))</f>
        <v/>
      </c>
      <c r="B198" s="33" t="str">
        <f aca="false">IF($A198="","",MATCH(SMALL(Purchase_Register!$BM$6:$BM$205,$A198),Purchase_Register!$BM$6:$BM$205,0))</f>
        <v/>
      </c>
      <c r="C198" s="46" t="str">
        <f aca="false">IF($B198="","",INDEX(Purchase_Register!$BL$6:$BL$205,$B198)&amp;"")</f>
        <v/>
      </c>
      <c r="D198" s="31" t="str">
        <f aca="false">IF($B198="","",INDEX(Purchase_Register!$A$6:$A$205,$B198)&amp;"")</f>
        <v/>
      </c>
      <c r="E198" s="32" t="str">
        <f aca="false">IF($B198="","",INDEX(Purchase_Register!$E$6:$E$205,$B198)&amp;"")</f>
        <v/>
      </c>
      <c r="F198" s="32" t="str">
        <f aca="false">IF($B198="","",INDEX(Purchase_Register!$M$6:$M$205,$B198)&amp;"")</f>
        <v/>
      </c>
      <c r="G198" s="32" t="str">
        <f aca="false">IF($B198="","",INDEX(Purchase_Register!$C$6:$C$205,$B198)&amp;"")</f>
        <v/>
      </c>
      <c r="H198" s="32" t="str">
        <f aca="false">IF($B198="","",INDEX(Purchase_Register!$BI$6:$BI$205,$B198)&amp;"")</f>
        <v/>
      </c>
      <c r="I198" s="32" t="str">
        <f aca="false">IF($B198="","",INDEX(Purchase_Register!$AX$6:$AX$205,$B198)&amp;"")</f>
        <v/>
      </c>
      <c r="J198" s="47" t="str">
        <f aca="false">IF($B198="","",N(INDEX(Purchase_Register!$AK$6:$AK$205,$B198)))</f>
        <v/>
      </c>
      <c r="K198" s="47" t="str">
        <f aca="false">IF($B198="","",N(INDEX(Purchase_Register!$AL$6:$AL$205,$B198)))</f>
        <v/>
      </c>
      <c r="L198" s="32" t="str">
        <f aca="false">IF($B198="","",INDEX(Purchase_Register!$BK$6:$BK$205,$B198)&amp;"")</f>
        <v/>
      </c>
    </row>
    <row r="199" customFormat="false" ht="15" hidden="false" customHeight="false" outlineLevel="0" collapsed="false">
      <c r="A199" s="33" t="str">
        <f aca="false">IF(ROWS($A$7:A199)&gt;COUNT(Purchase_Register!$BM$6:$BM$205),"",ROWS($A$7:A199))</f>
        <v/>
      </c>
      <c r="B199" s="33" t="str">
        <f aca="false">IF($A199="","",MATCH(SMALL(Purchase_Register!$BM$6:$BM$205,$A199),Purchase_Register!$BM$6:$BM$205,0))</f>
        <v/>
      </c>
      <c r="C199" s="46" t="str">
        <f aca="false">IF($B199="","",INDEX(Purchase_Register!$BL$6:$BL$205,$B199)&amp;"")</f>
        <v/>
      </c>
      <c r="D199" s="31" t="str">
        <f aca="false">IF($B199="","",INDEX(Purchase_Register!$A$6:$A$205,$B199)&amp;"")</f>
        <v/>
      </c>
      <c r="E199" s="32" t="str">
        <f aca="false">IF($B199="","",INDEX(Purchase_Register!$E$6:$E$205,$B199)&amp;"")</f>
        <v/>
      </c>
      <c r="F199" s="32" t="str">
        <f aca="false">IF($B199="","",INDEX(Purchase_Register!$M$6:$M$205,$B199)&amp;"")</f>
        <v/>
      </c>
      <c r="G199" s="32" t="str">
        <f aca="false">IF($B199="","",INDEX(Purchase_Register!$C$6:$C$205,$B199)&amp;"")</f>
        <v/>
      </c>
      <c r="H199" s="32" t="str">
        <f aca="false">IF($B199="","",INDEX(Purchase_Register!$BI$6:$BI$205,$B199)&amp;"")</f>
        <v/>
      </c>
      <c r="I199" s="32" t="str">
        <f aca="false">IF($B199="","",INDEX(Purchase_Register!$AX$6:$AX$205,$B199)&amp;"")</f>
        <v/>
      </c>
      <c r="J199" s="47" t="str">
        <f aca="false">IF($B199="","",N(INDEX(Purchase_Register!$AK$6:$AK$205,$B199)))</f>
        <v/>
      </c>
      <c r="K199" s="47" t="str">
        <f aca="false">IF($B199="","",N(INDEX(Purchase_Register!$AL$6:$AL$205,$B199)))</f>
        <v/>
      </c>
      <c r="L199" s="32" t="str">
        <f aca="false">IF($B199="","",INDEX(Purchase_Register!$BK$6:$BK$205,$B199)&amp;"")</f>
        <v/>
      </c>
    </row>
    <row r="200" customFormat="false" ht="15" hidden="false" customHeight="false" outlineLevel="0" collapsed="false">
      <c r="A200" s="33" t="str">
        <f aca="false">IF(ROWS($A$7:A200)&gt;COUNT(Purchase_Register!$BM$6:$BM$205),"",ROWS($A$7:A200))</f>
        <v/>
      </c>
      <c r="B200" s="33" t="str">
        <f aca="false">IF($A200="","",MATCH(SMALL(Purchase_Register!$BM$6:$BM$205,$A200),Purchase_Register!$BM$6:$BM$205,0))</f>
        <v/>
      </c>
      <c r="C200" s="46" t="str">
        <f aca="false">IF($B200="","",INDEX(Purchase_Register!$BL$6:$BL$205,$B200)&amp;"")</f>
        <v/>
      </c>
      <c r="D200" s="31" t="str">
        <f aca="false">IF($B200="","",INDEX(Purchase_Register!$A$6:$A$205,$B200)&amp;"")</f>
        <v/>
      </c>
      <c r="E200" s="32" t="str">
        <f aca="false">IF($B200="","",INDEX(Purchase_Register!$E$6:$E$205,$B200)&amp;"")</f>
        <v/>
      </c>
      <c r="F200" s="32" t="str">
        <f aca="false">IF($B200="","",INDEX(Purchase_Register!$M$6:$M$205,$B200)&amp;"")</f>
        <v/>
      </c>
      <c r="G200" s="32" t="str">
        <f aca="false">IF($B200="","",INDEX(Purchase_Register!$C$6:$C$205,$B200)&amp;"")</f>
        <v/>
      </c>
      <c r="H200" s="32" t="str">
        <f aca="false">IF($B200="","",INDEX(Purchase_Register!$BI$6:$BI$205,$B200)&amp;"")</f>
        <v/>
      </c>
      <c r="I200" s="32" t="str">
        <f aca="false">IF($B200="","",INDEX(Purchase_Register!$AX$6:$AX$205,$B200)&amp;"")</f>
        <v/>
      </c>
      <c r="J200" s="47" t="str">
        <f aca="false">IF($B200="","",N(INDEX(Purchase_Register!$AK$6:$AK$205,$B200)))</f>
        <v/>
      </c>
      <c r="K200" s="47" t="str">
        <f aca="false">IF($B200="","",N(INDEX(Purchase_Register!$AL$6:$AL$205,$B200)))</f>
        <v/>
      </c>
      <c r="L200" s="32" t="str">
        <f aca="false">IF($B200="","",INDEX(Purchase_Register!$BK$6:$BK$205,$B200)&amp;"")</f>
        <v/>
      </c>
    </row>
    <row r="201" customFormat="false" ht="15" hidden="false" customHeight="false" outlineLevel="0" collapsed="false">
      <c r="A201" s="33" t="str">
        <f aca="false">IF(ROWS($A$7:A201)&gt;COUNT(Purchase_Register!$BM$6:$BM$205),"",ROWS($A$7:A201))</f>
        <v/>
      </c>
      <c r="B201" s="33" t="str">
        <f aca="false">IF($A201="","",MATCH(SMALL(Purchase_Register!$BM$6:$BM$205,$A201),Purchase_Register!$BM$6:$BM$205,0))</f>
        <v/>
      </c>
      <c r="C201" s="46" t="str">
        <f aca="false">IF($B201="","",INDEX(Purchase_Register!$BL$6:$BL$205,$B201)&amp;"")</f>
        <v/>
      </c>
      <c r="D201" s="31" t="str">
        <f aca="false">IF($B201="","",INDEX(Purchase_Register!$A$6:$A$205,$B201)&amp;"")</f>
        <v/>
      </c>
      <c r="E201" s="32" t="str">
        <f aca="false">IF($B201="","",INDEX(Purchase_Register!$E$6:$E$205,$B201)&amp;"")</f>
        <v/>
      </c>
      <c r="F201" s="32" t="str">
        <f aca="false">IF($B201="","",INDEX(Purchase_Register!$M$6:$M$205,$B201)&amp;"")</f>
        <v/>
      </c>
      <c r="G201" s="32" t="str">
        <f aca="false">IF($B201="","",INDEX(Purchase_Register!$C$6:$C$205,$B201)&amp;"")</f>
        <v/>
      </c>
      <c r="H201" s="32" t="str">
        <f aca="false">IF($B201="","",INDEX(Purchase_Register!$BI$6:$BI$205,$B201)&amp;"")</f>
        <v/>
      </c>
      <c r="I201" s="32" t="str">
        <f aca="false">IF($B201="","",INDEX(Purchase_Register!$AX$6:$AX$205,$B201)&amp;"")</f>
        <v/>
      </c>
      <c r="J201" s="47" t="str">
        <f aca="false">IF($B201="","",N(INDEX(Purchase_Register!$AK$6:$AK$205,$B201)))</f>
        <v/>
      </c>
      <c r="K201" s="47" t="str">
        <f aca="false">IF($B201="","",N(INDEX(Purchase_Register!$AL$6:$AL$205,$B201)))</f>
        <v/>
      </c>
      <c r="L201" s="32" t="str">
        <f aca="false">IF($B201="","",INDEX(Purchase_Register!$BK$6:$BK$205,$B201)&amp;"")</f>
        <v/>
      </c>
    </row>
    <row r="202" customFormat="false" ht="15" hidden="false" customHeight="false" outlineLevel="0" collapsed="false">
      <c r="A202" s="33" t="str">
        <f aca="false">IF(ROWS($A$7:A202)&gt;COUNT(Purchase_Register!$BM$6:$BM$205),"",ROWS($A$7:A202))</f>
        <v/>
      </c>
      <c r="B202" s="33" t="str">
        <f aca="false">IF($A202="","",MATCH(SMALL(Purchase_Register!$BM$6:$BM$205,$A202),Purchase_Register!$BM$6:$BM$205,0))</f>
        <v/>
      </c>
      <c r="C202" s="46" t="str">
        <f aca="false">IF($B202="","",INDEX(Purchase_Register!$BL$6:$BL$205,$B202)&amp;"")</f>
        <v/>
      </c>
      <c r="D202" s="31" t="str">
        <f aca="false">IF($B202="","",INDEX(Purchase_Register!$A$6:$A$205,$B202)&amp;"")</f>
        <v/>
      </c>
      <c r="E202" s="32" t="str">
        <f aca="false">IF($B202="","",INDEX(Purchase_Register!$E$6:$E$205,$B202)&amp;"")</f>
        <v/>
      </c>
      <c r="F202" s="32" t="str">
        <f aca="false">IF($B202="","",INDEX(Purchase_Register!$M$6:$M$205,$B202)&amp;"")</f>
        <v/>
      </c>
      <c r="G202" s="32" t="str">
        <f aca="false">IF($B202="","",INDEX(Purchase_Register!$C$6:$C$205,$B202)&amp;"")</f>
        <v/>
      </c>
      <c r="H202" s="32" t="str">
        <f aca="false">IF($B202="","",INDEX(Purchase_Register!$BI$6:$BI$205,$B202)&amp;"")</f>
        <v/>
      </c>
      <c r="I202" s="32" t="str">
        <f aca="false">IF($B202="","",INDEX(Purchase_Register!$AX$6:$AX$205,$B202)&amp;"")</f>
        <v/>
      </c>
      <c r="J202" s="47" t="str">
        <f aca="false">IF($B202="","",N(INDEX(Purchase_Register!$AK$6:$AK$205,$B202)))</f>
        <v/>
      </c>
      <c r="K202" s="47" t="str">
        <f aca="false">IF($B202="","",N(INDEX(Purchase_Register!$AL$6:$AL$205,$B202)))</f>
        <v/>
      </c>
      <c r="L202" s="32" t="str">
        <f aca="false">IF($B202="","",INDEX(Purchase_Register!$BK$6:$BK$205,$B202)&amp;"")</f>
        <v/>
      </c>
    </row>
    <row r="203" customFormat="false" ht="15" hidden="false" customHeight="false" outlineLevel="0" collapsed="false">
      <c r="A203" s="33" t="str">
        <f aca="false">IF(ROWS($A$7:A203)&gt;COUNT(Purchase_Register!$BM$6:$BM$205),"",ROWS($A$7:A203))</f>
        <v/>
      </c>
      <c r="B203" s="33" t="str">
        <f aca="false">IF($A203="","",MATCH(SMALL(Purchase_Register!$BM$6:$BM$205,$A203),Purchase_Register!$BM$6:$BM$205,0))</f>
        <v/>
      </c>
      <c r="C203" s="46" t="str">
        <f aca="false">IF($B203="","",INDEX(Purchase_Register!$BL$6:$BL$205,$B203)&amp;"")</f>
        <v/>
      </c>
      <c r="D203" s="31" t="str">
        <f aca="false">IF($B203="","",INDEX(Purchase_Register!$A$6:$A$205,$B203)&amp;"")</f>
        <v/>
      </c>
      <c r="E203" s="32" t="str">
        <f aca="false">IF($B203="","",INDEX(Purchase_Register!$E$6:$E$205,$B203)&amp;"")</f>
        <v/>
      </c>
      <c r="F203" s="32" t="str">
        <f aca="false">IF($B203="","",INDEX(Purchase_Register!$M$6:$M$205,$B203)&amp;"")</f>
        <v/>
      </c>
      <c r="G203" s="32" t="str">
        <f aca="false">IF($B203="","",INDEX(Purchase_Register!$C$6:$C$205,$B203)&amp;"")</f>
        <v/>
      </c>
      <c r="H203" s="32" t="str">
        <f aca="false">IF($B203="","",INDEX(Purchase_Register!$BI$6:$BI$205,$B203)&amp;"")</f>
        <v/>
      </c>
      <c r="I203" s="32" t="str">
        <f aca="false">IF($B203="","",INDEX(Purchase_Register!$AX$6:$AX$205,$B203)&amp;"")</f>
        <v/>
      </c>
      <c r="J203" s="47" t="str">
        <f aca="false">IF($B203="","",N(INDEX(Purchase_Register!$AK$6:$AK$205,$B203)))</f>
        <v/>
      </c>
      <c r="K203" s="47" t="str">
        <f aca="false">IF($B203="","",N(INDEX(Purchase_Register!$AL$6:$AL$205,$B203)))</f>
        <v/>
      </c>
      <c r="L203" s="32" t="str">
        <f aca="false">IF($B203="","",INDEX(Purchase_Register!$BK$6:$BK$205,$B203)&amp;"")</f>
        <v/>
      </c>
    </row>
    <row r="204" customFormat="false" ht="15" hidden="false" customHeight="false" outlineLevel="0" collapsed="false">
      <c r="A204" s="33" t="str">
        <f aca="false">IF(ROWS($A$7:A204)&gt;COUNT(Purchase_Register!$BM$6:$BM$205),"",ROWS($A$7:A204))</f>
        <v/>
      </c>
      <c r="B204" s="33" t="str">
        <f aca="false">IF($A204="","",MATCH(SMALL(Purchase_Register!$BM$6:$BM$205,$A204),Purchase_Register!$BM$6:$BM$205,0))</f>
        <v/>
      </c>
      <c r="C204" s="46" t="str">
        <f aca="false">IF($B204="","",INDEX(Purchase_Register!$BL$6:$BL$205,$B204)&amp;"")</f>
        <v/>
      </c>
      <c r="D204" s="31" t="str">
        <f aca="false">IF($B204="","",INDEX(Purchase_Register!$A$6:$A$205,$B204)&amp;"")</f>
        <v/>
      </c>
      <c r="E204" s="32" t="str">
        <f aca="false">IF($B204="","",INDEX(Purchase_Register!$E$6:$E$205,$B204)&amp;"")</f>
        <v/>
      </c>
      <c r="F204" s="32" t="str">
        <f aca="false">IF($B204="","",INDEX(Purchase_Register!$M$6:$M$205,$B204)&amp;"")</f>
        <v/>
      </c>
      <c r="G204" s="32" t="str">
        <f aca="false">IF($B204="","",INDEX(Purchase_Register!$C$6:$C$205,$B204)&amp;"")</f>
        <v/>
      </c>
      <c r="H204" s="32" t="str">
        <f aca="false">IF($B204="","",INDEX(Purchase_Register!$BI$6:$BI$205,$B204)&amp;"")</f>
        <v/>
      </c>
      <c r="I204" s="32" t="str">
        <f aca="false">IF($B204="","",INDEX(Purchase_Register!$AX$6:$AX$205,$B204)&amp;"")</f>
        <v/>
      </c>
      <c r="J204" s="47" t="str">
        <f aca="false">IF($B204="","",N(INDEX(Purchase_Register!$AK$6:$AK$205,$B204)))</f>
        <v/>
      </c>
      <c r="K204" s="47" t="str">
        <f aca="false">IF($B204="","",N(INDEX(Purchase_Register!$AL$6:$AL$205,$B204)))</f>
        <v/>
      </c>
      <c r="L204" s="32" t="str">
        <f aca="false">IF($B204="","",INDEX(Purchase_Register!$BK$6:$BK$205,$B204)&amp;"")</f>
        <v/>
      </c>
    </row>
    <row r="205" customFormat="false" ht="15" hidden="false" customHeight="false" outlineLevel="0" collapsed="false">
      <c r="A205" s="33" t="str">
        <f aca="false">IF(ROWS($A$7:A205)&gt;COUNT(Purchase_Register!$BM$6:$BM$205),"",ROWS($A$7:A205))</f>
        <v/>
      </c>
      <c r="B205" s="33" t="str">
        <f aca="false">IF($A205="","",MATCH(SMALL(Purchase_Register!$BM$6:$BM$205,$A205),Purchase_Register!$BM$6:$BM$205,0))</f>
        <v/>
      </c>
      <c r="C205" s="46" t="str">
        <f aca="false">IF($B205="","",INDEX(Purchase_Register!$BL$6:$BL$205,$B205)&amp;"")</f>
        <v/>
      </c>
      <c r="D205" s="31" t="str">
        <f aca="false">IF($B205="","",INDEX(Purchase_Register!$A$6:$A$205,$B205)&amp;"")</f>
        <v/>
      </c>
      <c r="E205" s="32" t="str">
        <f aca="false">IF($B205="","",INDEX(Purchase_Register!$E$6:$E$205,$B205)&amp;"")</f>
        <v/>
      </c>
      <c r="F205" s="32" t="str">
        <f aca="false">IF($B205="","",INDEX(Purchase_Register!$M$6:$M$205,$B205)&amp;"")</f>
        <v/>
      </c>
      <c r="G205" s="32" t="str">
        <f aca="false">IF($B205="","",INDEX(Purchase_Register!$C$6:$C$205,$B205)&amp;"")</f>
        <v/>
      </c>
      <c r="H205" s="32" t="str">
        <f aca="false">IF($B205="","",INDEX(Purchase_Register!$BI$6:$BI$205,$B205)&amp;"")</f>
        <v/>
      </c>
      <c r="I205" s="32" t="str">
        <f aca="false">IF($B205="","",INDEX(Purchase_Register!$AX$6:$AX$205,$B205)&amp;"")</f>
        <v/>
      </c>
      <c r="J205" s="47" t="str">
        <f aca="false">IF($B205="","",N(INDEX(Purchase_Register!$AK$6:$AK$205,$B205)))</f>
        <v/>
      </c>
      <c r="K205" s="47" t="str">
        <f aca="false">IF($B205="","",N(INDEX(Purchase_Register!$AL$6:$AL$205,$B205)))</f>
        <v/>
      </c>
      <c r="L205" s="32" t="str">
        <f aca="false">IF($B205="","",INDEX(Purchase_Register!$BK$6:$BK$205,$B205)&amp;"")</f>
        <v/>
      </c>
    </row>
    <row r="206" customFormat="false" ht="15" hidden="false" customHeight="false" outlineLevel="0" collapsed="false">
      <c r="A206" s="33" t="str">
        <f aca="false">IF(ROWS($A$7:A206)&gt;COUNT(Purchase_Register!$BM$6:$BM$205),"",ROWS($A$7:A206))</f>
        <v/>
      </c>
      <c r="B206" s="33" t="str">
        <f aca="false">IF($A206="","",MATCH(SMALL(Purchase_Register!$BM$6:$BM$205,$A206),Purchase_Register!$BM$6:$BM$205,0))</f>
        <v/>
      </c>
      <c r="C206" s="46" t="str">
        <f aca="false">IF($B206="","",INDEX(Purchase_Register!$BL$6:$BL$205,$B206)&amp;"")</f>
        <v/>
      </c>
      <c r="D206" s="31" t="str">
        <f aca="false">IF($B206="","",INDEX(Purchase_Register!$A$6:$A$205,$B206)&amp;"")</f>
        <v/>
      </c>
      <c r="E206" s="32" t="str">
        <f aca="false">IF($B206="","",INDEX(Purchase_Register!$E$6:$E$205,$B206)&amp;"")</f>
        <v/>
      </c>
      <c r="F206" s="32" t="str">
        <f aca="false">IF($B206="","",INDEX(Purchase_Register!$M$6:$M$205,$B206)&amp;"")</f>
        <v/>
      </c>
      <c r="G206" s="32" t="str">
        <f aca="false">IF($B206="","",INDEX(Purchase_Register!$C$6:$C$205,$B206)&amp;"")</f>
        <v/>
      </c>
      <c r="H206" s="32" t="str">
        <f aca="false">IF($B206="","",INDEX(Purchase_Register!$BI$6:$BI$205,$B206)&amp;"")</f>
        <v/>
      </c>
      <c r="I206" s="32" t="str">
        <f aca="false">IF($B206="","",INDEX(Purchase_Register!$AX$6:$AX$205,$B206)&amp;"")</f>
        <v/>
      </c>
      <c r="J206" s="47" t="str">
        <f aca="false">IF($B206="","",N(INDEX(Purchase_Register!$AK$6:$AK$205,$B206)))</f>
        <v/>
      </c>
      <c r="K206" s="47" t="str">
        <f aca="false">IF($B206="","",N(INDEX(Purchase_Register!$AL$6:$AL$205,$B206)))</f>
        <v/>
      </c>
      <c r="L206" s="32" t="str">
        <f aca="false">IF($B206="","",INDEX(Purchase_Register!$BK$6:$BK$205,$B206)&amp;"")</f>
        <v/>
      </c>
    </row>
  </sheetData>
  <sheetProtection sheet="true" formatCells="false" formatColumns="false" formatRows="false" sort="false" autoFilter="false"/>
  <autoFilter ref="A6:L206"/>
  <mergeCells count="6">
    <mergeCell ref="C3:D3"/>
    <mergeCell ref="G3:H3"/>
    <mergeCell ref="J3:L3"/>
    <mergeCell ref="C4:D4"/>
    <mergeCell ref="G4:H4"/>
    <mergeCell ref="J4:L4"/>
  </mergeCells>
  <conditionalFormatting sqref="C7:C206">
    <cfRule type="expression" priority="2" aboveAverage="0" equalAverage="0" bottom="0" percent="0" rank="0" text="" dxfId="11">
      <formula>$C7="High"</formula>
    </cfRule>
    <cfRule type="expression" priority="3" aboveAverage="0" equalAverage="0" bottom="0" percent="0" rank="0" text="" dxfId="12">
      <formula>$C7="Medium"</formula>
    </cfRule>
    <cfRule type="expression" priority="4" aboveAverage="0" equalAverage="0" bottom="0" percent="0" rank="0" text="" dxfId="13">
      <formula>$C7="Low"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N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6"/>
    <col collapsed="false" customWidth="true" hidden="false" outlineLevel="0" max="14" min="14" style="0" width="9"/>
    <col collapsed="false" customWidth="true" hidden="false" outlineLevel="0" max="15" min="15" style="0" width="17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3" min="23" style="0" width="15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7" min="27" style="0" width="14"/>
    <col collapsed="false" customWidth="true" hidden="false" outlineLevel="0" max="28" min="28" style="0" width="10"/>
    <col collapsed="false" customWidth="true" hidden="false" outlineLevel="0" max="29" min="29" style="0" width="9"/>
    <col collapsed="false" customWidth="true" hidden="false" outlineLevel="0" max="30" min="30" style="0" width="16"/>
    <col collapsed="false" customWidth="true" hidden="false" outlineLevel="0" max="31" min="31" style="0" width="24"/>
    <col collapsed="false" customWidth="true" hidden="false" outlineLevel="0" max="32" min="32" style="0" width="14"/>
    <col collapsed="false" customWidth="true" hidden="false" outlineLevel="0" max="33" min="33" style="0" width="13"/>
    <col collapsed="false" customWidth="true" hidden="false" outlineLevel="0" max="34" min="34" style="0" width="14"/>
    <col collapsed="false" customWidth="true" hidden="false" outlineLevel="0" max="35" min="35" style="0" width="15"/>
    <col collapsed="false" customWidth="true" hidden="false" outlineLevel="0" max="36" min="36" style="0" width="10"/>
    <col collapsed="false" customWidth="true" hidden="false" outlineLevel="0" max="37" min="37" style="0" width="15"/>
    <col collapsed="false" customWidth="true" hidden="false" outlineLevel="0" max="38" min="38" style="0" width="14"/>
    <col collapsed="false" customWidth="true" hidden="false" outlineLevel="0" max="39" min="39" style="0" width="15"/>
    <col collapsed="false" customWidth="true" hidden="false" outlineLevel="0" max="41" min="40" style="0" width="12"/>
    <col collapsed="false" customWidth="true" hidden="false" outlineLevel="0" max="42" min="42" style="0" width="9"/>
    <col collapsed="false" customWidth="true" hidden="false" outlineLevel="0" max="45" min="43" style="0" width="12"/>
    <col collapsed="false" customWidth="true" hidden="false" outlineLevel="0" max="46" min="46" style="0" width="11"/>
    <col collapsed="false" customWidth="true" hidden="false" outlineLevel="0" max="47" min="47" style="0" width="10"/>
    <col collapsed="false" customWidth="true" hidden="false" outlineLevel="0" max="48" min="48" style="0" width="11"/>
    <col collapsed="false" customWidth="true" hidden="false" outlineLevel="0" max="49" min="49" style="0" width="14"/>
    <col collapsed="false" customWidth="true" hidden="false" outlineLevel="0" max="50" min="50" style="0" width="30"/>
    <col collapsed="false" customWidth="true" hidden="false" outlineLevel="0" max="51" min="51" style="0" width="12"/>
    <col collapsed="false" customWidth="true" hidden="false" outlineLevel="0" max="53" min="52" style="0" width="9"/>
    <col collapsed="false" customWidth="true" hidden="false" outlineLevel="0" max="54" min="54" style="0" width="11"/>
    <col collapsed="false" customWidth="true" hidden="false" outlineLevel="0" max="55" min="55" style="0" width="10"/>
    <col collapsed="false" customWidth="true" hidden="false" outlineLevel="0" max="56" min="56" style="0" width="9"/>
    <col collapsed="false" customWidth="true" hidden="false" outlineLevel="0" max="57" min="57" style="0" width="10"/>
    <col collapsed="false" customWidth="true" hidden="false" outlineLevel="0" max="58" min="58" style="0" width="14"/>
    <col collapsed="false" customWidth="true" hidden="false" outlineLevel="0" max="59" min="59" style="0" width="26"/>
    <col collapsed="false" customWidth="true" hidden="false" outlineLevel="0" max="60" min="60" style="0" width="13"/>
    <col collapsed="false" customWidth="true" hidden="false" outlineLevel="0" max="61" min="61" style="0" width="24"/>
    <col collapsed="false" customWidth="true" hidden="false" outlineLevel="0" max="62" min="62" style="0" width="34"/>
    <col collapsed="false" customWidth="true" hidden="false" outlineLevel="0" max="63" min="63" style="0" width="44"/>
    <col collapsed="false" customWidth="true" hidden="false" outlineLevel="0" max="64" min="64" style="0" width="10"/>
    <col collapsed="false" customWidth="true" hidden="true" outlineLevel="0" max="65" min="65" style="0" width="8"/>
    <col collapsed="false" customWidth="true" hidden="false" outlineLevel="0" max="66" min="66" style="0" width="30"/>
  </cols>
  <sheetData>
    <row r="1" customFormat="false" ht="17.35" hidden="false" customHeight="false" outlineLevel="0" collapsed="false">
      <c r="A1" s="39" t="s">
        <v>86</v>
      </c>
    </row>
    <row r="2" customFormat="false" ht="15" hidden="false" customHeight="false" outlineLevel="0" collapsed="false">
      <c r="A2" s="40" t="s">
        <v>87</v>
      </c>
    </row>
    <row r="3" customFormat="false" ht="15" hidden="false" customHeight="false" outlineLevel="0" collapsed="false">
      <c r="A3" s="48" t="s">
        <v>88</v>
      </c>
      <c r="B3" s="48" t="s">
        <v>88</v>
      </c>
      <c r="C3" s="48" t="s">
        <v>88</v>
      </c>
      <c r="D3" s="48" t="s">
        <v>88</v>
      </c>
      <c r="E3" s="48" t="s">
        <v>88</v>
      </c>
      <c r="F3" s="48" t="s">
        <v>88</v>
      </c>
      <c r="G3" s="48" t="s">
        <v>88</v>
      </c>
      <c r="H3" s="48" t="s">
        <v>88</v>
      </c>
      <c r="I3" s="48" t="s">
        <v>88</v>
      </c>
      <c r="J3" s="48" t="s">
        <v>88</v>
      </c>
      <c r="K3" s="48" t="s">
        <v>88</v>
      </c>
      <c r="L3" s="48" t="s">
        <v>88</v>
      </c>
      <c r="M3" s="48" t="s">
        <v>88</v>
      </c>
      <c r="N3" s="48" t="s">
        <v>88</v>
      </c>
      <c r="O3" s="48" t="s">
        <v>88</v>
      </c>
      <c r="P3" s="48" t="s">
        <v>88</v>
      </c>
      <c r="Q3" s="48" t="s">
        <v>88</v>
      </c>
      <c r="R3" s="48" t="s">
        <v>88</v>
      </c>
      <c r="S3" s="48" t="s">
        <v>88</v>
      </c>
      <c r="T3" s="48" t="s">
        <v>88</v>
      </c>
      <c r="U3" s="49" t="s">
        <v>89</v>
      </c>
      <c r="V3" s="48" t="s">
        <v>88</v>
      </c>
      <c r="W3" s="49" t="s">
        <v>89</v>
      </c>
      <c r="X3" s="49" t="s">
        <v>89</v>
      </c>
      <c r="Y3" s="49" t="s">
        <v>89</v>
      </c>
      <c r="Z3" s="49" t="s">
        <v>89</v>
      </c>
      <c r="AA3" s="49" t="s">
        <v>89</v>
      </c>
      <c r="AB3" s="49" t="s">
        <v>89</v>
      </c>
      <c r="AC3" s="48" t="s">
        <v>88</v>
      </c>
      <c r="AD3" s="49" t="s">
        <v>89</v>
      </c>
      <c r="AE3" s="48" t="s">
        <v>88</v>
      </c>
      <c r="AF3" s="48" t="s">
        <v>88</v>
      </c>
      <c r="AG3" s="48" t="s">
        <v>88</v>
      </c>
      <c r="AH3" s="48" t="s">
        <v>88</v>
      </c>
      <c r="AI3" s="49" t="s">
        <v>89</v>
      </c>
      <c r="AJ3" s="49" t="s">
        <v>89</v>
      </c>
      <c r="AK3" s="49" t="s">
        <v>89</v>
      </c>
      <c r="AL3" s="49" t="s">
        <v>89</v>
      </c>
      <c r="AM3" s="49" t="s">
        <v>89</v>
      </c>
      <c r="AN3" s="48" t="s">
        <v>88</v>
      </c>
      <c r="AO3" s="48" t="s">
        <v>88</v>
      </c>
      <c r="AP3" s="49" t="s">
        <v>89</v>
      </c>
      <c r="AQ3" s="49" t="s">
        <v>89</v>
      </c>
      <c r="AR3" s="48" t="s">
        <v>88</v>
      </c>
      <c r="AS3" s="48" t="s">
        <v>88</v>
      </c>
      <c r="AT3" s="48" t="s">
        <v>88</v>
      </c>
      <c r="AU3" s="49" t="s">
        <v>89</v>
      </c>
      <c r="AV3" s="49" t="s">
        <v>89</v>
      </c>
      <c r="AW3" s="49" t="s">
        <v>89</v>
      </c>
      <c r="AX3" s="49" t="s">
        <v>89</v>
      </c>
      <c r="AY3" s="48" t="s">
        <v>88</v>
      </c>
      <c r="AZ3" s="49" t="s">
        <v>89</v>
      </c>
      <c r="BA3" s="49" t="s">
        <v>89</v>
      </c>
      <c r="BB3" s="49" t="s">
        <v>89</v>
      </c>
      <c r="BC3" s="49" t="s">
        <v>89</v>
      </c>
      <c r="BD3" s="49" t="s">
        <v>89</v>
      </c>
      <c r="BE3" s="49" t="s">
        <v>89</v>
      </c>
      <c r="BF3" s="48" t="s">
        <v>88</v>
      </c>
      <c r="BG3" s="48" t="s">
        <v>88</v>
      </c>
      <c r="BH3" s="48" t="s">
        <v>88</v>
      </c>
      <c r="BI3" s="49" t="s">
        <v>89</v>
      </c>
      <c r="BJ3" s="49" t="s">
        <v>89</v>
      </c>
      <c r="BK3" s="49" t="s">
        <v>89</v>
      </c>
      <c r="BL3" s="49" t="s">
        <v>89</v>
      </c>
      <c r="BM3" s="49" t="s">
        <v>89</v>
      </c>
      <c r="BN3" s="48" t="s">
        <v>88</v>
      </c>
    </row>
    <row r="4" customFormat="false" ht="15" hidden="false" customHeight="true" outlineLevel="0" collapsed="false">
      <c r="A4" s="50" t="s">
        <v>90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 t="s">
        <v>91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2" t="s">
        <v>92</v>
      </c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3" t="s">
        <v>93</v>
      </c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4" t="s">
        <v>94</v>
      </c>
      <c r="BG4" s="54"/>
      <c r="BH4" s="54"/>
      <c r="BI4" s="54"/>
      <c r="BJ4" s="54"/>
      <c r="BK4" s="54"/>
      <c r="BL4" s="54"/>
      <c r="BM4" s="54"/>
      <c r="BN4" s="54"/>
    </row>
    <row r="5" customFormat="false" ht="54" hidden="false" customHeight="true" outlineLevel="0" collapsed="false">
      <c r="A5" s="55" t="s">
        <v>78</v>
      </c>
      <c r="B5" s="55" t="s">
        <v>95</v>
      </c>
      <c r="C5" s="55" t="s">
        <v>64</v>
      </c>
      <c r="D5" s="55" t="s">
        <v>96</v>
      </c>
      <c r="E5" s="55" t="s">
        <v>97</v>
      </c>
      <c r="F5" s="55" t="s">
        <v>28</v>
      </c>
      <c r="G5" s="55" t="s">
        <v>98</v>
      </c>
      <c r="H5" s="55" t="s">
        <v>99</v>
      </c>
      <c r="I5" s="55" t="s">
        <v>100</v>
      </c>
      <c r="J5" s="55" t="s">
        <v>101</v>
      </c>
      <c r="K5" s="55" t="s">
        <v>102</v>
      </c>
      <c r="L5" s="55" t="s">
        <v>103</v>
      </c>
      <c r="M5" s="56" t="s">
        <v>80</v>
      </c>
      <c r="N5" s="56" t="s">
        <v>104</v>
      </c>
      <c r="O5" s="56" t="s">
        <v>105</v>
      </c>
      <c r="P5" s="56" t="s">
        <v>106</v>
      </c>
      <c r="Q5" s="56" t="s">
        <v>107</v>
      </c>
      <c r="R5" s="56" t="s">
        <v>108</v>
      </c>
      <c r="S5" s="56" t="s">
        <v>109</v>
      </c>
      <c r="T5" s="56" t="s">
        <v>110</v>
      </c>
      <c r="U5" s="56" t="s">
        <v>111</v>
      </c>
      <c r="V5" s="56" t="s">
        <v>112</v>
      </c>
      <c r="W5" s="56" t="s">
        <v>113</v>
      </c>
      <c r="X5" s="56" t="s">
        <v>114</v>
      </c>
      <c r="Y5" s="56" t="s">
        <v>115</v>
      </c>
      <c r="Z5" s="56" t="s">
        <v>116</v>
      </c>
      <c r="AA5" s="56" t="s">
        <v>117</v>
      </c>
      <c r="AB5" s="56" t="s">
        <v>118</v>
      </c>
      <c r="AC5" s="56" t="s">
        <v>119</v>
      </c>
      <c r="AD5" s="56" t="s">
        <v>120</v>
      </c>
      <c r="AE5" s="57" t="s">
        <v>121</v>
      </c>
      <c r="AF5" s="57" t="s">
        <v>122</v>
      </c>
      <c r="AG5" s="57" t="s">
        <v>123</v>
      </c>
      <c r="AH5" s="57" t="s">
        <v>124</v>
      </c>
      <c r="AI5" s="57" t="s">
        <v>125</v>
      </c>
      <c r="AJ5" s="57" t="s">
        <v>126</v>
      </c>
      <c r="AK5" s="57" t="s">
        <v>83</v>
      </c>
      <c r="AL5" s="57" t="s">
        <v>84</v>
      </c>
      <c r="AM5" s="57" t="s">
        <v>33</v>
      </c>
      <c r="AN5" s="57" t="s">
        <v>127</v>
      </c>
      <c r="AO5" s="57" t="s">
        <v>128</v>
      </c>
      <c r="AP5" s="57" t="s">
        <v>129</v>
      </c>
      <c r="AQ5" s="57" t="s">
        <v>130</v>
      </c>
      <c r="AR5" s="58" t="s">
        <v>131</v>
      </c>
      <c r="AS5" s="58" t="s">
        <v>132</v>
      </c>
      <c r="AT5" s="58" t="s">
        <v>133</v>
      </c>
      <c r="AU5" s="58" t="s">
        <v>134</v>
      </c>
      <c r="AV5" s="58" t="s">
        <v>135</v>
      </c>
      <c r="AW5" s="58" t="s">
        <v>136</v>
      </c>
      <c r="AX5" s="58" t="s">
        <v>82</v>
      </c>
      <c r="AY5" s="58" t="s">
        <v>137</v>
      </c>
      <c r="AZ5" s="58" t="s">
        <v>138</v>
      </c>
      <c r="BA5" s="58" t="s">
        <v>139</v>
      </c>
      <c r="BB5" s="58" t="s">
        <v>140</v>
      </c>
      <c r="BC5" s="58" t="s">
        <v>141</v>
      </c>
      <c r="BD5" s="58" t="s">
        <v>142</v>
      </c>
      <c r="BE5" s="58" t="s">
        <v>143</v>
      </c>
      <c r="BF5" s="59" t="s">
        <v>144</v>
      </c>
      <c r="BG5" s="59" t="s">
        <v>145</v>
      </c>
      <c r="BH5" s="59" t="s">
        <v>146</v>
      </c>
      <c r="BI5" s="59" t="s">
        <v>81</v>
      </c>
      <c r="BJ5" s="59" t="s">
        <v>147</v>
      </c>
      <c r="BK5" s="59" t="s">
        <v>148</v>
      </c>
      <c r="BL5" s="59" t="s">
        <v>149</v>
      </c>
      <c r="BM5" s="59" t="s">
        <v>150</v>
      </c>
      <c r="BN5" s="59" t="s">
        <v>151</v>
      </c>
    </row>
    <row r="6" customFormat="false" ht="39.75" hidden="false" customHeight="true" outlineLevel="0" collapsed="false">
      <c r="A6" s="60" t="s">
        <v>152</v>
      </c>
      <c r="B6" s="61" t="n">
        <v>46175</v>
      </c>
      <c r="C6" s="62" t="s">
        <v>153</v>
      </c>
      <c r="D6" s="62" t="s">
        <v>154</v>
      </c>
      <c r="E6" s="62" t="s">
        <v>155</v>
      </c>
      <c r="F6" s="62" t="s">
        <v>156</v>
      </c>
      <c r="G6" s="62" t="s">
        <v>157</v>
      </c>
      <c r="H6" s="60" t="s">
        <v>43</v>
      </c>
      <c r="I6" s="60" t="s">
        <v>158</v>
      </c>
      <c r="J6" s="61" t="n">
        <v>46176</v>
      </c>
      <c r="K6" s="60" t="s">
        <v>159</v>
      </c>
      <c r="L6" s="60" t="s">
        <v>160</v>
      </c>
      <c r="M6" s="62" t="s">
        <v>161</v>
      </c>
      <c r="N6" s="60" t="s">
        <v>162</v>
      </c>
      <c r="O6" s="60" t="s">
        <v>163</v>
      </c>
      <c r="P6" s="61" t="n">
        <v>46181</v>
      </c>
      <c r="Q6" s="63" t="n">
        <v>10500</v>
      </c>
      <c r="R6" s="60" t="s">
        <v>164</v>
      </c>
      <c r="S6" s="64" t="n">
        <v>2.35</v>
      </c>
      <c r="T6" s="60" t="s">
        <v>165</v>
      </c>
      <c r="U6" s="65" t="n">
        <f aca="false">IF(AND(T6="",S6=""),"",IF(T6="",1,IFERROR(INDEX(Settings!$B$12:$B$16,MATCH(T6,Settings!$A$12:$A$16,0)),1)))</f>
        <v>122</v>
      </c>
      <c r="V6" s="64" t="n">
        <v>278.93</v>
      </c>
      <c r="W6" s="66" t="n">
        <f aca="false">IF(OR(Q6="",S6=""),"",Q6*S6*U6)</f>
        <v>3010350</v>
      </c>
      <c r="X6" s="65" t="n">
        <f aca="false">IF(OR(W6="",N(Q6)=0),"",W6/Q6)</f>
        <v>286.7</v>
      </c>
      <c r="Y6" s="65" t="str">
        <f aca="false">IF(OR(X6="",P6="",E6=""),"",IF(_xlfn.MAXIFS($P$6:$P$205,$E$6:$E$205,E6,$P$6:$P$205,"&lt;"&amp;P6,$X$6:$X$205,"&gt;0")=0,"",IFERROR(AVERAGEIFS($X$6:$X$205,$E$6:$E$205,E6,$P$6:$P$205,_xlfn.MAXIFS($P$6:$P$205,$E$6:$E$205,E6,$P$6:$P$205,"&lt;"&amp;P6,$X$6:$X$205,"&gt;0"),$X$6:$X$205,"&gt;0"),"")))</f>
        <v/>
      </c>
      <c r="Z6" s="67" t="str">
        <f aca="false">IF(OR(Y6="",X6=""),"",X6/Y6-1)</f>
        <v/>
      </c>
      <c r="AA6" s="68" t="n">
        <f aca="false">IF(OR(W6="",V6=""),"",W6-Q6*V6)</f>
        <v>81585</v>
      </c>
      <c r="AB6" s="69" t="n">
        <f aca="false">IF(AA6="","",IF(N(V6)*N(Q6)=0,"",AA6/(Q6*V6)))</f>
        <v>0.0278564514394292</v>
      </c>
      <c r="AC6" s="70" t="n">
        <v>0.05</v>
      </c>
      <c r="AD6" s="66" t="n">
        <f aca="false">IF(W6="","",W6*(1+N(AC6)))</f>
        <v>3160867.5</v>
      </c>
      <c r="AE6" s="62" t="s">
        <v>166</v>
      </c>
      <c r="AF6" s="71" t="n">
        <v>948260.25</v>
      </c>
      <c r="AG6" s="71"/>
      <c r="AH6" s="71" t="n">
        <v>2212607.25</v>
      </c>
      <c r="AI6" s="66" t="n">
        <f aca="false">IF(A6="","",N(AF6)+N(AG6)+N(AH6))</f>
        <v>3160867.5</v>
      </c>
      <c r="AJ6" s="72" t="n">
        <f aca="false">IF(AD6="","",IF(N(AD6)=0,"",AI6/AD6))</f>
        <v>1</v>
      </c>
      <c r="AK6" s="66" t="n">
        <f aca="false">IF(AD6="","",IF(AD6-AI6&lt;1,0,ROUND(AD6-AI6,2)))</f>
        <v>0</v>
      </c>
      <c r="AL6" s="66" t="n">
        <f aca="false">IF(OR(O6="",AD6=""),"",MAX(0,ROUND(N(AI6)-(AD6-N(AW6)),0)))</f>
        <v>0</v>
      </c>
      <c r="AM6" s="73" t="str">
        <f aca="false">IF(A6="","",IF(O6="","No PO Yet",IF(AI6=0,"Not Paid",IF(N(AJ6)&gt;=0.999,"Fully Paid",IF(N(AG6)+N(AH6)&gt;0,"Partially Paid","Initial / Advance Paid")))))</f>
        <v>Fully Paid</v>
      </c>
      <c r="AN6" s="61" t="n">
        <v>46203</v>
      </c>
      <c r="AO6" s="61"/>
      <c r="AP6" s="74" t="str">
        <f aca="false">IF(AK6="","",IF(OR(N(AK6)=0,AO6=""),"",MAX(0,Settings!$B$4-AO6)))</f>
        <v/>
      </c>
      <c r="AQ6" s="73" t="str">
        <f aca="false">IF(AK6="","",IF(N(AK6)&lt;=0,"",IF(AO6="","No Due Date",IF(Settings!$B$4&lt;=AO6,"Not Yet Due",IF(Settings!$B$4-AO6&lt;=30,"1-30 Days",IF(Settings!$B$4-AO6&lt;=60,"31-60 Days",IF(Settings!$B$4-AO6&lt;=90,"61-90 Days","90+ Days")))))))</f>
        <v/>
      </c>
      <c r="AR6" s="61" t="n">
        <v>46191</v>
      </c>
      <c r="AS6" s="61" t="n">
        <v>46188</v>
      </c>
      <c r="AT6" s="63" t="n">
        <v>10500</v>
      </c>
      <c r="AU6" s="72" t="n">
        <f aca="false">IF(Q6="","",IF(N(Q6)=0,"",N(AT6)/Q6))</f>
        <v>1</v>
      </c>
      <c r="AV6" s="75" t="n">
        <f aca="false">IF(OR(A6="",O6="",Q6=""),"",MAX(0,Q6-N(AT6)))</f>
        <v>0</v>
      </c>
      <c r="AW6" s="66" t="n">
        <f aca="false">IF(OR(AV6="",W6=""),"",IF(N(Q6)=0,0,AV6/Q6*AD6))</f>
        <v>0</v>
      </c>
      <c r="AX6" s="76" t="str">
        <f aca="false">IF(A6="","",IF(O6="","No PO Yet",IF(Q6="","Order Qty Missing",IF(N(AT6)&gt;=Q6,IF(N(AT6)&gt;Q6,"All In-house (+"&amp;TEXT(N(AT6)-Q6,"#,##0")&amp;" "&amp;R6&amp;" excess)","All In-house"),IF(AY6&lt;&gt;"","Short Closed - "&amp;TEXT(AV6,"#,##0")&amp;" "&amp;R6&amp;" not received",IF(N(AT6)=0,"Not Started - "&amp;TEXT(AV6,"#,##0")&amp;" "&amp;R6&amp;" pending","Pending "&amp;TEXT(AV6,"#,##0")&amp;" "&amp;R6&amp;" ("&amp;TEXT(AU6,"0%")&amp;" received)"))))))</f>
        <v>All In-house</v>
      </c>
      <c r="AY6" s="61" t="n">
        <v>46188</v>
      </c>
      <c r="AZ6" s="77" t="n">
        <f aca="false">IF(OR(B6="",J6=""),"",J6-B6)</f>
        <v>1</v>
      </c>
      <c r="BA6" s="77" t="n">
        <f aca="false">IF(OR(J6="",P6=""),"",P6-J6)</f>
        <v>5</v>
      </c>
      <c r="BB6" s="77" t="n">
        <f aca="false">IF(OR(P6="",AY6=""),"",AY6-P6)</f>
        <v>7</v>
      </c>
      <c r="BC6" s="77" t="n">
        <f aca="false">IF(OR(B6="",AY6=""),"",AY6-B6)</f>
        <v>13</v>
      </c>
      <c r="BD6" s="74" t="n">
        <f aca="false">IF(OR(AR6="",O6=""),"",MAX(0,IF(AY6="",Settings!$B$4,AY6)-AR6))</f>
        <v>0</v>
      </c>
      <c r="BE6" s="73" t="str">
        <f aca="false">IF(OR(AY6="",AR6=""),"",IF(AND(AY6&lt;=AR6,N(AU6)&gt;=Settings!$B$6),"OTIF","Not OTIF"))</f>
        <v>OTIF</v>
      </c>
      <c r="BF6" s="60" t="s">
        <v>159</v>
      </c>
      <c r="BG6" s="62" t="s">
        <v>167</v>
      </c>
      <c r="BH6" s="78"/>
      <c r="BI6" s="76" t="str">
        <f aca="false">IF(A6="","",IF(K6="Rejected","Rejected",IF(K6&lt;&gt;"Approved","Awaiting Approval",IF(O6="","Approved - PO Pending",IF(AY6&lt;&gt;"",IF(N(AJ6)&gt;=0.999,"Closed","In-house Closed - Payment Due"),IF(AS6&lt;&gt;"","Receiving In-house","PO Issued - Awaiting Delivery"))))))</f>
        <v>Closed</v>
      </c>
      <c r="BJ6" s="76" t="str">
        <f aca="false">IF(A6="","",IF(IF(AND(A6&lt;&gt;"",OR(B6="",C6="",E6="",F6="",H6="")),"PR info missing; ","")&amp;IF(AND(K6="Approved",OR(J6="",I6="")),"Approval ref/date missing; ","")&amp;IF(AND(O6&lt;&gt;"",K6&lt;&gt;"Approved"),"PO without approval; ","")&amp;IF(AND(O6&lt;&gt;"",OR(P6="",M6="",Q6="",S6="",T6="")),"PO details missing; ","")&amp;IF(AND(O6&lt;&gt;"",AR6=""),"Committed date missing; ","")&amp;IF(AND(ISNUMBER(J6),ISNUMBER(B6),N(J6)&lt;N(B6)),"Approval dated before PR; ","")&amp;IF(AND(ISNUMBER(P6),ISNUMBER(J6),N(P6)&lt;N(J6)),"PO dated before approval; ","")&amp;IF(AND(ISNUMBER(AY6),ISNUMBER(AS6),N(AY6)&lt;N(AS6)),"Close before in-house start; ","")&amp;IF(AND(AY6&lt;&gt;"",AS6=""),"In-house start date missing; ","")&amp;IF(AND(AY6&lt;&gt;"",AT6=""),"Qty received missing; ","")&amp;IF(AND(AY6&lt;&gt;"",BF6=""),"QC status missing; ","")&amp;IF(N(AT6)&gt;N(Q6)*1.05,"Received &gt; ordered +5%; ","")&amp;IF(AND(N(AI6)&gt;0,AE6=""),"Payment terms missing; ","")&amp;IF(N(AI6)&gt;N(AD6)+1,"Overpaid vs PO; ","")&amp;IF(AND(N(AK6)&gt;0,AY6&lt;&gt;"",AO6=""),"Payment due date missing; ","")="","OK",IF(AND(A6&lt;&gt;"",OR(B6="",C6="",E6="",F6="",H6="")),"PR info missing; ","")&amp;IF(AND(K6="Approved",OR(J6="",I6="")),"Approval ref/date missing; ","")&amp;IF(AND(O6&lt;&gt;"",K6&lt;&gt;"Approved"),"PO without approval; ","")&amp;IF(AND(O6&lt;&gt;"",OR(P6="",M6="",Q6="",S6="",T6="")),"PO details missing; ","")&amp;IF(AND(O6&lt;&gt;"",AR6=""),"Committed date missing; ","")&amp;IF(AND(ISNUMBER(J6),ISNUMBER(B6),N(J6)&lt;N(B6)),"Approval dated before PR; ","")&amp;IF(AND(ISNUMBER(P6),ISNUMBER(J6),N(P6)&lt;N(J6)),"PO dated before approval; ","")&amp;IF(AND(ISNUMBER(AY6),ISNUMBER(AS6),N(AY6)&lt;N(AS6)),"Close before in-house start; ","")&amp;IF(AND(AY6&lt;&gt;"",AS6=""),"In-house start date missing; ","")&amp;IF(AND(AY6&lt;&gt;"",AT6=""),"Qty received missing; ","")&amp;IF(AND(AY6&lt;&gt;"",BF6=""),"QC status missing; ","")&amp;IF(N(AT6)&gt;N(Q6)*1.05,"Received &gt; ordered +5%; ","")&amp;IF(AND(N(AI6)&gt;0,AE6=""),"Payment terms missing; ","")&amp;IF(N(AI6)&gt;N(AD6)+1,"Overpaid vs PO; ","")&amp;IF(AND(N(AK6)&gt;0,AY6&lt;&gt;"",AO6=""),"Payment due date missing; ","")))</f>
        <v>OK</v>
      </c>
      <c r="BK6" s="76" t="str">
        <f aca="false">IF(A6="","",IF(N(AP6)&gt;0,"Pay supplier: "&amp;N(AP6)&amp;" days overdue; ","")&amp;IF(AND(O6&lt;&gt;"",AY6="",N(BD6)&gt;0),"Expedite delivery: "&amp;N(BD6)&amp;" days late; ","")&amp;IF(AND(BI6="Awaiting Approval",ISNUMBER(B6),Settings!$B$4-N(B6)&gt;Settings!$B$19),"Get approval: PR waiting "&amp;(Settings!$B$4-N(B6))&amp;" days; ","")&amp;IF(AND(BI6="Approved - PO Pending",ISNUMBER(J6),Settings!$B$4-N(J6)&gt;Settings!$B$20),"Issue PO: approved "&amp;(Settings!$B$4-N(J6))&amp;" days ago; ","")&amp;IF(AND(OR(BI6="Awaiting Approval",BI6="Approved - PO Pending"),N(AB6)&gt;Settings!$B$7),"Negotiate price: "&amp;TEXT(AB6,"0%")&amp;" above budget; ","")&amp;IF(LEFT(AX6,12)="Short Closed","Short closed: claim balance / credit note"&amp;IF(N(AL6)&gt;0," BDT "&amp;TEXT(AL6,"#,##0"),"")&amp;"; ","")&amp;IF(BF6="Rejected","QC rejected: return / replace; ","")&amp;IF(AND(O6&lt;&gt;"",AY6="",N(AL6)&gt;0,N(BD6)&gt;0),"Advance at risk: BDT "&amp;TEXT(AL6,"#,##0")&amp;" paid, goods late; ","")&amp;IF(AND(BJ6&lt;&gt;"",BJ6&lt;&gt;"OK"),"Fix data entry (see Data Check); ",""))</f>
        <v/>
      </c>
      <c r="BL6" s="73" t="str">
        <f aca="false">IF(BK6="","",IF(OR(N(AP6)&gt;30,AND(AY6="",N(BD6)&gt;15),BF6="Rejected",AND(LEFT(AX6,12)="Short Closed",N(AL6)&gt;0),AND(O6&lt;&gt;"",AY6="",N(AL6)&gt;0,N(BD6)&gt;0)),"High",IF(OR(N(AP6)&gt;0,AND(AY6="",N(BD6)&gt;7),LEFT(AX6,12)="Short Closed",AND(BI6="Awaiting Approval",ISNUMBER(B6),Settings!$B$4-N(B6)&gt;2*Settings!$B$19),AND(BI6="Approved - PO Pending",ISNUMBER(J6),Settings!$B$4-N(J6)&gt;2*Settings!$B$20)),"Medium","Low")))</f>
        <v/>
      </c>
      <c r="BM6" s="77" t="str">
        <f aca="false">IF(BL6="","",IF(BL6="High",1,IF(BL6="Medium",2,3))*10000+ROW())</f>
        <v/>
      </c>
      <c r="BN6" s="62"/>
    </row>
    <row r="7" customFormat="false" ht="18" hidden="false" customHeight="true" outlineLevel="0" collapsed="false">
      <c r="A7" s="60" t="s">
        <v>168</v>
      </c>
      <c r="B7" s="61" t="n">
        <v>46178</v>
      </c>
      <c r="C7" s="62" t="s">
        <v>153</v>
      </c>
      <c r="D7" s="62" t="s">
        <v>154</v>
      </c>
      <c r="E7" s="62" t="s">
        <v>169</v>
      </c>
      <c r="F7" s="62" t="s">
        <v>156</v>
      </c>
      <c r="G7" s="62" t="s">
        <v>170</v>
      </c>
      <c r="H7" s="60" t="s">
        <v>43</v>
      </c>
      <c r="I7" s="60" t="s">
        <v>171</v>
      </c>
      <c r="J7" s="61" t="n">
        <v>46180</v>
      </c>
      <c r="K7" s="60" t="s">
        <v>159</v>
      </c>
      <c r="L7" s="60" t="s">
        <v>172</v>
      </c>
      <c r="M7" s="62" t="s">
        <v>161</v>
      </c>
      <c r="N7" s="60" t="s">
        <v>162</v>
      </c>
      <c r="O7" s="60" t="s">
        <v>173</v>
      </c>
      <c r="P7" s="61" t="n">
        <v>46185</v>
      </c>
      <c r="Q7" s="63" t="n">
        <v>4500</v>
      </c>
      <c r="R7" s="60" t="s">
        <v>164</v>
      </c>
      <c r="S7" s="64" t="n">
        <v>1.76</v>
      </c>
      <c r="T7" s="60" t="s">
        <v>165</v>
      </c>
      <c r="U7" s="65" t="n">
        <f aca="false">IF(AND(T7="",S7=""),"",IF(T7="",1,IFERROR(INDEX(Settings!$B$12:$B$16,MATCH(T7,Settings!$A$12:$A$16,0)),1)))</f>
        <v>122</v>
      </c>
      <c r="V7" s="64" t="n">
        <v>196.76</v>
      </c>
      <c r="W7" s="66" t="n">
        <f aca="false">IF(OR(Q7="",S7=""),"",Q7*S7*U7)</f>
        <v>966240</v>
      </c>
      <c r="X7" s="65" t="n">
        <f aca="false">IF(OR(W7="",N(Q7)=0),"",W7/Q7)</f>
        <v>214.72</v>
      </c>
      <c r="Y7" s="65" t="str">
        <f aca="false">IF(OR(X7="",P7="",E7=""),"",IF(_xlfn.MAXIFS($P$6:$P$205,$E$6:$E$205,E7,$P$6:$P$205,"&lt;"&amp;P7,$X$6:$X$205,"&gt;0")=0,"",IFERROR(AVERAGEIFS($X$6:$X$205,$E$6:$E$205,E7,$P$6:$P$205,_xlfn.MAXIFS($P$6:$P$205,$E$6:$E$205,E7,$P$6:$P$205,"&lt;"&amp;P7,$X$6:$X$205,"&gt;0"),$X$6:$X$205,"&gt;0"),"")))</f>
        <v/>
      </c>
      <c r="Z7" s="67" t="str">
        <f aca="false">IF(OR(Y7="",X7=""),"",X7/Y7-1)</f>
        <v/>
      </c>
      <c r="AA7" s="68" t="n">
        <f aca="false">IF(OR(W7="",V7=""),"",W7-Q7*V7)</f>
        <v>80820</v>
      </c>
      <c r="AB7" s="69" t="n">
        <f aca="false">IF(AA7="","",IF(N(V7)*N(Q7)=0,"",AA7/(Q7*V7)))</f>
        <v>0.0912787151860134</v>
      </c>
      <c r="AC7" s="70" t="n">
        <v>0.05</v>
      </c>
      <c r="AD7" s="66" t="n">
        <f aca="false">IF(W7="","",W7*(1+N(AC7)))</f>
        <v>1014552</v>
      </c>
      <c r="AE7" s="62" t="s">
        <v>174</v>
      </c>
      <c r="AF7" s="71" t="n">
        <v>1014552</v>
      </c>
      <c r="AG7" s="71"/>
      <c r="AH7" s="71"/>
      <c r="AI7" s="66" t="n">
        <f aca="false">IF(A7="","",N(AF7)+N(AG7)+N(AH7))</f>
        <v>1014552</v>
      </c>
      <c r="AJ7" s="72" t="n">
        <f aca="false">IF(AD7="","",IF(N(AD7)=0,"",AI7/AD7))</f>
        <v>1</v>
      </c>
      <c r="AK7" s="66" t="n">
        <f aca="false">IF(AD7="","",IF(AD7-AI7&lt;1,0,ROUND(AD7-AI7,2)))</f>
        <v>0</v>
      </c>
      <c r="AL7" s="66" t="n">
        <f aca="false">IF(OR(O7="",AD7=""),"",MAX(0,ROUND(N(AI7)-(AD7-N(AW7)),0)))</f>
        <v>0</v>
      </c>
      <c r="AM7" s="73" t="str">
        <f aca="false">IF(A7="","",IF(O7="","No PO Yet",IF(AI7=0,"Not Paid",IF(N(AJ7)&gt;=0.999,"Fully Paid",IF(N(AG7)+N(AH7)&gt;0,"Partially Paid","Initial / Advance Paid")))))</f>
        <v>Fully Paid</v>
      </c>
      <c r="AN7" s="61" t="n">
        <v>46186</v>
      </c>
      <c r="AO7" s="61"/>
      <c r="AP7" s="74" t="str">
        <f aca="false">IF(AK7="","",IF(OR(N(AK7)=0,AO7=""),"",MAX(0,Settings!$B$4-AO7)))</f>
        <v/>
      </c>
      <c r="AQ7" s="73" t="str">
        <f aca="false">IF(AK7="","",IF(N(AK7)&lt;=0,"",IF(AO7="","No Due Date",IF(Settings!$B$4&lt;=AO7,"Not Yet Due",IF(Settings!$B$4-AO7&lt;=30,"1-30 Days",IF(Settings!$B$4-AO7&lt;=60,"31-60 Days",IF(Settings!$B$4-AO7&lt;=90,"61-90 Days","90+ Days")))))))</f>
        <v/>
      </c>
      <c r="AR7" s="61" t="n">
        <v>46204</v>
      </c>
      <c r="AS7" s="61" t="n">
        <v>46198</v>
      </c>
      <c r="AT7" s="63" t="n">
        <v>4500</v>
      </c>
      <c r="AU7" s="72" t="n">
        <f aca="false">IF(Q7="","",IF(N(Q7)=0,"",N(AT7)/Q7))</f>
        <v>1</v>
      </c>
      <c r="AV7" s="75" t="n">
        <f aca="false">IF(OR(A7="",O7="",Q7=""),"",MAX(0,Q7-N(AT7)))</f>
        <v>0</v>
      </c>
      <c r="AW7" s="66" t="n">
        <f aca="false">IF(OR(AV7="",W7=""),"",IF(N(Q7)=0,0,AV7/Q7*AD7))</f>
        <v>0</v>
      </c>
      <c r="AX7" s="76" t="str">
        <f aca="false">IF(A7="","",IF(O7="","No PO Yet",IF(Q7="","Order Qty Missing",IF(N(AT7)&gt;=Q7,IF(N(AT7)&gt;Q7,"All In-house (+"&amp;TEXT(N(AT7)-Q7,"#,##0")&amp;" "&amp;R7&amp;" excess)","All In-house"),IF(AY7&lt;&gt;"","Short Closed - "&amp;TEXT(AV7,"#,##0")&amp;" "&amp;R7&amp;" not received",IF(N(AT7)=0,"Not Started - "&amp;TEXT(AV7,"#,##0")&amp;" "&amp;R7&amp;" pending","Pending "&amp;TEXT(AV7,"#,##0")&amp;" "&amp;R7&amp;" ("&amp;TEXT(AU7,"0%")&amp;" received)"))))))</f>
        <v>All In-house</v>
      </c>
      <c r="AY7" s="61" t="n">
        <v>46199</v>
      </c>
      <c r="AZ7" s="77" t="n">
        <f aca="false">IF(OR(B7="",J7=""),"",J7-B7)</f>
        <v>2</v>
      </c>
      <c r="BA7" s="77" t="n">
        <f aca="false">IF(OR(J7="",P7=""),"",P7-J7)</f>
        <v>5</v>
      </c>
      <c r="BB7" s="77" t="n">
        <f aca="false">IF(OR(P7="",AY7=""),"",AY7-P7)</f>
        <v>14</v>
      </c>
      <c r="BC7" s="77" t="n">
        <f aca="false">IF(OR(B7="",AY7=""),"",AY7-B7)</f>
        <v>21</v>
      </c>
      <c r="BD7" s="74" t="n">
        <f aca="false">IF(OR(AR7="",O7=""),"",MAX(0,IF(AY7="",Settings!$B$4,AY7)-AR7))</f>
        <v>0</v>
      </c>
      <c r="BE7" s="73" t="str">
        <f aca="false">IF(OR(AY7="",AR7=""),"",IF(AND(AY7&lt;=AR7,N(AU7)&gt;=Settings!$B$6),"OTIF","Not OTIF"))</f>
        <v>OTIF</v>
      </c>
      <c r="BF7" s="60" t="s">
        <v>61</v>
      </c>
      <c r="BG7" s="62"/>
      <c r="BH7" s="78"/>
      <c r="BI7" s="76" t="str">
        <f aca="false">IF(A7="","",IF(K7="Rejected","Rejected",IF(K7&lt;&gt;"Approved","Awaiting Approval",IF(O7="","Approved - PO Pending",IF(AY7&lt;&gt;"",IF(N(AJ7)&gt;=0.999,"Closed","In-house Closed - Payment Due"),IF(AS7&lt;&gt;"","Receiving In-house","PO Issued - Awaiting Delivery"))))))</f>
        <v>Closed</v>
      </c>
      <c r="BJ7" s="76" t="str">
        <f aca="false">IF(A7="","",IF(IF(AND(A7&lt;&gt;"",OR(B7="",C7="",E7="",F7="",H7="")),"PR info missing; ","")&amp;IF(AND(K7="Approved",OR(J7="",I7="")),"Approval ref/date missing; ","")&amp;IF(AND(O7&lt;&gt;"",K7&lt;&gt;"Approved"),"PO without approval; ","")&amp;IF(AND(O7&lt;&gt;"",OR(P7="",M7="",Q7="",S7="",T7="")),"PO details missing; ","")&amp;IF(AND(O7&lt;&gt;"",AR7=""),"Committed date missing; ","")&amp;IF(AND(ISNUMBER(J7),ISNUMBER(B7),N(J7)&lt;N(B7)),"Approval dated before PR; ","")&amp;IF(AND(ISNUMBER(P7),ISNUMBER(J7),N(P7)&lt;N(J7)),"PO dated before approval; ","")&amp;IF(AND(ISNUMBER(AY7),ISNUMBER(AS7),N(AY7)&lt;N(AS7)),"Close before in-house start; ","")&amp;IF(AND(AY7&lt;&gt;"",AS7=""),"In-house start date missing; ","")&amp;IF(AND(AY7&lt;&gt;"",AT7=""),"Qty received missing; ","")&amp;IF(AND(AY7&lt;&gt;"",BF7=""),"QC status missing; ","")&amp;IF(N(AT7)&gt;N(Q7)*1.05,"Received &gt; ordered +5%; ","")&amp;IF(AND(N(AI7)&gt;0,AE7=""),"Payment terms missing; ","")&amp;IF(N(AI7)&gt;N(AD7)+1,"Overpaid vs PO; ","")&amp;IF(AND(N(AK7)&gt;0,AY7&lt;&gt;"",AO7=""),"Payment due date missing; ","")="","OK",IF(AND(A7&lt;&gt;"",OR(B7="",C7="",E7="",F7="",H7="")),"PR info missing; ","")&amp;IF(AND(K7="Approved",OR(J7="",I7="")),"Approval ref/date missing; ","")&amp;IF(AND(O7&lt;&gt;"",K7&lt;&gt;"Approved"),"PO without approval; ","")&amp;IF(AND(O7&lt;&gt;"",OR(P7="",M7="",Q7="",S7="",T7="")),"PO details missing; ","")&amp;IF(AND(O7&lt;&gt;"",AR7=""),"Committed date missing; ","")&amp;IF(AND(ISNUMBER(J7),ISNUMBER(B7),N(J7)&lt;N(B7)),"Approval dated before PR; ","")&amp;IF(AND(ISNUMBER(P7),ISNUMBER(J7),N(P7)&lt;N(J7)),"PO dated before approval; ","")&amp;IF(AND(ISNUMBER(AY7),ISNUMBER(AS7),N(AY7)&lt;N(AS7)),"Close before in-house start; ","")&amp;IF(AND(AY7&lt;&gt;"",AS7=""),"In-house start date missing; ","")&amp;IF(AND(AY7&lt;&gt;"",AT7=""),"Qty received missing; ","")&amp;IF(AND(AY7&lt;&gt;"",BF7=""),"QC status missing; ","")&amp;IF(N(AT7)&gt;N(Q7)*1.05,"Received &gt; ordered +5%; ","")&amp;IF(AND(N(AI7)&gt;0,AE7=""),"Payment terms missing; ","")&amp;IF(N(AI7)&gt;N(AD7)+1,"Overpaid vs PO; ","")&amp;IF(AND(N(AK7)&gt;0,AY7&lt;&gt;"",AO7=""),"Payment due date missing; ","")))</f>
        <v>OK</v>
      </c>
      <c r="BK7" s="76" t="str">
        <f aca="false">IF(A7="","",IF(N(AP7)&gt;0,"Pay supplier: "&amp;N(AP7)&amp;" days overdue; ","")&amp;IF(AND(O7&lt;&gt;"",AY7="",N(BD7)&gt;0),"Expedite delivery: "&amp;N(BD7)&amp;" days late; ","")&amp;IF(AND(BI7="Awaiting Approval",ISNUMBER(B7),Settings!$B$4-N(B7)&gt;Settings!$B$19),"Get approval: PR waiting "&amp;(Settings!$B$4-N(B7))&amp;" days; ","")&amp;IF(AND(BI7="Approved - PO Pending",ISNUMBER(J7),Settings!$B$4-N(J7)&gt;Settings!$B$20),"Issue PO: approved "&amp;(Settings!$B$4-N(J7))&amp;" days ago; ","")&amp;IF(AND(OR(BI7="Awaiting Approval",BI7="Approved - PO Pending"),N(AB7)&gt;Settings!$B$7),"Negotiate price: "&amp;TEXT(AB7,"0%")&amp;" above budget; ","")&amp;IF(LEFT(AX7,12)="Short Closed","Short closed: claim balance / credit note"&amp;IF(N(AL7)&gt;0," BDT "&amp;TEXT(AL7,"#,##0"),"")&amp;"; ","")&amp;IF(BF7="Rejected","QC rejected: return / replace; ","")&amp;IF(AND(O7&lt;&gt;"",AY7="",N(AL7)&gt;0,N(BD7)&gt;0),"Advance at risk: BDT "&amp;TEXT(AL7,"#,##0")&amp;" paid, goods late; ","")&amp;IF(AND(BJ7&lt;&gt;"",BJ7&lt;&gt;"OK"),"Fix data entry (see Data Check); ",""))</f>
        <v>QC rejected: return / replace; </v>
      </c>
      <c r="BL7" s="73" t="str">
        <f aca="false">IF(BK7="","",IF(OR(N(AP7)&gt;30,AND(AY7="",N(BD7)&gt;15),BF7="Rejected",AND(LEFT(AX7,12)="Short Closed",N(AL7)&gt;0),AND(O7&lt;&gt;"",AY7="",N(AL7)&gt;0,N(BD7)&gt;0)),"High",IF(OR(N(AP7)&gt;0,AND(AY7="",N(BD7)&gt;7),LEFT(AX7,12)="Short Closed",AND(BI7="Awaiting Approval",ISNUMBER(B7),Settings!$B$4-N(B7)&gt;2*Settings!$B$19),AND(BI7="Approved - PO Pending",ISNUMBER(J7),Settings!$B$4-N(J7)&gt;2*Settings!$B$20)),"Medium","Low")))</f>
        <v>High</v>
      </c>
      <c r="BM7" s="77" t="n">
        <f aca="false">IF(BL7="","",IF(BL7="High",1,IF(BL7="Medium",2,3))*10000+ROW())</f>
        <v>10007</v>
      </c>
      <c r="BN7" s="62"/>
    </row>
    <row r="8" customFormat="false" ht="39.75" hidden="false" customHeight="true" outlineLevel="0" collapsed="false">
      <c r="A8" s="60" t="s">
        <v>175</v>
      </c>
      <c r="B8" s="61" t="n">
        <v>46181</v>
      </c>
      <c r="C8" s="62" t="s">
        <v>153</v>
      </c>
      <c r="D8" s="62" t="s">
        <v>154</v>
      </c>
      <c r="E8" s="62" t="s">
        <v>176</v>
      </c>
      <c r="F8" s="62" t="s">
        <v>156</v>
      </c>
      <c r="G8" s="62" t="s">
        <v>177</v>
      </c>
      <c r="H8" s="60" t="s">
        <v>43</v>
      </c>
      <c r="I8" s="60" t="s">
        <v>178</v>
      </c>
      <c r="J8" s="61" t="n">
        <v>46183</v>
      </c>
      <c r="K8" s="60" t="s">
        <v>159</v>
      </c>
      <c r="L8" s="60" t="s">
        <v>172</v>
      </c>
      <c r="M8" s="62" t="s">
        <v>161</v>
      </c>
      <c r="N8" s="60" t="s">
        <v>162</v>
      </c>
      <c r="O8" s="60" t="s">
        <v>179</v>
      </c>
      <c r="P8" s="61" t="n">
        <v>46188</v>
      </c>
      <c r="Q8" s="63" t="n">
        <v>8400</v>
      </c>
      <c r="R8" s="60" t="s">
        <v>164</v>
      </c>
      <c r="S8" s="64" t="n">
        <v>97</v>
      </c>
      <c r="T8" s="60" t="s">
        <v>180</v>
      </c>
      <c r="U8" s="65" t="n">
        <f aca="false">IF(AND(T8="",S8=""),"",IF(T8="",1,IFERROR(INDEX(Settings!$B$12:$B$16,MATCH(T8,Settings!$A$12:$A$16,0)),1)))</f>
        <v>1</v>
      </c>
      <c r="V8" s="64" t="n">
        <v>95.4</v>
      </c>
      <c r="W8" s="66" t="n">
        <f aca="false">IF(OR(Q8="",S8=""),"",Q8*S8*U8)</f>
        <v>814800</v>
      </c>
      <c r="X8" s="65" t="n">
        <f aca="false">IF(OR(W8="",N(Q8)=0),"",W8/Q8)</f>
        <v>97</v>
      </c>
      <c r="Y8" s="65" t="str">
        <f aca="false">IF(OR(X8="",P8="",E8=""),"",IF(_xlfn.MAXIFS($P$6:$P$205,$E$6:$E$205,E8,$P$6:$P$205,"&lt;"&amp;P8,$X$6:$X$205,"&gt;0")=0,"",IFERROR(AVERAGEIFS($X$6:$X$205,$E$6:$E$205,E8,$P$6:$P$205,_xlfn.MAXIFS($P$6:$P$205,$E$6:$E$205,E8,$P$6:$P$205,"&lt;"&amp;P8,$X$6:$X$205,"&gt;0"),$X$6:$X$205,"&gt;0"),"")))</f>
        <v/>
      </c>
      <c r="Z8" s="67" t="str">
        <f aca="false">IF(OR(Y8="",X8=""),"",X8/Y8-1)</f>
        <v/>
      </c>
      <c r="AA8" s="68" t="n">
        <f aca="false">IF(OR(W8="",V8=""),"",W8-Q8*V8)</f>
        <v>13440</v>
      </c>
      <c r="AB8" s="69" t="n">
        <f aca="false">IF(AA8="","",IF(N(V8)*N(Q8)=0,"",AA8/(Q8*V8)))</f>
        <v>0.0167714884696017</v>
      </c>
      <c r="AC8" s="70" t="n">
        <v>0.05</v>
      </c>
      <c r="AD8" s="66" t="n">
        <f aca="false">IF(W8="","",W8*(1+N(AC8)))</f>
        <v>855540</v>
      </c>
      <c r="AE8" s="62" t="s">
        <v>181</v>
      </c>
      <c r="AF8" s="71"/>
      <c r="AG8" s="71"/>
      <c r="AH8" s="71" t="n">
        <v>855540</v>
      </c>
      <c r="AI8" s="66" t="n">
        <f aca="false">IF(A8="","",N(AF8)+N(AG8)+N(AH8))</f>
        <v>855540</v>
      </c>
      <c r="AJ8" s="72" t="n">
        <f aca="false">IF(AD8="","",IF(N(AD8)=0,"",AI8/AD8))</f>
        <v>1</v>
      </c>
      <c r="AK8" s="66" t="n">
        <f aca="false">IF(AD8="","",IF(AD8-AI8&lt;1,0,ROUND(AD8-AI8,2)))</f>
        <v>0</v>
      </c>
      <c r="AL8" s="66" t="n">
        <f aca="false">IF(OR(O8="",AD8=""),"",MAX(0,ROUND(N(AI8)-(AD8-N(AW8)),0)))</f>
        <v>0</v>
      </c>
      <c r="AM8" s="73" t="str">
        <f aca="false">IF(A8="","",IF(O8="","No PO Yet",IF(AI8=0,"Not Paid",IF(N(AJ8)&gt;=0.999,"Fully Paid",IF(N(AG8)+N(AH8)&gt;0,"Partially Paid","Initial / Advance Paid")))))</f>
        <v>Fully Paid</v>
      </c>
      <c r="AN8" s="61" t="n">
        <v>46236</v>
      </c>
      <c r="AO8" s="61"/>
      <c r="AP8" s="74" t="str">
        <f aca="false">IF(AK8="","",IF(OR(N(AK8)=0,AO8=""),"",MAX(0,Settings!$B$4-AO8)))</f>
        <v/>
      </c>
      <c r="AQ8" s="73" t="str">
        <f aca="false">IF(AK8="","",IF(N(AK8)&lt;=0,"",IF(AO8="","No Due Date",IF(Settings!$B$4&lt;=AO8,"Not Yet Due",IF(Settings!$B$4-AO8&lt;=30,"1-30 Days",IF(Settings!$B$4-AO8&lt;=60,"31-60 Days",IF(Settings!$B$4-AO8&lt;=90,"61-90 Days","90+ Days")))))))</f>
        <v/>
      </c>
      <c r="AR8" s="61" t="n">
        <v>46207</v>
      </c>
      <c r="AS8" s="61" t="n">
        <v>46206</v>
      </c>
      <c r="AT8" s="63" t="n">
        <v>8400</v>
      </c>
      <c r="AU8" s="72" t="n">
        <f aca="false">IF(Q8="","",IF(N(Q8)=0,"",N(AT8)/Q8))</f>
        <v>1</v>
      </c>
      <c r="AV8" s="75" t="n">
        <f aca="false">IF(OR(A8="",O8="",Q8=""),"",MAX(0,Q8-N(AT8)))</f>
        <v>0</v>
      </c>
      <c r="AW8" s="66" t="n">
        <f aca="false">IF(OR(AV8="",W8=""),"",IF(N(Q8)=0,0,AV8/Q8*AD8))</f>
        <v>0</v>
      </c>
      <c r="AX8" s="76" t="str">
        <f aca="false">IF(A8="","",IF(O8="","No PO Yet",IF(Q8="","Order Qty Missing",IF(N(AT8)&gt;=Q8,IF(N(AT8)&gt;Q8,"All In-house (+"&amp;TEXT(N(AT8)-Q8,"#,##0")&amp;" "&amp;R8&amp;" excess)","All In-house"),IF(AY8&lt;&gt;"","Short Closed - "&amp;TEXT(AV8,"#,##0")&amp;" "&amp;R8&amp;" not received",IF(N(AT8)=0,"Not Started - "&amp;TEXT(AV8,"#,##0")&amp;" "&amp;R8&amp;" pending","Pending "&amp;TEXT(AV8,"#,##0")&amp;" "&amp;R8&amp;" ("&amp;TEXT(AU8,"0%")&amp;" received)"))))))</f>
        <v>All In-house</v>
      </c>
      <c r="AY8" s="61" t="n">
        <v>46206</v>
      </c>
      <c r="AZ8" s="77" t="n">
        <f aca="false">IF(OR(B8="",J8=""),"",J8-B8)</f>
        <v>2</v>
      </c>
      <c r="BA8" s="77" t="n">
        <f aca="false">IF(OR(J8="",P8=""),"",P8-J8)</f>
        <v>5</v>
      </c>
      <c r="BB8" s="77" t="n">
        <f aca="false">IF(OR(P8="",AY8=""),"",AY8-P8)</f>
        <v>18</v>
      </c>
      <c r="BC8" s="77" t="n">
        <f aca="false">IF(OR(B8="",AY8=""),"",AY8-B8)</f>
        <v>25</v>
      </c>
      <c r="BD8" s="74" t="n">
        <f aca="false">IF(OR(AR8="",O8=""),"",MAX(0,IF(AY8="",Settings!$B$4,AY8)-AR8))</f>
        <v>0</v>
      </c>
      <c r="BE8" s="73" t="str">
        <f aca="false">IF(OR(AY8="",AR8=""),"",IF(AND(AY8&lt;=AR8,N(AU8)&gt;=Settings!$B$6),"OTIF","Not OTIF"))</f>
        <v>OTIF</v>
      </c>
      <c r="BF8" s="60" t="s">
        <v>159</v>
      </c>
      <c r="BG8" s="62" t="s">
        <v>182</v>
      </c>
      <c r="BH8" s="78"/>
      <c r="BI8" s="76" t="str">
        <f aca="false">IF(A8="","",IF(K8="Rejected","Rejected",IF(K8&lt;&gt;"Approved","Awaiting Approval",IF(O8="","Approved - PO Pending",IF(AY8&lt;&gt;"",IF(N(AJ8)&gt;=0.999,"Closed","In-house Closed - Payment Due"),IF(AS8&lt;&gt;"","Receiving In-house","PO Issued - Awaiting Delivery"))))))</f>
        <v>Closed</v>
      </c>
      <c r="BJ8" s="76" t="str">
        <f aca="false">IF(A8="","",IF(IF(AND(A8&lt;&gt;"",OR(B8="",C8="",E8="",F8="",H8="")),"PR info missing; ","")&amp;IF(AND(K8="Approved",OR(J8="",I8="")),"Approval ref/date missing; ","")&amp;IF(AND(O8&lt;&gt;"",K8&lt;&gt;"Approved"),"PO without approval; ","")&amp;IF(AND(O8&lt;&gt;"",OR(P8="",M8="",Q8="",S8="",T8="")),"PO details missing; ","")&amp;IF(AND(O8&lt;&gt;"",AR8=""),"Committed date missing; ","")&amp;IF(AND(ISNUMBER(J8),ISNUMBER(B8),N(J8)&lt;N(B8)),"Approval dated before PR; ","")&amp;IF(AND(ISNUMBER(P8),ISNUMBER(J8),N(P8)&lt;N(J8)),"PO dated before approval; ","")&amp;IF(AND(ISNUMBER(AY8),ISNUMBER(AS8),N(AY8)&lt;N(AS8)),"Close before in-house start; ","")&amp;IF(AND(AY8&lt;&gt;"",AS8=""),"In-house start date missing; ","")&amp;IF(AND(AY8&lt;&gt;"",AT8=""),"Qty received missing; ","")&amp;IF(AND(AY8&lt;&gt;"",BF8=""),"QC status missing; ","")&amp;IF(N(AT8)&gt;N(Q8)*1.05,"Received &gt; ordered +5%; ","")&amp;IF(AND(N(AI8)&gt;0,AE8=""),"Payment terms missing; ","")&amp;IF(N(AI8)&gt;N(AD8)+1,"Overpaid vs PO; ","")&amp;IF(AND(N(AK8)&gt;0,AY8&lt;&gt;"",AO8=""),"Payment due date missing; ","")="","OK",IF(AND(A8&lt;&gt;"",OR(B8="",C8="",E8="",F8="",H8="")),"PR info missing; ","")&amp;IF(AND(K8="Approved",OR(J8="",I8="")),"Approval ref/date missing; ","")&amp;IF(AND(O8&lt;&gt;"",K8&lt;&gt;"Approved"),"PO without approval; ","")&amp;IF(AND(O8&lt;&gt;"",OR(P8="",M8="",Q8="",S8="",T8="")),"PO details missing; ","")&amp;IF(AND(O8&lt;&gt;"",AR8=""),"Committed date missing; ","")&amp;IF(AND(ISNUMBER(J8),ISNUMBER(B8),N(J8)&lt;N(B8)),"Approval dated before PR; ","")&amp;IF(AND(ISNUMBER(P8),ISNUMBER(J8),N(P8)&lt;N(J8)),"PO dated before approval; ","")&amp;IF(AND(ISNUMBER(AY8),ISNUMBER(AS8),N(AY8)&lt;N(AS8)),"Close before in-house start; ","")&amp;IF(AND(AY8&lt;&gt;"",AS8=""),"In-house start date missing; ","")&amp;IF(AND(AY8&lt;&gt;"",AT8=""),"Qty received missing; ","")&amp;IF(AND(AY8&lt;&gt;"",BF8=""),"QC status missing; ","")&amp;IF(N(AT8)&gt;N(Q8)*1.05,"Received &gt; ordered +5%; ","")&amp;IF(AND(N(AI8)&gt;0,AE8=""),"Payment terms missing; ","")&amp;IF(N(AI8)&gt;N(AD8)+1,"Overpaid vs PO; ","")&amp;IF(AND(N(AK8)&gt;0,AY8&lt;&gt;"",AO8=""),"Payment due date missing; ","")))</f>
        <v>OK</v>
      </c>
      <c r="BK8" s="76" t="str">
        <f aca="false">IF(A8="","",IF(N(AP8)&gt;0,"Pay supplier: "&amp;N(AP8)&amp;" days overdue; ","")&amp;IF(AND(O8&lt;&gt;"",AY8="",N(BD8)&gt;0),"Expedite delivery: "&amp;N(BD8)&amp;" days late; ","")&amp;IF(AND(BI8="Awaiting Approval",ISNUMBER(B8),Settings!$B$4-N(B8)&gt;Settings!$B$19),"Get approval: PR waiting "&amp;(Settings!$B$4-N(B8))&amp;" days; ","")&amp;IF(AND(BI8="Approved - PO Pending",ISNUMBER(J8),Settings!$B$4-N(J8)&gt;Settings!$B$20),"Issue PO: approved "&amp;(Settings!$B$4-N(J8))&amp;" days ago; ","")&amp;IF(AND(OR(BI8="Awaiting Approval",BI8="Approved - PO Pending"),N(AB8)&gt;Settings!$B$7),"Negotiate price: "&amp;TEXT(AB8,"0%")&amp;" above budget; ","")&amp;IF(LEFT(AX8,12)="Short Closed","Short closed: claim balance / credit note"&amp;IF(N(AL8)&gt;0," BDT "&amp;TEXT(AL8,"#,##0"),"")&amp;"; ","")&amp;IF(BF8="Rejected","QC rejected: return / replace; ","")&amp;IF(AND(O8&lt;&gt;"",AY8="",N(AL8)&gt;0,N(BD8)&gt;0),"Advance at risk: BDT "&amp;TEXT(AL8,"#,##0")&amp;" paid, goods late; ","")&amp;IF(AND(BJ8&lt;&gt;"",BJ8&lt;&gt;"OK"),"Fix data entry (see Data Check); ",""))</f>
        <v/>
      </c>
      <c r="BL8" s="73" t="str">
        <f aca="false">IF(BK8="","",IF(OR(N(AP8)&gt;30,AND(AY8="",N(BD8)&gt;15),BF8="Rejected",AND(LEFT(AX8,12)="Short Closed",N(AL8)&gt;0),AND(O8&lt;&gt;"",AY8="",N(AL8)&gt;0,N(BD8)&gt;0)),"High",IF(OR(N(AP8)&gt;0,AND(AY8="",N(BD8)&gt;7),LEFT(AX8,12)="Short Closed",AND(BI8="Awaiting Approval",ISNUMBER(B8),Settings!$B$4-N(B8)&gt;2*Settings!$B$19),AND(BI8="Approved - PO Pending",ISNUMBER(J8),Settings!$B$4-N(J8)&gt;2*Settings!$B$20)),"Medium","Low")))</f>
        <v/>
      </c>
      <c r="BM8" s="77" t="str">
        <f aca="false">IF(BL8="","",IF(BL8="High",1,IF(BL8="Medium",2,3))*10000+ROW())</f>
        <v/>
      </c>
      <c r="BN8" s="62"/>
    </row>
    <row r="9" customFormat="false" ht="39.75" hidden="false" customHeight="true" outlineLevel="0" collapsed="false">
      <c r="A9" s="60" t="s">
        <v>183</v>
      </c>
      <c r="B9" s="61" t="n">
        <v>46184</v>
      </c>
      <c r="C9" s="62" t="s">
        <v>153</v>
      </c>
      <c r="D9" s="62" t="s">
        <v>154</v>
      </c>
      <c r="E9" s="62" t="s">
        <v>184</v>
      </c>
      <c r="F9" s="62" t="s">
        <v>185</v>
      </c>
      <c r="G9" s="62" t="s">
        <v>186</v>
      </c>
      <c r="H9" s="60" t="s">
        <v>43</v>
      </c>
      <c r="I9" s="60" t="s">
        <v>187</v>
      </c>
      <c r="J9" s="61" t="n">
        <v>46188</v>
      </c>
      <c r="K9" s="60" t="s">
        <v>159</v>
      </c>
      <c r="L9" s="60" t="s">
        <v>160</v>
      </c>
      <c r="M9" s="62" t="s">
        <v>188</v>
      </c>
      <c r="N9" s="60" t="s">
        <v>189</v>
      </c>
      <c r="O9" s="60" t="s">
        <v>190</v>
      </c>
      <c r="P9" s="61" t="n">
        <v>46191</v>
      </c>
      <c r="Q9" s="63" t="n">
        <v>7400</v>
      </c>
      <c r="R9" s="60" t="s">
        <v>191</v>
      </c>
      <c r="S9" s="64" t="n">
        <v>3.11</v>
      </c>
      <c r="T9" s="60" t="s">
        <v>165</v>
      </c>
      <c r="U9" s="65" t="n">
        <f aca="false">IF(AND(T9="",S9=""),"",IF(T9="",1,IFERROR(INDEX(Settings!$B$12:$B$16,MATCH(T9,Settings!$A$12:$A$16,0)),1)))</f>
        <v>122</v>
      </c>
      <c r="V9" s="64" t="n">
        <v>373.98</v>
      </c>
      <c r="W9" s="66" t="n">
        <f aca="false">IF(OR(Q9="",S9=""),"",Q9*S9*U9)</f>
        <v>2807708</v>
      </c>
      <c r="X9" s="65" t="n">
        <f aca="false">IF(OR(W9="",N(Q9)=0),"",W9/Q9)</f>
        <v>379.42</v>
      </c>
      <c r="Y9" s="65" t="str">
        <f aca="false">IF(OR(X9="",P9="",E9=""),"",IF(_xlfn.MAXIFS($P$6:$P$205,$E$6:$E$205,E9,$P$6:$P$205,"&lt;"&amp;P9,$X$6:$X$205,"&gt;0")=0,"",IFERROR(AVERAGEIFS($X$6:$X$205,$E$6:$E$205,E9,$P$6:$P$205,_xlfn.MAXIFS($P$6:$P$205,$E$6:$E$205,E9,$P$6:$P$205,"&lt;"&amp;P9,$X$6:$X$205,"&gt;0"),$X$6:$X$205,"&gt;0"),"")))</f>
        <v/>
      </c>
      <c r="Z9" s="67" t="str">
        <f aca="false">IF(OR(Y9="",X9=""),"",X9/Y9-1)</f>
        <v/>
      </c>
      <c r="AA9" s="68" t="n">
        <f aca="false">IF(OR(W9="",V9=""),"",W9-Q9*V9)</f>
        <v>40256</v>
      </c>
      <c r="AB9" s="69" t="n">
        <f aca="false">IF(AA9="","",IF(N(V9)*N(Q9)=0,"",AA9/(Q9*V9)))</f>
        <v>0.0145462324188459</v>
      </c>
      <c r="AC9" s="70" t="n">
        <v>0.15</v>
      </c>
      <c r="AD9" s="66" t="n">
        <f aca="false">IF(W9="","",W9*(1+N(AC9)))</f>
        <v>3228864.2</v>
      </c>
      <c r="AE9" s="62" t="s">
        <v>192</v>
      </c>
      <c r="AF9" s="71"/>
      <c r="AG9" s="71"/>
      <c r="AH9" s="71" t="n">
        <v>3228864.2</v>
      </c>
      <c r="AI9" s="66" t="n">
        <f aca="false">IF(A9="","",N(AF9)+N(AG9)+N(AH9))</f>
        <v>3228864.2</v>
      </c>
      <c r="AJ9" s="72" t="n">
        <f aca="false">IF(AD9="","",IF(N(AD9)=0,"",AI9/AD9))</f>
        <v>1</v>
      </c>
      <c r="AK9" s="66" t="n">
        <f aca="false">IF(AD9="","",IF(AD9-AI9&lt;1,0,ROUND(AD9-AI9,2)))</f>
        <v>0</v>
      </c>
      <c r="AL9" s="66" t="n">
        <f aca="false">IF(OR(O9="",AD9=""),"",MAX(0,ROUND(N(AI9)-(AD9-N(AW9)),0)))</f>
        <v>0</v>
      </c>
      <c r="AM9" s="73" t="str">
        <f aca="false">IF(A9="","",IF(O9="","No PO Yet",IF(AI9=0,"Not Paid",IF(N(AJ9)&gt;=0.999,"Fully Paid",IF(N(AG9)+N(AH9)&gt;0,"Partially Paid","Initial / Advance Paid")))))</f>
        <v>Fully Paid</v>
      </c>
      <c r="AN9" s="61" t="n">
        <v>46223</v>
      </c>
      <c r="AO9" s="61"/>
      <c r="AP9" s="74" t="str">
        <f aca="false">IF(AK9="","",IF(OR(N(AK9)=0,AO9=""),"",MAX(0,Settings!$B$4-AO9)))</f>
        <v/>
      </c>
      <c r="AQ9" s="73" t="str">
        <f aca="false">IF(AK9="","",IF(N(AK9)&lt;=0,"",IF(AO9="","No Due Date",IF(Settings!$B$4&lt;=AO9,"Not Yet Due",IF(Settings!$B$4-AO9&lt;=30,"1-30 Days",IF(Settings!$B$4-AO9&lt;=60,"31-60 Days",IF(Settings!$B$4-AO9&lt;=90,"61-90 Days","90+ Days")))))))</f>
        <v/>
      </c>
      <c r="AR9" s="61" t="n">
        <v>46233</v>
      </c>
      <c r="AS9" s="61" t="n">
        <v>46229</v>
      </c>
      <c r="AT9" s="63" t="n">
        <v>7400</v>
      </c>
      <c r="AU9" s="72" t="n">
        <f aca="false">IF(Q9="","",IF(N(Q9)=0,"",N(AT9)/Q9))</f>
        <v>1</v>
      </c>
      <c r="AV9" s="75" t="n">
        <f aca="false">IF(OR(A9="",O9="",Q9=""),"",MAX(0,Q9-N(AT9)))</f>
        <v>0</v>
      </c>
      <c r="AW9" s="66" t="n">
        <f aca="false">IF(OR(AV9="",W9=""),"",IF(N(Q9)=0,0,AV9/Q9*AD9))</f>
        <v>0</v>
      </c>
      <c r="AX9" s="76" t="str">
        <f aca="false">IF(A9="","",IF(O9="","No PO Yet",IF(Q9="","Order Qty Missing",IF(N(AT9)&gt;=Q9,IF(N(AT9)&gt;Q9,"All In-house (+"&amp;TEXT(N(AT9)-Q9,"#,##0")&amp;" "&amp;R9&amp;" excess)","All In-house"),IF(AY9&lt;&gt;"","Short Closed - "&amp;TEXT(AV9,"#,##0")&amp;" "&amp;R9&amp;" not received",IF(N(AT9)=0,"Not Started - "&amp;TEXT(AV9,"#,##0")&amp;" "&amp;R9&amp;" pending","Pending "&amp;TEXT(AV9,"#,##0")&amp;" "&amp;R9&amp;" ("&amp;TEXT(AU9,"0%")&amp;" received)"))))))</f>
        <v>All In-house</v>
      </c>
      <c r="AY9" s="61" t="n">
        <v>46230</v>
      </c>
      <c r="AZ9" s="77" t="n">
        <f aca="false">IF(OR(B9="",J9=""),"",J9-B9)</f>
        <v>4</v>
      </c>
      <c r="BA9" s="77" t="n">
        <f aca="false">IF(OR(J9="",P9=""),"",P9-J9)</f>
        <v>3</v>
      </c>
      <c r="BB9" s="77" t="n">
        <f aca="false">IF(OR(P9="",AY9=""),"",AY9-P9)</f>
        <v>39</v>
      </c>
      <c r="BC9" s="77" t="n">
        <f aca="false">IF(OR(B9="",AY9=""),"",AY9-B9)</f>
        <v>46</v>
      </c>
      <c r="BD9" s="74" t="n">
        <f aca="false">IF(OR(AR9="",O9=""),"",MAX(0,IF(AY9="",Settings!$B$4,AY9)-AR9))</f>
        <v>0</v>
      </c>
      <c r="BE9" s="73" t="str">
        <f aca="false">IF(OR(AY9="",AR9=""),"",IF(AND(AY9&lt;=AR9,N(AU9)&gt;=Settings!$B$6),"OTIF","Not OTIF"))</f>
        <v>OTIF</v>
      </c>
      <c r="BF9" s="60" t="s">
        <v>159</v>
      </c>
      <c r="BG9" s="62" t="s">
        <v>193</v>
      </c>
      <c r="BH9" s="78"/>
      <c r="BI9" s="76" t="str">
        <f aca="false">IF(A9="","",IF(K9="Rejected","Rejected",IF(K9&lt;&gt;"Approved","Awaiting Approval",IF(O9="","Approved - PO Pending",IF(AY9&lt;&gt;"",IF(N(AJ9)&gt;=0.999,"Closed","In-house Closed - Payment Due"),IF(AS9&lt;&gt;"","Receiving In-house","PO Issued - Awaiting Delivery"))))))</f>
        <v>Closed</v>
      </c>
      <c r="BJ9" s="76" t="str">
        <f aca="false">IF(A9="","",IF(IF(AND(A9&lt;&gt;"",OR(B9="",C9="",E9="",F9="",H9="")),"PR info missing; ","")&amp;IF(AND(K9="Approved",OR(J9="",I9="")),"Approval ref/date missing; ","")&amp;IF(AND(O9&lt;&gt;"",K9&lt;&gt;"Approved"),"PO without approval; ","")&amp;IF(AND(O9&lt;&gt;"",OR(P9="",M9="",Q9="",S9="",T9="")),"PO details missing; ","")&amp;IF(AND(O9&lt;&gt;"",AR9=""),"Committed date missing; ","")&amp;IF(AND(ISNUMBER(J9),ISNUMBER(B9),N(J9)&lt;N(B9)),"Approval dated before PR; ","")&amp;IF(AND(ISNUMBER(P9),ISNUMBER(J9),N(P9)&lt;N(J9)),"PO dated before approval; ","")&amp;IF(AND(ISNUMBER(AY9),ISNUMBER(AS9),N(AY9)&lt;N(AS9)),"Close before in-house start; ","")&amp;IF(AND(AY9&lt;&gt;"",AS9=""),"In-house start date missing; ","")&amp;IF(AND(AY9&lt;&gt;"",AT9=""),"Qty received missing; ","")&amp;IF(AND(AY9&lt;&gt;"",BF9=""),"QC status missing; ","")&amp;IF(N(AT9)&gt;N(Q9)*1.05,"Received &gt; ordered +5%; ","")&amp;IF(AND(N(AI9)&gt;0,AE9=""),"Payment terms missing; ","")&amp;IF(N(AI9)&gt;N(AD9)+1,"Overpaid vs PO; ","")&amp;IF(AND(N(AK9)&gt;0,AY9&lt;&gt;"",AO9=""),"Payment due date missing; ","")="","OK",IF(AND(A9&lt;&gt;"",OR(B9="",C9="",E9="",F9="",H9="")),"PR info missing; ","")&amp;IF(AND(K9="Approved",OR(J9="",I9="")),"Approval ref/date missing; ","")&amp;IF(AND(O9&lt;&gt;"",K9&lt;&gt;"Approved"),"PO without approval; ","")&amp;IF(AND(O9&lt;&gt;"",OR(P9="",M9="",Q9="",S9="",T9="")),"PO details missing; ","")&amp;IF(AND(O9&lt;&gt;"",AR9=""),"Committed date missing; ","")&amp;IF(AND(ISNUMBER(J9),ISNUMBER(B9),N(J9)&lt;N(B9)),"Approval dated before PR; ","")&amp;IF(AND(ISNUMBER(P9),ISNUMBER(J9),N(P9)&lt;N(J9)),"PO dated before approval; ","")&amp;IF(AND(ISNUMBER(AY9),ISNUMBER(AS9),N(AY9)&lt;N(AS9)),"Close before in-house start; ","")&amp;IF(AND(AY9&lt;&gt;"",AS9=""),"In-house start date missing; ","")&amp;IF(AND(AY9&lt;&gt;"",AT9=""),"Qty received missing; ","")&amp;IF(AND(AY9&lt;&gt;"",BF9=""),"QC status missing; ","")&amp;IF(N(AT9)&gt;N(Q9)*1.05,"Received &gt; ordered +5%; ","")&amp;IF(AND(N(AI9)&gt;0,AE9=""),"Payment terms missing; ","")&amp;IF(N(AI9)&gt;N(AD9)+1,"Overpaid vs PO; ","")&amp;IF(AND(N(AK9)&gt;0,AY9&lt;&gt;"",AO9=""),"Payment due date missing; ","")))</f>
        <v>OK</v>
      </c>
      <c r="BK9" s="76" t="str">
        <f aca="false">IF(A9="","",IF(N(AP9)&gt;0,"Pay supplier: "&amp;N(AP9)&amp;" days overdue; ","")&amp;IF(AND(O9&lt;&gt;"",AY9="",N(BD9)&gt;0),"Expedite delivery: "&amp;N(BD9)&amp;" days late; ","")&amp;IF(AND(BI9="Awaiting Approval",ISNUMBER(B9),Settings!$B$4-N(B9)&gt;Settings!$B$19),"Get approval: PR waiting "&amp;(Settings!$B$4-N(B9))&amp;" days; ","")&amp;IF(AND(BI9="Approved - PO Pending",ISNUMBER(J9),Settings!$B$4-N(J9)&gt;Settings!$B$20),"Issue PO: approved "&amp;(Settings!$B$4-N(J9))&amp;" days ago; ","")&amp;IF(AND(OR(BI9="Awaiting Approval",BI9="Approved - PO Pending"),N(AB9)&gt;Settings!$B$7),"Negotiate price: "&amp;TEXT(AB9,"0%")&amp;" above budget; ","")&amp;IF(LEFT(AX9,12)="Short Closed","Short closed: claim balance / credit note"&amp;IF(N(AL9)&gt;0," BDT "&amp;TEXT(AL9,"#,##0"),"")&amp;"; ","")&amp;IF(BF9="Rejected","QC rejected: return / replace; ","")&amp;IF(AND(O9&lt;&gt;"",AY9="",N(AL9)&gt;0,N(BD9)&gt;0),"Advance at risk: BDT "&amp;TEXT(AL9,"#,##0")&amp;" paid, goods late; ","")&amp;IF(AND(BJ9&lt;&gt;"",BJ9&lt;&gt;"OK"),"Fix data entry (see Data Check); ",""))</f>
        <v/>
      </c>
      <c r="BL9" s="73" t="str">
        <f aca="false">IF(BK9="","",IF(OR(N(AP9)&gt;30,AND(AY9="",N(BD9)&gt;15),BF9="Rejected",AND(LEFT(AX9,12)="Short Closed",N(AL9)&gt;0),AND(O9&lt;&gt;"",AY9="",N(AL9)&gt;0,N(BD9)&gt;0)),"High",IF(OR(N(AP9)&gt;0,AND(AY9="",N(BD9)&gt;7),LEFT(AX9,12)="Short Closed",AND(BI9="Awaiting Approval",ISNUMBER(B9),Settings!$B$4-N(B9)&gt;2*Settings!$B$19),AND(BI9="Approved - PO Pending",ISNUMBER(J9),Settings!$B$4-N(J9)&gt;2*Settings!$B$20)),"Medium","Low")))</f>
        <v/>
      </c>
      <c r="BM9" s="77" t="str">
        <f aca="false">IF(BL9="","",IF(BL9="High",1,IF(BL9="Medium",2,3))*10000+ROW())</f>
        <v/>
      </c>
      <c r="BN9" s="62"/>
    </row>
    <row r="10" customFormat="false" ht="39.75" hidden="false" customHeight="true" outlineLevel="0" collapsed="false">
      <c r="A10" s="60" t="s">
        <v>194</v>
      </c>
      <c r="B10" s="61" t="n">
        <v>46187</v>
      </c>
      <c r="C10" s="62" t="s">
        <v>195</v>
      </c>
      <c r="D10" s="62" t="s">
        <v>196</v>
      </c>
      <c r="E10" s="62" t="s">
        <v>197</v>
      </c>
      <c r="F10" s="62" t="s">
        <v>198</v>
      </c>
      <c r="G10" s="62" t="s">
        <v>199</v>
      </c>
      <c r="H10" s="60" t="s">
        <v>43</v>
      </c>
      <c r="I10" s="60" t="s">
        <v>200</v>
      </c>
      <c r="J10" s="61" t="n">
        <v>46188</v>
      </c>
      <c r="K10" s="60" t="s">
        <v>159</v>
      </c>
      <c r="L10" s="60" t="s">
        <v>172</v>
      </c>
      <c r="M10" s="62" t="s">
        <v>201</v>
      </c>
      <c r="N10" s="60" t="s">
        <v>162</v>
      </c>
      <c r="O10" s="60" t="s">
        <v>202</v>
      </c>
      <c r="P10" s="61" t="n">
        <v>46193</v>
      </c>
      <c r="Q10" s="63" t="n">
        <v>11000</v>
      </c>
      <c r="R10" s="60" t="s">
        <v>203</v>
      </c>
      <c r="S10" s="64" t="n">
        <v>186</v>
      </c>
      <c r="T10" s="60" t="s">
        <v>180</v>
      </c>
      <c r="U10" s="65" t="n">
        <f aca="false">IF(AND(T10="",S10=""),"",IF(T10="",1,IFERROR(INDEX(Settings!$B$12:$B$16,MATCH(T10,Settings!$A$12:$A$16,0)),1)))</f>
        <v>1</v>
      </c>
      <c r="V10" s="64" t="n">
        <v>186.21</v>
      </c>
      <c r="W10" s="66" t="n">
        <f aca="false">IF(OR(Q10="",S10=""),"",Q10*S10*U10)</f>
        <v>2046000</v>
      </c>
      <c r="X10" s="65" t="n">
        <f aca="false">IF(OR(W10="",N(Q10)=0),"",W10/Q10)</f>
        <v>186</v>
      </c>
      <c r="Y10" s="65" t="str">
        <f aca="false">IF(OR(X10="",P10="",E10=""),"",IF(_xlfn.MAXIFS($P$6:$P$205,$E$6:$E$205,E10,$P$6:$P$205,"&lt;"&amp;P10,$X$6:$X$205,"&gt;0")=0,"",IFERROR(AVERAGEIFS($X$6:$X$205,$E$6:$E$205,E10,$P$6:$P$205,_xlfn.MAXIFS($P$6:$P$205,$E$6:$E$205,E10,$P$6:$P$205,"&lt;"&amp;P10,$X$6:$X$205,"&gt;0"),$X$6:$X$205,"&gt;0"),"")))</f>
        <v/>
      </c>
      <c r="Z10" s="67" t="str">
        <f aca="false">IF(OR(Y10="",X10=""),"",X10/Y10-1)</f>
        <v/>
      </c>
      <c r="AA10" s="68" t="n">
        <f aca="false">IF(OR(W10="",V10=""),"",W10-Q10*V10)</f>
        <v>-2310</v>
      </c>
      <c r="AB10" s="69" t="n">
        <f aca="false">IF(AA10="","",IF(N(V10)*N(Q10)=0,"",AA10/(Q10*V10)))</f>
        <v>-0.00112775898179475</v>
      </c>
      <c r="AC10" s="70" t="n">
        <v>0.05</v>
      </c>
      <c r="AD10" s="66" t="n">
        <f aca="false">IF(W10="","",W10*(1+N(AC10)))</f>
        <v>2148300</v>
      </c>
      <c r="AE10" s="62" t="s">
        <v>181</v>
      </c>
      <c r="AF10" s="71"/>
      <c r="AG10" s="71" t="n">
        <v>1074150</v>
      </c>
      <c r="AH10" s="71"/>
      <c r="AI10" s="66" t="n">
        <f aca="false">IF(A10="","",N(AF10)+N(AG10)+N(AH10))</f>
        <v>1074150</v>
      </c>
      <c r="AJ10" s="72" t="n">
        <f aca="false">IF(AD10="","",IF(N(AD10)=0,"",AI10/AD10))</f>
        <v>0.5</v>
      </c>
      <c r="AK10" s="66" t="n">
        <f aca="false">IF(AD10="","",IF(AD10-AI10&lt;1,0,ROUND(AD10-AI10,2)))</f>
        <v>1074150</v>
      </c>
      <c r="AL10" s="66" t="n">
        <f aca="false">IF(OR(O10="",AD10=""),"",MAX(0,ROUND(N(AI10)-(AD10-N(AW10)),0)))</f>
        <v>0</v>
      </c>
      <c r="AM10" s="73" t="str">
        <f aca="false">IF(A10="","",IF(O10="","No PO Yet",IF(AI10=0,"Not Paid",IF(N(AJ10)&gt;=0.999,"Fully Paid",IF(N(AG10)+N(AH10)&gt;0,"Partially Paid","Initial / Advance Paid")))))</f>
        <v>Partially Paid</v>
      </c>
      <c r="AN10" s="61" t="n">
        <v>46239</v>
      </c>
      <c r="AO10" s="61" t="n">
        <v>46239</v>
      </c>
      <c r="AP10" s="74" t="n">
        <f aca="false">IF(AK10="","",IF(OR(N(AK10)=0,AO10=""),"",MAX(0,Settings!$B$4-AO10)))</f>
        <v>71</v>
      </c>
      <c r="AQ10" s="73" t="str">
        <f aca="false">IF(AK10="","",IF(N(AK10)&lt;=0,"",IF(AO10="","No Due Date",IF(Settings!$B$4&lt;=AO10,"Not Yet Due",IF(Settings!$B$4-AO10&lt;=30,"1-30 Days",IF(Settings!$B$4-AO10&lt;=60,"31-60 Days",IF(Settings!$B$4-AO10&lt;=90,"61-90 Days","90+ Days")))))))</f>
        <v>61-90 Days</v>
      </c>
      <c r="AR10" s="61" t="n">
        <v>46209</v>
      </c>
      <c r="AS10" s="61" t="n">
        <v>46208</v>
      </c>
      <c r="AT10" s="63" t="n">
        <v>10439</v>
      </c>
      <c r="AU10" s="72" t="n">
        <f aca="false">IF(Q10="","",IF(N(Q10)=0,"",N(AT10)/Q10))</f>
        <v>0.949</v>
      </c>
      <c r="AV10" s="75" t="n">
        <f aca="false">IF(OR(A10="",O10="",Q10=""),"",MAX(0,Q10-N(AT10)))</f>
        <v>561</v>
      </c>
      <c r="AW10" s="66" t="n">
        <f aca="false">IF(OR(AV10="",W10=""),"",IF(N(Q10)=0,0,AV10/Q10*AD10))</f>
        <v>109563.3</v>
      </c>
      <c r="AX10" s="76" t="str">
        <f aca="false">IF(A10="","",IF(O10="","No PO Yet",IF(Q10="","Order Qty Missing",IF(N(AT10)&gt;=Q10,IF(N(AT10)&gt;Q10,"All In-house (+"&amp;TEXT(N(AT10)-Q10,"#,##0")&amp;" "&amp;R10&amp;" excess)","All In-house"),IF(AY10&lt;&gt;"","Short Closed - "&amp;TEXT(AV10,"#,##0")&amp;" "&amp;R10&amp;" not received",IF(N(AT10)=0,"Not Started - "&amp;TEXT(AV10,"#,##0")&amp;" "&amp;R10&amp;" pending","Pending "&amp;TEXT(AV10,"#,##0")&amp;" "&amp;R10&amp;" ("&amp;TEXT(AU10,"0%")&amp;" received)"))))))</f>
        <v>Short Closed - 561 pair not received</v>
      </c>
      <c r="AY10" s="61" t="n">
        <v>46209</v>
      </c>
      <c r="AZ10" s="77" t="n">
        <f aca="false">IF(OR(B10="",J10=""),"",J10-B10)</f>
        <v>1</v>
      </c>
      <c r="BA10" s="77" t="n">
        <f aca="false">IF(OR(J10="",P10=""),"",P10-J10)</f>
        <v>5</v>
      </c>
      <c r="BB10" s="77" t="n">
        <f aca="false">IF(OR(P10="",AY10=""),"",AY10-P10)</f>
        <v>16</v>
      </c>
      <c r="BC10" s="77" t="n">
        <f aca="false">IF(OR(B10="",AY10=""),"",AY10-B10)</f>
        <v>22</v>
      </c>
      <c r="BD10" s="74" t="n">
        <f aca="false">IF(OR(AR10="",O10=""),"",MAX(0,IF(AY10="",Settings!$B$4,AY10)-AR10))</f>
        <v>0</v>
      </c>
      <c r="BE10" s="73" t="str">
        <f aca="false">IF(OR(AY10="",AR10=""),"",IF(AND(AY10&lt;=AR10,N(AU10)&gt;=Settings!$B$6),"OTIF","Not OTIF"))</f>
        <v>Not OTIF</v>
      </c>
      <c r="BF10" s="60" t="s">
        <v>159</v>
      </c>
      <c r="BG10" s="62" t="s">
        <v>204</v>
      </c>
      <c r="BH10" s="78"/>
      <c r="BI10" s="76" t="str">
        <f aca="false">IF(A10="","",IF(K10="Rejected","Rejected",IF(K10&lt;&gt;"Approved","Awaiting Approval",IF(O10="","Approved - PO Pending",IF(AY10&lt;&gt;"",IF(N(AJ10)&gt;=0.999,"Closed","In-house Closed - Payment Due"),IF(AS10&lt;&gt;"","Receiving In-house","PO Issued - Awaiting Delivery"))))))</f>
        <v>In-house Closed - Payment Due</v>
      </c>
      <c r="BJ10" s="76" t="str">
        <f aca="false">IF(A10="","",IF(IF(AND(A10&lt;&gt;"",OR(B10="",C10="",E10="",F10="",H10="")),"PR info missing; ","")&amp;IF(AND(K10="Approved",OR(J10="",I10="")),"Approval ref/date missing; ","")&amp;IF(AND(O10&lt;&gt;"",K10&lt;&gt;"Approved"),"PO without approval; ","")&amp;IF(AND(O10&lt;&gt;"",OR(P10="",M10="",Q10="",S10="",T10="")),"PO details missing; ","")&amp;IF(AND(O10&lt;&gt;"",AR10=""),"Committed date missing; ","")&amp;IF(AND(ISNUMBER(J10),ISNUMBER(B10),N(J10)&lt;N(B10)),"Approval dated before PR; ","")&amp;IF(AND(ISNUMBER(P10),ISNUMBER(J10),N(P10)&lt;N(J10)),"PO dated before approval; ","")&amp;IF(AND(ISNUMBER(AY10),ISNUMBER(AS10),N(AY10)&lt;N(AS10)),"Close before in-house start; ","")&amp;IF(AND(AY10&lt;&gt;"",AS10=""),"In-house start date missing; ","")&amp;IF(AND(AY10&lt;&gt;"",AT10=""),"Qty received missing; ","")&amp;IF(AND(AY10&lt;&gt;"",BF10=""),"QC status missing; ","")&amp;IF(N(AT10)&gt;N(Q10)*1.05,"Received &gt; ordered +5%; ","")&amp;IF(AND(N(AI10)&gt;0,AE10=""),"Payment terms missing; ","")&amp;IF(N(AI10)&gt;N(AD10)+1,"Overpaid vs PO; ","")&amp;IF(AND(N(AK10)&gt;0,AY10&lt;&gt;"",AO10=""),"Payment due date missing; ","")="","OK",IF(AND(A10&lt;&gt;"",OR(B10="",C10="",E10="",F10="",H10="")),"PR info missing; ","")&amp;IF(AND(K10="Approved",OR(J10="",I10="")),"Approval ref/date missing; ","")&amp;IF(AND(O10&lt;&gt;"",K10&lt;&gt;"Approved"),"PO without approval; ","")&amp;IF(AND(O10&lt;&gt;"",OR(P10="",M10="",Q10="",S10="",T10="")),"PO details missing; ","")&amp;IF(AND(O10&lt;&gt;"",AR10=""),"Committed date missing; ","")&amp;IF(AND(ISNUMBER(J10),ISNUMBER(B10),N(J10)&lt;N(B10)),"Approval dated before PR; ","")&amp;IF(AND(ISNUMBER(P10),ISNUMBER(J10),N(P10)&lt;N(J10)),"PO dated before approval; ","")&amp;IF(AND(ISNUMBER(AY10),ISNUMBER(AS10),N(AY10)&lt;N(AS10)),"Close before in-house start; ","")&amp;IF(AND(AY10&lt;&gt;"",AS10=""),"In-house start date missing; ","")&amp;IF(AND(AY10&lt;&gt;"",AT10=""),"Qty received missing; ","")&amp;IF(AND(AY10&lt;&gt;"",BF10=""),"QC status missing; ","")&amp;IF(N(AT10)&gt;N(Q10)*1.05,"Received &gt; ordered +5%; ","")&amp;IF(AND(N(AI10)&gt;0,AE10=""),"Payment terms missing; ","")&amp;IF(N(AI10)&gt;N(AD10)+1,"Overpaid vs PO; ","")&amp;IF(AND(N(AK10)&gt;0,AY10&lt;&gt;"",AO10=""),"Payment due date missing; ","")))</f>
        <v>OK</v>
      </c>
      <c r="BK10" s="76" t="str">
        <f aca="false">IF(A10="","",IF(N(AP10)&gt;0,"Pay supplier: "&amp;N(AP10)&amp;" days overdue; ","")&amp;IF(AND(O10&lt;&gt;"",AY10="",N(BD10)&gt;0),"Expedite delivery: "&amp;N(BD10)&amp;" days late; ","")&amp;IF(AND(BI10="Awaiting Approval",ISNUMBER(B10),Settings!$B$4-N(B10)&gt;Settings!$B$19),"Get approval: PR waiting "&amp;(Settings!$B$4-N(B10))&amp;" days; ","")&amp;IF(AND(BI10="Approved - PO Pending",ISNUMBER(J10),Settings!$B$4-N(J10)&gt;Settings!$B$20),"Issue PO: approved "&amp;(Settings!$B$4-N(J10))&amp;" days ago; ","")&amp;IF(AND(OR(BI10="Awaiting Approval",BI10="Approved - PO Pending"),N(AB10)&gt;Settings!$B$7),"Negotiate price: "&amp;TEXT(AB10,"0%")&amp;" above budget; ","")&amp;IF(LEFT(AX10,12)="Short Closed","Short closed: claim balance / credit note"&amp;IF(N(AL10)&gt;0," BDT "&amp;TEXT(AL10,"#,##0"),"")&amp;"; ","")&amp;IF(BF10="Rejected","QC rejected: return / replace; ","")&amp;IF(AND(O10&lt;&gt;"",AY10="",N(AL10)&gt;0,N(BD10)&gt;0),"Advance at risk: BDT "&amp;TEXT(AL10,"#,##0")&amp;" paid, goods late; ","")&amp;IF(AND(BJ10&lt;&gt;"",BJ10&lt;&gt;"OK"),"Fix data entry (see Data Check); ",""))</f>
        <v>Pay supplier: 71 days overdue; Short closed: claim balance / credit note; </v>
      </c>
      <c r="BL10" s="73" t="str">
        <f aca="false">IF(BK10="","",IF(OR(N(AP10)&gt;30,AND(AY10="",N(BD10)&gt;15),BF10="Rejected",AND(LEFT(AX10,12)="Short Closed",N(AL10)&gt;0),AND(O10&lt;&gt;"",AY10="",N(AL10)&gt;0,N(BD10)&gt;0)),"High",IF(OR(N(AP10)&gt;0,AND(AY10="",N(BD10)&gt;7),LEFT(AX10,12)="Short Closed",AND(BI10="Awaiting Approval",ISNUMBER(B10),Settings!$B$4-N(B10)&gt;2*Settings!$B$19),AND(BI10="Approved - PO Pending",ISNUMBER(J10),Settings!$B$4-N(J10)&gt;2*Settings!$B$20)),"Medium","Low")))</f>
        <v>High</v>
      </c>
      <c r="BM10" s="77" t="n">
        <f aca="false">IF(BL10="","",IF(BL10="High",1,IF(BL10="Medium",2,3))*10000+ROW())</f>
        <v>10010</v>
      </c>
      <c r="BN10" s="62" t="s">
        <v>205</v>
      </c>
    </row>
    <row r="11" customFormat="false" ht="39.75" hidden="false" customHeight="true" outlineLevel="0" collapsed="false">
      <c r="A11" s="60" t="s">
        <v>206</v>
      </c>
      <c r="B11" s="61" t="n">
        <v>46190</v>
      </c>
      <c r="C11" s="62" t="s">
        <v>195</v>
      </c>
      <c r="D11" s="62" t="s">
        <v>196</v>
      </c>
      <c r="E11" s="62" t="s">
        <v>207</v>
      </c>
      <c r="F11" s="62" t="s">
        <v>198</v>
      </c>
      <c r="G11" s="62" t="s">
        <v>208</v>
      </c>
      <c r="H11" s="60" t="s">
        <v>43</v>
      </c>
      <c r="I11" s="60" t="s">
        <v>209</v>
      </c>
      <c r="J11" s="61" t="n">
        <v>46194</v>
      </c>
      <c r="K11" s="60" t="s">
        <v>159</v>
      </c>
      <c r="L11" s="60" t="s">
        <v>172</v>
      </c>
      <c r="M11" s="62" t="s">
        <v>201</v>
      </c>
      <c r="N11" s="60" t="s">
        <v>162</v>
      </c>
      <c r="O11" s="60" t="s">
        <v>210</v>
      </c>
      <c r="P11" s="61" t="n">
        <v>46195</v>
      </c>
      <c r="Q11" s="63" t="n">
        <v>6800</v>
      </c>
      <c r="R11" s="60" t="s">
        <v>203</v>
      </c>
      <c r="S11" s="64" t="n">
        <v>125</v>
      </c>
      <c r="T11" s="60" t="s">
        <v>180</v>
      </c>
      <c r="U11" s="65" t="n">
        <f aca="false">IF(AND(T11="",S11=""),"",IF(T11="",1,IFERROR(INDEX(Settings!$B$12:$B$16,MATCH(T11,Settings!$A$12:$A$16,0)),1)))</f>
        <v>1</v>
      </c>
      <c r="V11" s="64" t="n">
        <v>120.68</v>
      </c>
      <c r="W11" s="66" t="n">
        <f aca="false">IF(OR(Q11="",S11=""),"",Q11*S11*U11)</f>
        <v>850000</v>
      </c>
      <c r="X11" s="65" t="n">
        <f aca="false">IF(OR(W11="",N(Q11)=0),"",W11/Q11)</f>
        <v>125</v>
      </c>
      <c r="Y11" s="65" t="str">
        <f aca="false">IF(OR(X11="",P11="",E11=""),"",IF(_xlfn.MAXIFS($P$6:$P$205,$E$6:$E$205,E11,$P$6:$P$205,"&lt;"&amp;P11,$X$6:$X$205,"&gt;0")=0,"",IFERROR(AVERAGEIFS($X$6:$X$205,$E$6:$E$205,E11,$P$6:$P$205,_xlfn.MAXIFS($P$6:$P$205,$E$6:$E$205,E11,$P$6:$P$205,"&lt;"&amp;P11,$X$6:$X$205,"&gt;0"),$X$6:$X$205,"&gt;0"),"")))</f>
        <v/>
      </c>
      <c r="Z11" s="67" t="str">
        <f aca="false">IF(OR(Y11="",X11=""),"",X11/Y11-1)</f>
        <v/>
      </c>
      <c r="AA11" s="68" t="n">
        <f aca="false">IF(OR(W11="",V11=""),"",W11-Q11*V11)</f>
        <v>29376</v>
      </c>
      <c r="AB11" s="69" t="n">
        <f aca="false">IF(AA11="","",IF(N(V11)*N(Q11)=0,"",AA11/(Q11*V11)))</f>
        <v>0.0357971494862446</v>
      </c>
      <c r="AC11" s="70" t="n">
        <v>0.05</v>
      </c>
      <c r="AD11" s="66" t="n">
        <f aca="false">IF(W11="","",W11*(1+N(AC11)))</f>
        <v>892500</v>
      </c>
      <c r="AE11" s="62" t="s">
        <v>174</v>
      </c>
      <c r="AF11" s="71" t="n">
        <v>892500</v>
      </c>
      <c r="AG11" s="71"/>
      <c r="AH11" s="71"/>
      <c r="AI11" s="66" t="n">
        <f aca="false">IF(A11="","",N(AF11)+N(AG11)+N(AH11))</f>
        <v>892500</v>
      </c>
      <c r="AJ11" s="72" t="n">
        <f aca="false">IF(AD11="","",IF(N(AD11)=0,"",AI11/AD11))</f>
        <v>1</v>
      </c>
      <c r="AK11" s="66" t="n">
        <f aca="false">IF(AD11="","",IF(AD11-AI11&lt;1,0,ROUND(AD11-AI11,2)))</f>
        <v>0</v>
      </c>
      <c r="AL11" s="66" t="n">
        <f aca="false">IF(OR(O11="",AD11=""),"",MAX(0,ROUND(N(AI11)-(AD11-N(AW11)),0)))</f>
        <v>0</v>
      </c>
      <c r="AM11" s="73" t="str">
        <f aca="false">IF(A11="","",IF(O11="","No PO Yet",IF(AI11=0,"Not Paid",IF(N(AJ11)&gt;=0.999,"Fully Paid",IF(N(AG11)+N(AH11)&gt;0,"Partially Paid","Initial / Advance Paid")))))</f>
        <v>Fully Paid</v>
      </c>
      <c r="AN11" s="61" t="n">
        <v>46196</v>
      </c>
      <c r="AO11" s="61"/>
      <c r="AP11" s="74" t="str">
        <f aca="false">IF(AK11="","",IF(OR(N(AK11)=0,AO11=""),"",MAX(0,Settings!$B$4-AO11)))</f>
        <v/>
      </c>
      <c r="AQ11" s="73" t="str">
        <f aca="false">IF(AK11="","",IF(N(AK11)&lt;=0,"",IF(AO11="","No Due Date",IF(Settings!$B$4&lt;=AO11,"Not Yet Due",IF(Settings!$B$4-AO11&lt;=30,"1-30 Days",IF(Settings!$B$4-AO11&lt;=60,"31-60 Days",IF(Settings!$B$4-AO11&lt;=90,"61-90 Days","90+ Days")))))))</f>
        <v/>
      </c>
      <c r="AR11" s="61" t="n">
        <v>46209</v>
      </c>
      <c r="AS11" s="61" t="n">
        <v>46204</v>
      </c>
      <c r="AT11" s="63" t="n">
        <v>6800</v>
      </c>
      <c r="AU11" s="72" t="n">
        <f aca="false">IF(Q11="","",IF(N(Q11)=0,"",N(AT11)/Q11))</f>
        <v>1</v>
      </c>
      <c r="AV11" s="75" t="n">
        <f aca="false">IF(OR(A11="",O11="",Q11=""),"",MAX(0,Q11-N(AT11)))</f>
        <v>0</v>
      </c>
      <c r="AW11" s="66" t="n">
        <f aca="false">IF(OR(AV11="",W11=""),"",IF(N(Q11)=0,0,AV11/Q11*AD11))</f>
        <v>0</v>
      </c>
      <c r="AX11" s="76" t="str">
        <f aca="false">IF(A11="","",IF(O11="","No PO Yet",IF(Q11="","Order Qty Missing",IF(N(AT11)&gt;=Q11,IF(N(AT11)&gt;Q11,"All In-house (+"&amp;TEXT(N(AT11)-Q11,"#,##0")&amp;" "&amp;R11&amp;" excess)","All In-house"),IF(AY11&lt;&gt;"","Short Closed - "&amp;TEXT(AV11,"#,##0")&amp;" "&amp;R11&amp;" not received",IF(N(AT11)=0,"Not Started - "&amp;TEXT(AV11,"#,##0")&amp;" "&amp;R11&amp;" pending","Pending "&amp;TEXT(AV11,"#,##0")&amp;" "&amp;R11&amp;" ("&amp;TEXT(AU11,"0%")&amp;" received)"))))))</f>
        <v>All In-house</v>
      </c>
      <c r="AY11" s="61" t="n">
        <v>46204</v>
      </c>
      <c r="AZ11" s="77" t="n">
        <f aca="false">IF(OR(B11="",J11=""),"",J11-B11)</f>
        <v>4</v>
      </c>
      <c r="BA11" s="77" t="n">
        <f aca="false">IF(OR(J11="",P11=""),"",P11-J11)</f>
        <v>1</v>
      </c>
      <c r="BB11" s="77" t="n">
        <f aca="false">IF(OR(P11="",AY11=""),"",AY11-P11)</f>
        <v>9</v>
      </c>
      <c r="BC11" s="77" t="n">
        <f aca="false">IF(OR(B11="",AY11=""),"",AY11-B11)</f>
        <v>14</v>
      </c>
      <c r="BD11" s="74" t="n">
        <f aca="false">IF(OR(AR11="",O11=""),"",MAX(0,IF(AY11="",Settings!$B$4,AY11)-AR11))</f>
        <v>0</v>
      </c>
      <c r="BE11" s="73" t="str">
        <f aca="false">IF(OR(AY11="",AR11=""),"",IF(AND(AY11&lt;=AR11,N(AU11)&gt;=Settings!$B$6),"OTIF","Not OTIF"))</f>
        <v>OTIF</v>
      </c>
      <c r="BF11" s="60" t="s">
        <v>159</v>
      </c>
      <c r="BG11" s="62" t="s">
        <v>211</v>
      </c>
      <c r="BH11" s="78"/>
      <c r="BI11" s="76" t="str">
        <f aca="false">IF(A11="","",IF(K11="Rejected","Rejected",IF(K11&lt;&gt;"Approved","Awaiting Approval",IF(O11="","Approved - PO Pending",IF(AY11&lt;&gt;"",IF(N(AJ11)&gt;=0.999,"Closed","In-house Closed - Payment Due"),IF(AS11&lt;&gt;"","Receiving In-house","PO Issued - Awaiting Delivery"))))))</f>
        <v>Closed</v>
      </c>
      <c r="BJ11" s="76" t="str">
        <f aca="false">IF(A11="","",IF(IF(AND(A11&lt;&gt;"",OR(B11="",C11="",E11="",F11="",H11="")),"PR info missing; ","")&amp;IF(AND(K11="Approved",OR(J11="",I11="")),"Approval ref/date missing; ","")&amp;IF(AND(O11&lt;&gt;"",K11&lt;&gt;"Approved"),"PO without approval; ","")&amp;IF(AND(O11&lt;&gt;"",OR(P11="",M11="",Q11="",S11="",T11="")),"PO details missing; ","")&amp;IF(AND(O11&lt;&gt;"",AR11=""),"Committed date missing; ","")&amp;IF(AND(ISNUMBER(J11),ISNUMBER(B11),N(J11)&lt;N(B11)),"Approval dated before PR; ","")&amp;IF(AND(ISNUMBER(P11),ISNUMBER(J11),N(P11)&lt;N(J11)),"PO dated before approval; ","")&amp;IF(AND(ISNUMBER(AY11),ISNUMBER(AS11),N(AY11)&lt;N(AS11)),"Close before in-house start; ","")&amp;IF(AND(AY11&lt;&gt;"",AS11=""),"In-house start date missing; ","")&amp;IF(AND(AY11&lt;&gt;"",AT11=""),"Qty received missing; ","")&amp;IF(AND(AY11&lt;&gt;"",BF11=""),"QC status missing; ","")&amp;IF(N(AT11)&gt;N(Q11)*1.05,"Received &gt; ordered +5%; ","")&amp;IF(AND(N(AI11)&gt;0,AE11=""),"Payment terms missing; ","")&amp;IF(N(AI11)&gt;N(AD11)+1,"Overpaid vs PO; ","")&amp;IF(AND(N(AK11)&gt;0,AY11&lt;&gt;"",AO11=""),"Payment due date missing; ","")="","OK",IF(AND(A11&lt;&gt;"",OR(B11="",C11="",E11="",F11="",H11="")),"PR info missing; ","")&amp;IF(AND(K11="Approved",OR(J11="",I11="")),"Approval ref/date missing; ","")&amp;IF(AND(O11&lt;&gt;"",K11&lt;&gt;"Approved"),"PO without approval; ","")&amp;IF(AND(O11&lt;&gt;"",OR(P11="",M11="",Q11="",S11="",T11="")),"PO details missing; ","")&amp;IF(AND(O11&lt;&gt;"",AR11=""),"Committed date missing; ","")&amp;IF(AND(ISNUMBER(J11),ISNUMBER(B11),N(J11)&lt;N(B11)),"Approval dated before PR; ","")&amp;IF(AND(ISNUMBER(P11),ISNUMBER(J11),N(P11)&lt;N(J11)),"PO dated before approval; ","")&amp;IF(AND(ISNUMBER(AY11),ISNUMBER(AS11),N(AY11)&lt;N(AS11)),"Close before in-house start; ","")&amp;IF(AND(AY11&lt;&gt;"",AS11=""),"In-house start date missing; ","")&amp;IF(AND(AY11&lt;&gt;"",AT11=""),"Qty received missing; ","")&amp;IF(AND(AY11&lt;&gt;"",BF11=""),"QC status missing; ","")&amp;IF(N(AT11)&gt;N(Q11)*1.05,"Received &gt; ordered +5%; ","")&amp;IF(AND(N(AI11)&gt;0,AE11=""),"Payment terms missing; ","")&amp;IF(N(AI11)&gt;N(AD11)+1,"Overpaid vs PO; ","")&amp;IF(AND(N(AK11)&gt;0,AY11&lt;&gt;"",AO11=""),"Payment due date missing; ","")))</f>
        <v>OK</v>
      </c>
      <c r="BK11" s="76" t="str">
        <f aca="false">IF(A11="","",IF(N(AP11)&gt;0,"Pay supplier: "&amp;N(AP11)&amp;" days overdue; ","")&amp;IF(AND(O11&lt;&gt;"",AY11="",N(BD11)&gt;0),"Expedite delivery: "&amp;N(BD11)&amp;" days late; ","")&amp;IF(AND(BI11="Awaiting Approval",ISNUMBER(B11),Settings!$B$4-N(B11)&gt;Settings!$B$19),"Get approval: PR waiting "&amp;(Settings!$B$4-N(B11))&amp;" days; ","")&amp;IF(AND(BI11="Approved - PO Pending",ISNUMBER(J11),Settings!$B$4-N(J11)&gt;Settings!$B$20),"Issue PO: approved "&amp;(Settings!$B$4-N(J11))&amp;" days ago; ","")&amp;IF(AND(OR(BI11="Awaiting Approval",BI11="Approved - PO Pending"),N(AB11)&gt;Settings!$B$7),"Negotiate price: "&amp;TEXT(AB11,"0%")&amp;" above budget; ","")&amp;IF(LEFT(AX11,12)="Short Closed","Short closed: claim balance / credit note"&amp;IF(N(AL11)&gt;0," BDT "&amp;TEXT(AL11,"#,##0"),"")&amp;"; ","")&amp;IF(BF11="Rejected","QC rejected: return / replace; ","")&amp;IF(AND(O11&lt;&gt;"",AY11="",N(AL11)&gt;0,N(BD11)&gt;0),"Advance at risk: BDT "&amp;TEXT(AL11,"#,##0")&amp;" paid, goods late; ","")&amp;IF(AND(BJ11&lt;&gt;"",BJ11&lt;&gt;"OK"),"Fix data entry (see Data Check); ",""))</f>
        <v/>
      </c>
      <c r="BL11" s="73" t="str">
        <f aca="false">IF(BK11="","",IF(OR(N(AP11)&gt;30,AND(AY11="",N(BD11)&gt;15),BF11="Rejected",AND(LEFT(AX11,12)="Short Closed",N(AL11)&gt;0),AND(O11&lt;&gt;"",AY11="",N(AL11)&gt;0,N(BD11)&gt;0)),"High",IF(OR(N(AP11)&gt;0,AND(AY11="",N(BD11)&gt;7),LEFT(AX11,12)="Short Closed",AND(BI11="Awaiting Approval",ISNUMBER(B11),Settings!$B$4-N(B11)&gt;2*Settings!$B$19),AND(BI11="Approved - PO Pending",ISNUMBER(J11),Settings!$B$4-N(J11)&gt;2*Settings!$B$20)),"Medium","Low")))</f>
        <v/>
      </c>
      <c r="BM11" s="77" t="str">
        <f aca="false">IF(BL11="","",IF(BL11="High",1,IF(BL11="Medium",2,3))*10000+ROW())</f>
        <v/>
      </c>
      <c r="BN11" s="62"/>
    </row>
    <row r="12" customFormat="false" ht="39.75" hidden="false" customHeight="true" outlineLevel="0" collapsed="false">
      <c r="A12" s="60" t="s">
        <v>212</v>
      </c>
      <c r="B12" s="61" t="n">
        <v>46194</v>
      </c>
      <c r="C12" s="62" t="s">
        <v>195</v>
      </c>
      <c r="D12" s="62" t="s">
        <v>196</v>
      </c>
      <c r="E12" s="62" t="s">
        <v>213</v>
      </c>
      <c r="F12" s="62" t="s">
        <v>198</v>
      </c>
      <c r="G12" s="62" t="s">
        <v>214</v>
      </c>
      <c r="H12" s="60" t="s">
        <v>43</v>
      </c>
      <c r="I12" s="60" t="s">
        <v>215</v>
      </c>
      <c r="J12" s="61" t="n">
        <v>46198</v>
      </c>
      <c r="K12" s="60" t="s">
        <v>159</v>
      </c>
      <c r="L12" s="60" t="s">
        <v>160</v>
      </c>
      <c r="M12" s="62" t="s">
        <v>188</v>
      </c>
      <c r="N12" s="60" t="s">
        <v>189</v>
      </c>
      <c r="O12" s="60" t="s">
        <v>216</v>
      </c>
      <c r="P12" s="61" t="n">
        <v>46199</v>
      </c>
      <c r="Q12" s="63" t="n">
        <v>4800</v>
      </c>
      <c r="R12" s="60" t="s">
        <v>217</v>
      </c>
      <c r="S12" s="64" t="n">
        <v>10.1</v>
      </c>
      <c r="T12" s="60" t="s">
        <v>218</v>
      </c>
      <c r="U12" s="65" t="n">
        <f aca="false">IF(AND(T12="",S12=""),"",IF(T12="",1,IFERROR(INDEX(Settings!$B$12:$B$16,MATCH(T12,Settings!$A$12:$A$16,0)),1)))</f>
        <v>17</v>
      </c>
      <c r="V12" s="64" t="n">
        <v>159.41</v>
      </c>
      <c r="W12" s="66" t="n">
        <f aca="false">IF(OR(Q12="",S12=""),"",Q12*S12*U12)</f>
        <v>824160</v>
      </c>
      <c r="X12" s="65" t="n">
        <f aca="false">IF(OR(W12="",N(Q12)=0),"",W12/Q12)</f>
        <v>171.7</v>
      </c>
      <c r="Y12" s="65" t="str">
        <f aca="false">IF(OR(X12="",P12="",E12=""),"",IF(_xlfn.MAXIFS($P$6:$P$205,$E$6:$E$205,E12,$P$6:$P$205,"&lt;"&amp;P12,$X$6:$X$205,"&gt;0")=0,"",IFERROR(AVERAGEIFS($X$6:$X$205,$E$6:$E$205,E12,$P$6:$P$205,_xlfn.MAXIFS($P$6:$P$205,$E$6:$E$205,E12,$P$6:$P$205,"&lt;"&amp;P12,$X$6:$X$205,"&gt;0"),$X$6:$X$205,"&gt;0"),"")))</f>
        <v/>
      </c>
      <c r="Z12" s="67" t="str">
        <f aca="false">IF(OR(Y12="",X12=""),"",X12/Y12-1)</f>
        <v/>
      </c>
      <c r="AA12" s="68" t="n">
        <f aca="false">IF(OR(W12="",V12=""),"",W12-Q12*V12)</f>
        <v>58992</v>
      </c>
      <c r="AB12" s="69" t="n">
        <f aca="false">IF(AA12="","",IF(N(V12)*N(Q12)=0,"",AA12/(Q12*V12)))</f>
        <v>0.0770967944294586</v>
      </c>
      <c r="AC12" s="70" t="n">
        <v>0.15</v>
      </c>
      <c r="AD12" s="66" t="n">
        <f aca="false">IF(W12="","",W12*(1+N(AC12)))</f>
        <v>947784</v>
      </c>
      <c r="AE12" s="62" t="s">
        <v>192</v>
      </c>
      <c r="AF12" s="71"/>
      <c r="AG12" s="71"/>
      <c r="AH12" s="71" t="n">
        <v>947784</v>
      </c>
      <c r="AI12" s="66" t="n">
        <f aca="false">IF(A12="","",N(AF12)+N(AG12)+N(AH12))</f>
        <v>947784</v>
      </c>
      <c r="AJ12" s="72" t="n">
        <f aca="false">IF(AD12="","",IF(N(AD12)=0,"",AI12/AD12))</f>
        <v>1</v>
      </c>
      <c r="AK12" s="66" t="n">
        <f aca="false">IF(AD12="","",IF(AD12-AI12&lt;1,0,ROUND(AD12-AI12,2)))</f>
        <v>0</v>
      </c>
      <c r="AL12" s="66" t="n">
        <f aca="false">IF(OR(O12="",AD12=""),"",MAX(0,ROUND(N(AI12)-(AD12-N(AW12)),0)))</f>
        <v>0</v>
      </c>
      <c r="AM12" s="73" t="str">
        <f aca="false">IF(A12="","",IF(O12="","No PO Yet",IF(AI12=0,"Not Paid",IF(N(AJ12)&gt;=0.999,"Fully Paid",IF(N(AG12)+N(AH12)&gt;0,"Partially Paid","Initial / Advance Paid")))))</f>
        <v>Fully Paid</v>
      </c>
      <c r="AN12" s="61" t="n">
        <v>46238</v>
      </c>
      <c r="AO12" s="61"/>
      <c r="AP12" s="74" t="str">
        <f aca="false">IF(AK12="","",IF(OR(N(AK12)=0,AO12=""),"",MAX(0,Settings!$B$4-AO12)))</f>
        <v/>
      </c>
      <c r="AQ12" s="73" t="str">
        <f aca="false">IF(AK12="","",IF(N(AK12)&lt;=0,"",IF(AO12="","No Due Date",IF(Settings!$B$4&lt;=AO12,"Not Yet Due",IF(Settings!$B$4-AO12&lt;=30,"1-30 Days",IF(Settings!$B$4-AO12&lt;=60,"31-60 Days",IF(Settings!$B$4-AO12&lt;=90,"61-90 Days","90+ Days")))))))</f>
        <v/>
      </c>
      <c r="AR12" s="61" t="n">
        <v>46248</v>
      </c>
      <c r="AS12" s="61" t="n">
        <v>46247</v>
      </c>
      <c r="AT12" s="63" t="n">
        <v>4800</v>
      </c>
      <c r="AU12" s="72" t="n">
        <f aca="false">IF(Q12="","",IF(N(Q12)=0,"",N(AT12)/Q12))</f>
        <v>1</v>
      </c>
      <c r="AV12" s="75" t="n">
        <f aca="false">IF(OR(A12="",O12="",Q12=""),"",MAX(0,Q12-N(AT12)))</f>
        <v>0</v>
      </c>
      <c r="AW12" s="66" t="n">
        <f aca="false">IF(OR(AV12="",W12=""),"",IF(N(Q12)=0,0,AV12/Q12*AD12))</f>
        <v>0</v>
      </c>
      <c r="AX12" s="76" t="str">
        <f aca="false">IF(A12="","",IF(O12="","No PO Yet",IF(Q12="","Order Qty Missing",IF(N(AT12)&gt;=Q12,IF(N(AT12)&gt;Q12,"All In-house (+"&amp;TEXT(N(AT12)-Q12,"#,##0")&amp;" "&amp;R12&amp;" excess)","All In-house"),IF(AY12&lt;&gt;"","Short Closed - "&amp;TEXT(AV12,"#,##0")&amp;" "&amp;R12&amp;" not received",IF(N(AT12)=0,"Not Started - "&amp;TEXT(AV12,"#,##0")&amp;" "&amp;R12&amp;" pending","Pending "&amp;TEXT(AV12,"#,##0")&amp;" "&amp;R12&amp;" ("&amp;TEXT(AU12,"0%")&amp;" received)"))))))</f>
        <v>All In-house</v>
      </c>
      <c r="AY12" s="61" t="n">
        <v>46248</v>
      </c>
      <c r="AZ12" s="77" t="n">
        <f aca="false">IF(OR(B12="",J12=""),"",J12-B12)</f>
        <v>4</v>
      </c>
      <c r="BA12" s="77" t="n">
        <f aca="false">IF(OR(J12="",P12=""),"",P12-J12)</f>
        <v>1</v>
      </c>
      <c r="BB12" s="77" t="n">
        <f aca="false">IF(OR(P12="",AY12=""),"",AY12-P12)</f>
        <v>49</v>
      </c>
      <c r="BC12" s="77" t="n">
        <f aca="false">IF(OR(B12="",AY12=""),"",AY12-B12)</f>
        <v>54</v>
      </c>
      <c r="BD12" s="74" t="n">
        <f aca="false">IF(OR(AR12="",O12=""),"",MAX(0,IF(AY12="",Settings!$B$4,AY12)-AR12))</f>
        <v>0</v>
      </c>
      <c r="BE12" s="73" t="str">
        <f aca="false">IF(OR(AY12="",AR12=""),"",IF(AND(AY12&lt;=AR12,N(AU12)&gt;=Settings!$B$6),"OTIF","Not OTIF"))</f>
        <v>OTIF</v>
      </c>
      <c r="BF12" s="60" t="s">
        <v>159</v>
      </c>
      <c r="BG12" s="62" t="s">
        <v>219</v>
      </c>
      <c r="BH12" s="78"/>
      <c r="BI12" s="76" t="str">
        <f aca="false">IF(A12="","",IF(K12="Rejected","Rejected",IF(K12&lt;&gt;"Approved","Awaiting Approval",IF(O12="","Approved - PO Pending",IF(AY12&lt;&gt;"",IF(N(AJ12)&gt;=0.999,"Closed","In-house Closed - Payment Due"),IF(AS12&lt;&gt;"","Receiving In-house","PO Issued - Awaiting Delivery"))))))</f>
        <v>Closed</v>
      </c>
      <c r="BJ12" s="76" t="str">
        <f aca="false">IF(A12="","",IF(IF(AND(A12&lt;&gt;"",OR(B12="",C12="",E12="",F12="",H12="")),"PR info missing; ","")&amp;IF(AND(K12="Approved",OR(J12="",I12="")),"Approval ref/date missing; ","")&amp;IF(AND(O12&lt;&gt;"",K12&lt;&gt;"Approved"),"PO without approval; ","")&amp;IF(AND(O12&lt;&gt;"",OR(P12="",M12="",Q12="",S12="",T12="")),"PO details missing; ","")&amp;IF(AND(O12&lt;&gt;"",AR12=""),"Committed date missing; ","")&amp;IF(AND(ISNUMBER(J12),ISNUMBER(B12),N(J12)&lt;N(B12)),"Approval dated before PR; ","")&amp;IF(AND(ISNUMBER(P12),ISNUMBER(J12),N(P12)&lt;N(J12)),"PO dated before approval; ","")&amp;IF(AND(ISNUMBER(AY12),ISNUMBER(AS12),N(AY12)&lt;N(AS12)),"Close before in-house start; ","")&amp;IF(AND(AY12&lt;&gt;"",AS12=""),"In-house start date missing; ","")&amp;IF(AND(AY12&lt;&gt;"",AT12=""),"Qty received missing; ","")&amp;IF(AND(AY12&lt;&gt;"",BF12=""),"QC status missing; ","")&amp;IF(N(AT12)&gt;N(Q12)*1.05,"Received &gt; ordered +5%; ","")&amp;IF(AND(N(AI12)&gt;0,AE12=""),"Payment terms missing; ","")&amp;IF(N(AI12)&gt;N(AD12)+1,"Overpaid vs PO; ","")&amp;IF(AND(N(AK12)&gt;0,AY12&lt;&gt;"",AO12=""),"Payment due date missing; ","")="","OK",IF(AND(A12&lt;&gt;"",OR(B12="",C12="",E12="",F12="",H12="")),"PR info missing; ","")&amp;IF(AND(K12="Approved",OR(J12="",I12="")),"Approval ref/date missing; ","")&amp;IF(AND(O12&lt;&gt;"",K12&lt;&gt;"Approved"),"PO without approval; ","")&amp;IF(AND(O12&lt;&gt;"",OR(P12="",M12="",Q12="",S12="",T12="")),"PO details missing; ","")&amp;IF(AND(O12&lt;&gt;"",AR12=""),"Committed date missing; ","")&amp;IF(AND(ISNUMBER(J12),ISNUMBER(B12),N(J12)&lt;N(B12)),"Approval dated before PR; ","")&amp;IF(AND(ISNUMBER(P12),ISNUMBER(J12),N(P12)&lt;N(J12)),"PO dated before approval; ","")&amp;IF(AND(ISNUMBER(AY12),ISNUMBER(AS12),N(AY12)&lt;N(AS12)),"Close before in-house start; ","")&amp;IF(AND(AY12&lt;&gt;"",AS12=""),"In-house start date missing; ","")&amp;IF(AND(AY12&lt;&gt;"",AT12=""),"Qty received missing; ","")&amp;IF(AND(AY12&lt;&gt;"",BF12=""),"QC status missing; ","")&amp;IF(N(AT12)&gt;N(Q12)*1.05,"Received &gt; ordered +5%; ","")&amp;IF(AND(N(AI12)&gt;0,AE12=""),"Payment terms missing; ","")&amp;IF(N(AI12)&gt;N(AD12)+1,"Overpaid vs PO; ","")&amp;IF(AND(N(AK12)&gt;0,AY12&lt;&gt;"",AO12=""),"Payment due date missing; ","")))</f>
        <v>OK</v>
      </c>
      <c r="BK12" s="76" t="str">
        <f aca="false">IF(A12="","",IF(N(AP12)&gt;0,"Pay supplier: "&amp;N(AP12)&amp;" days overdue; ","")&amp;IF(AND(O12&lt;&gt;"",AY12="",N(BD12)&gt;0),"Expedite delivery: "&amp;N(BD12)&amp;" days late; ","")&amp;IF(AND(BI12="Awaiting Approval",ISNUMBER(B12),Settings!$B$4-N(B12)&gt;Settings!$B$19),"Get approval: PR waiting "&amp;(Settings!$B$4-N(B12))&amp;" days; ","")&amp;IF(AND(BI12="Approved - PO Pending",ISNUMBER(J12),Settings!$B$4-N(J12)&gt;Settings!$B$20),"Issue PO: approved "&amp;(Settings!$B$4-N(J12))&amp;" days ago; ","")&amp;IF(AND(OR(BI12="Awaiting Approval",BI12="Approved - PO Pending"),N(AB12)&gt;Settings!$B$7),"Negotiate price: "&amp;TEXT(AB12,"0%")&amp;" above budget; ","")&amp;IF(LEFT(AX12,12)="Short Closed","Short closed: claim balance / credit note"&amp;IF(N(AL12)&gt;0," BDT "&amp;TEXT(AL12,"#,##0"),"")&amp;"; ","")&amp;IF(BF12="Rejected","QC rejected: return / replace; ","")&amp;IF(AND(O12&lt;&gt;"",AY12="",N(AL12)&gt;0,N(BD12)&gt;0),"Advance at risk: BDT "&amp;TEXT(AL12,"#,##0")&amp;" paid, goods late; ","")&amp;IF(AND(BJ12&lt;&gt;"",BJ12&lt;&gt;"OK"),"Fix data entry (see Data Check); ",""))</f>
        <v/>
      </c>
      <c r="BL12" s="73" t="str">
        <f aca="false">IF(BK12="","",IF(OR(N(AP12)&gt;30,AND(AY12="",N(BD12)&gt;15),BF12="Rejected",AND(LEFT(AX12,12)="Short Closed",N(AL12)&gt;0),AND(O12&lt;&gt;"",AY12="",N(AL12)&gt;0,N(BD12)&gt;0)),"High",IF(OR(N(AP12)&gt;0,AND(AY12="",N(BD12)&gt;7),LEFT(AX12,12)="Short Closed",AND(BI12="Awaiting Approval",ISNUMBER(B12),Settings!$B$4-N(B12)&gt;2*Settings!$B$19),AND(BI12="Approved - PO Pending",ISNUMBER(J12),Settings!$B$4-N(J12)&gt;2*Settings!$B$20)),"Medium","Low")))</f>
        <v/>
      </c>
      <c r="BM12" s="77" t="str">
        <f aca="false">IF(BL12="","",IF(BL12="High",1,IF(BL12="Medium",2,3))*10000+ROW())</f>
        <v/>
      </c>
      <c r="BN12" s="62"/>
    </row>
    <row r="13" customFormat="false" ht="18" hidden="false" customHeight="true" outlineLevel="0" collapsed="false">
      <c r="A13" s="60" t="s">
        <v>220</v>
      </c>
      <c r="B13" s="61" t="n">
        <v>46196</v>
      </c>
      <c r="C13" s="62" t="s">
        <v>195</v>
      </c>
      <c r="D13" s="62" t="s">
        <v>196</v>
      </c>
      <c r="E13" s="62" t="s">
        <v>221</v>
      </c>
      <c r="F13" s="62" t="s">
        <v>222</v>
      </c>
      <c r="G13" s="62" t="s">
        <v>223</v>
      </c>
      <c r="H13" s="60" t="s">
        <v>43</v>
      </c>
      <c r="I13" s="60" t="s">
        <v>224</v>
      </c>
      <c r="J13" s="61" t="n">
        <v>46200</v>
      </c>
      <c r="K13" s="60" t="s">
        <v>159</v>
      </c>
      <c r="L13" s="60" t="s">
        <v>172</v>
      </c>
      <c r="M13" s="62" t="s">
        <v>225</v>
      </c>
      <c r="N13" s="60" t="s">
        <v>162</v>
      </c>
      <c r="O13" s="60" t="s">
        <v>226</v>
      </c>
      <c r="P13" s="61" t="n">
        <v>46202</v>
      </c>
      <c r="Q13" s="63" t="n">
        <v>1100</v>
      </c>
      <c r="R13" s="60" t="s">
        <v>227</v>
      </c>
      <c r="S13" s="64" t="n">
        <v>431</v>
      </c>
      <c r="T13" s="60" t="s">
        <v>180</v>
      </c>
      <c r="U13" s="65" t="n">
        <f aca="false">IF(AND(T13="",S13=""),"",IF(T13="",1,IFERROR(INDEX(Settings!$B$12:$B$16,MATCH(T13,Settings!$A$12:$A$16,0)),1)))</f>
        <v>1</v>
      </c>
      <c r="V13" s="64" t="n">
        <v>407.49</v>
      </c>
      <c r="W13" s="66" t="n">
        <f aca="false">IF(OR(Q13="",S13=""),"",Q13*S13*U13)</f>
        <v>474100</v>
      </c>
      <c r="X13" s="65" t="n">
        <f aca="false">IF(OR(W13="",N(Q13)=0),"",W13/Q13)</f>
        <v>431</v>
      </c>
      <c r="Y13" s="65" t="str">
        <f aca="false">IF(OR(X13="",P13="",E13=""),"",IF(_xlfn.MAXIFS($P$6:$P$205,$E$6:$E$205,E13,$P$6:$P$205,"&lt;"&amp;P13,$X$6:$X$205,"&gt;0")=0,"",IFERROR(AVERAGEIFS($X$6:$X$205,$E$6:$E$205,E13,$P$6:$P$205,_xlfn.MAXIFS($P$6:$P$205,$E$6:$E$205,E13,$P$6:$P$205,"&lt;"&amp;P13,$X$6:$X$205,"&gt;0"),$X$6:$X$205,"&gt;0"),"")))</f>
        <v/>
      </c>
      <c r="Z13" s="67" t="str">
        <f aca="false">IF(OR(Y13="",X13=""),"",X13/Y13-1)</f>
        <v/>
      </c>
      <c r="AA13" s="68" t="n">
        <f aca="false">IF(OR(W13="",V13=""),"",W13-Q13*V13)</f>
        <v>25861</v>
      </c>
      <c r="AB13" s="69" t="n">
        <f aca="false">IF(AA13="","",IF(N(V13)*N(Q13)=0,"",AA13/(Q13*V13)))</f>
        <v>0.0576946673538001</v>
      </c>
      <c r="AC13" s="70" t="n">
        <v>0.075</v>
      </c>
      <c r="AD13" s="66" t="n">
        <f aca="false">IF(W13="","",W13*(1+N(AC13)))</f>
        <v>509657.5</v>
      </c>
      <c r="AE13" s="62" t="s">
        <v>174</v>
      </c>
      <c r="AF13" s="71" t="n">
        <v>509657.5</v>
      </c>
      <c r="AG13" s="71"/>
      <c r="AH13" s="71"/>
      <c r="AI13" s="66" t="n">
        <f aca="false">IF(A13="","",N(AF13)+N(AG13)+N(AH13))</f>
        <v>509657.5</v>
      </c>
      <c r="AJ13" s="72" t="n">
        <f aca="false">IF(AD13="","",IF(N(AD13)=0,"",AI13/AD13))</f>
        <v>1</v>
      </c>
      <c r="AK13" s="66" t="n">
        <f aca="false">IF(AD13="","",IF(AD13-AI13&lt;1,0,ROUND(AD13-AI13,2)))</f>
        <v>0</v>
      </c>
      <c r="AL13" s="66" t="n">
        <f aca="false">IF(OR(O13="",AD13=""),"",MAX(0,ROUND(N(AI13)-(AD13-N(AW13)),0)))</f>
        <v>16680</v>
      </c>
      <c r="AM13" s="73" t="str">
        <f aca="false">IF(A13="","",IF(O13="","No PO Yet",IF(AI13=0,"Not Paid",IF(N(AJ13)&gt;=0.999,"Fully Paid",IF(N(AG13)+N(AH13)&gt;0,"Partially Paid","Initial / Advance Paid")))))</f>
        <v>Fully Paid</v>
      </c>
      <c r="AN13" s="61" t="n">
        <v>46203</v>
      </c>
      <c r="AO13" s="61"/>
      <c r="AP13" s="74" t="str">
        <f aca="false">IF(AK13="","",IF(OR(N(AK13)=0,AO13=""),"",MAX(0,Settings!$B$4-AO13)))</f>
        <v/>
      </c>
      <c r="AQ13" s="73" t="str">
        <f aca="false">IF(AK13="","",IF(N(AK13)&lt;=0,"",IF(AO13="","No Due Date",IF(Settings!$B$4&lt;=AO13,"Not Yet Due",IF(Settings!$B$4-AO13&lt;=30,"1-30 Days",IF(Settings!$B$4-AO13&lt;=60,"31-60 Days",IF(Settings!$B$4-AO13&lt;=90,"61-90 Days","90+ Days")))))))</f>
        <v/>
      </c>
      <c r="AR13" s="61" t="n">
        <v>46219</v>
      </c>
      <c r="AS13" s="61" t="n">
        <v>46227</v>
      </c>
      <c r="AT13" s="63" t="n">
        <v>1064</v>
      </c>
      <c r="AU13" s="72" t="n">
        <f aca="false">IF(Q13="","",IF(N(Q13)=0,"",N(AT13)/Q13))</f>
        <v>0.967272727272727</v>
      </c>
      <c r="AV13" s="75" t="n">
        <f aca="false">IF(OR(A13="",O13="",Q13=""),"",MAX(0,Q13-N(AT13)))</f>
        <v>36</v>
      </c>
      <c r="AW13" s="66" t="n">
        <f aca="false">IF(OR(AV13="",W13=""),"",IF(N(Q13)=0,0,AV13/Q13*AD13))</f>
        <v>16679.7</v>
      </c>
      <c r="AX13" s="76" t="str">
        <f aca="false">IF(A13="","",IF(O13="","No PO Yet",IF(Q13="","Order Qty Missing",IF(N(AT13)&gt;=Q13,IF(N(AT13)&gt;Q13,"All In-house (+"&amp;TEXT(N(AT13)-Q13,"#,##0")&amp;" "&amp;R13&amp;" excess)","All In-house"),IF(AY13&lt;&gt;"","Short Closed - "&amp;TEXT(AV13,"#,##0")&amp;" "&amp;R13&amp;" not received",IF(N(AT13)=0,"Not Started - "&amp;TEXT(AV13,"#,##0")&amp;" "&amp;R13&amp;" pending","Pending "&amp;TEXT(AV13,"#,##0")&amp;" "&amp;R13&amp;" ("&amp;TEXT(AU13,"0%")&amp;" received)"))))))</f>
        <v>Short Closed - 36 kg not received</v>
      </c>
      <c r="AY13" s="61" t="n">
        <v>46229</v>
      </c>
      <c r="AZ13" s="77" t="n">
        <f aca="false">IF(OR(B13="",J13=""),"",J13-B13)</f>
        <v>4</v>
      </c>
      <c r="BA13" s="77" t="n">
        <f aca="false">IF(OR(J13="",P13=""),"",P13-J13)</f>
        <v>2</v>
      </c>
      <c r="BB13" s="77" t="n">
        <f aca="false">IF(OR(P13="",AY13=""),"",AY13-P13)</f>
        <v>27</v>
      </c>
      <c r="BC13" s="77" t="n">
        <f aca="false">IF(OR(B13="",AY13=""),"",AY13-B13)</f>
        <v>33</v>
      </c>
      <c r="BD13" s="74" t="n">
        <f aca="false">IF(OR(AR13="",O13=""),"",MAX(0,IF(AY13="",Settings!$B$4,AY13)-AR13))</f>
        <v>10</v>
      </c>
      <c r="BE13" s="73" t="str">
        <f aca="false">IF(OR(AY13="",AR13=""),"",IF(AND(AY13&lt;=AR13,N(AU13)&gt;=Settings!$B$6),"OTIF","Not OTIF"))</f>
        <v>Not OTIF</v>
      </c>
      <c r="BF13" s="60" t="s">
        <v>61</v>
      </c>
      <c r="BG13" s="62"/>
      <c r="BH13" s="78"/>
      <c r="BI13" s="76" t="str">
        <f aca="false">IF(A13="","",IF(K13="Rejected","Rejected",IF(K13&lt;&gt;"Approved","Awaiting Approval",IF(O13="","Approved - PO Pending",IF(AY13&lt;&gt;"",IF(N(AJ13)&gt;=0.999,"Closed","In-house Closed - Payment Due"),IF(AS13&lt;&gt;"","Receiving In-house","PO Issued - Awaiting Delivery"))))))</f>
        <v>Closed</v>
      </c>
      <c r="BJ13" s="76" t="str">
        <f aca="false">IF(A13="","",IF(IF(AND(A13&lt;&gt;"",OR(B13="",C13="",E13="",F13="",H13="")),"PR info missing; ","")&amp;IF(AND(K13="Approved",OR(J13="",I13="")),"Approval ref/date missing; ","")&amp;IF(AND(O13&lt;&gt;"",K13&lt;&gt;"Approved"),"PO without approval; ","")&amp;IF(AND(O13&lt;&gt;"",OR(P13="",M13="",Q13="",S13="",T13="")),"PO details missing; ","")&amp;IF(AND(O13&lt;&gt;"",AR13=""),"Committed date missing; ","")&amp;IF(AND(ISNUMBER(J13),ISNUMBER(B13),N(J13)&lt;N(B13)),"Approval dated before PR; ","")&amp;IF(AND(ISNUMBER(P13),ISNUMBER(J13),N(P13)&lt;N(J13)),"PO dated before approval; ","")&amp;IF(AND(ISNUMBER(AY13),ISNUMBER(AS13),N(AY13)&lt;N(AS13)),"Close before in-house start; ","")&amp;IF(AND(AY13&lt;&gt;"",AS13=""),"In-house start date missing; ","")&amp;IF(AND(AY13&lt;&gt;"",AT13=""),"Qty received missing; ","")&amp;IF(AND(AY13&lt;&gt;"",BF13=""),"QC status missing; ","")&amp;IF(N(AT13)&gt;N(Q13)*1.05,"Received &gt; ordered +5%; ","")&amp;IF(AND(N(AI13)&gt;0,AE13=""),"Payment terms missing; ","")&amp;IF(N(AI13)&gt;N(AD13)+1,"Overpaid vs PO; ","")&amp;IF(AND(N(AK13)&gt;0,AY13&lt;&gt;"",AO13=""),"Payment due date missing; ","")="","OK",IF(AND(A13&lt;&gt;"",OR(B13="",C13="",E13="",F13="",H13="")),"PR info missing; ","")&amp;IF(AND(K13="Approved",OR(J13="",I13="")),"Approval ref/date missing; ","")&amp;IF(AND(O13&lt;&gt;"",K13&lt;&gt;"Approved"),"PO without approval; ","")&amp;IF(AND(O13&lt;&gt;"",OR(P13="",M13="",Q13="",S13="",T13="")),"PO details missing; ","")&amp;IF(AND(O13&lt;&gt;"",AR13=""),"Committed date missing; ","")&amp;IF(AND(ISNUMBER(J13),ISNUMBER(B13),N(J13)&lt;N(B13)),"Approval dated before PR; ","")&amp;IF(AND(ISNUMBER(P13),ISNUMBER(J13),N(P13)&lt;N(J13)),"PO dated before approval; ","")&amp;IF(AND(ISNUMBER(AY13),ISNUMBER(AS13),N(AY13)&lt;N(AS13)),"Close before in-house start; ","")&amp;IF(AND(AY13&lt;&gt;"",AS13=""),"In-house start date missing; ","")&amp;IF(AND(AY13&lt;&gt;"",AT13=""),"Qty received missing; ","")&amp;IF(AND(AY13&lt;&gt;"",BF13=""),"QC status missing; ","")&amp;IF(N(AT13)&gt;N(Q13)*1.05,"Received &gt; ordered +5%; ","")&amp;IF(AND(N(AI13)&gt;0,AE13=""),"Payment terms missing; ","")&amp;IF(N(AI13)&gt;N(AD13)+1,"Overpaid vs PO; ","")&amp;IF(AND(N(AK13)&gt;0,AY13&lt;&gt;"",AO13=""),"Payment due date missing; ","")))</f>
        <v>OK</v>
      </c>
      <c r="BK13" s="76" t="str">
        <f aca="false">IF(A13="","",IF(N(AP13)&gt;0,"Pay supplier: "&amp;N(AP13)&amp;" days overdue; ","")&amp;IF(AND(O13&lt;&gt;"",AY13="",N(BD13)&gt;0),"Expedite delivery: "&amp;N(BD13)&amp;" days late; ","")&amp;IF(AND(BI13="Awaiting Approval",ISNUMBER(B13),Settings!$B$4-N(B13)&gt;Settings!$B$19),"Get approval: PR waiting "&amp;(Settings!$B$4-N(B13))&amp;" days; ","")&amp;IF(AND(BI13="Approved - PO Pending",ISNUMBER(J13),Settings!$B$4-N(J13)&gt;Settings!$B$20),"Issue PO: approved "&amp;(Settings!$B$4-N(J13))&amp;" days ago; ","")&amp;IF(AND(OR(BI13="Awaiting Approval",BI13="Approved - PO Pending"),N(AB13)&gt;Settings!$B$7),"Negotiate price: "&amp;TEXT(AB13,"0%")&amp;" above budget; ","")&amp;IF(LEFT(AX13,12)="Short Closed","Short closed: claim balance / credit note"&amp;IF(N(AL13)&gt;0," BDT "&amp;TEXT(AL13,"#,##0"),"")&amp;"; ","")&amp;IF(BF13="Rejected","QC rejected: return / replace; ","")&amp;IF(AND(O13&lt;&gt;"",AY13="",N(AL13)&gt;0,N(BD13)&gt;0),"Advance at risk: BDT "&amp;TEXT(AL13,"#,##0")&amp;" paid, goods late; ","")&amp;IF(AND(BJ13&lt;&gt;"",BJ13&lt;&gt;"OK"),"Fix data entry (see Data Check); ",""))</f>
        <v>Short closed: claim balance / credit note BDT 16,680; QC rejected: return / replace; </v>
      </c>
      <c r="BL13" s="73" t="str">
        <f aca="false">IF(BK13="","",IF(OR(N(AP13)&gt;30,AND(AY13="",N(BD13)&gt;15),BF13="Rejected",AND(LEFT(AX13,12)="Short Closed",N(AL13)&gt;0),AND(O13&lt;&gt;"",AY13="",N(AL13)&gt;0,N(BD13)&gt;0)),"High",IF(OR(N(AP13)&gt;0,AND(AY13="",N(BD13)&gt;7),LEFT(AX13,12)="Short Closed",AND(BI13="Awaiting Approval",ISNUMBER(B13),Settings!$B$4-N(B13)&gt;2*Settings!$B$19),AND(BI13="Approved - PO Pending",ISNUMBER(J13),Settings!$B$4-N(J13)&gt;2*Settings!$B$20)),"Medium","Low")))</f>
        <v>High</v>
      </c>
      <c r="BM13" s="77" t="n">
        <f aca="false">IF(BL13="","",IF(BL13="High",1,IF(BL13="Medium",2,3))*10000+ROW())</f>
        <v>10013</v>
      </c>
      <c r="BN13" s="62"/>
    </row>
    <row r="14" customFormat="false" ht="39.75" hidden="false" customHeight="true" outlineLevel="0" collapsed="false">
      <c r="A14" s="60" t="s">
        <v>228</v>
      </c>
      <c r="B14" s="61" t="n">
        <v>46200</v>
      </c>
      <c r="C14" s="62" t="s">
        <v>195</v>
      </c>
      <c r="D14" s="62" t="s">
        <v>196</v>
      </c>
      <c r="E14" s="62" t="s">
        <v>229</v>
      </c>
      <c r="F14" s="62" t="s">
        <v>222</v>
      </c>
      <c r="G14" s="62" t="s">
        <v>230</v>
      </c>
      <c r="H14" s="60" t="s">
        <v>43</v>
      </c>
      <c r="I14" s="60" t="s">
        <v>231</v>
      </c>
      <c r="J14" s="61" t="n">
        <v>46204</v>
      </c>
      <c r="K14" s="60" t="s">
        <v>159</v>
      </c>
      <c r="L14" s="60" t="s">
        <v>172</v>
      </c>
      <c r="M14" s="62" t="s">
        <v>225</v>
      </c>
      <c r="N14" s="60" t="s">
        <v>162</v>
      </c>
      <c r="O14" s="60" t="s">
        <v>232</v>
      </c>
      <c r="P14" s="61" t="n">
        <v>46206</v>
      </c>
      <c r="Q14" s="63" t="n">
        <v>700</v>
      </c>
      <c r="R14" s="60" t="s">
        <v>227</v>
      </c>
      <c r="S14" s="64" t="n">
        <v>566</v>
      </c>
      <c r="T14" s="60" t="s">
        <v>180</v>
      </c>
      <c r="U14" s="65" t="n">
        <f aca="false">IF(AND(T14="",S14=""),"",IF(T14="",1,IFERROR(INDEX(Settings!$B$12:$B$16,MATCH(T14,Settings!$A$12:$A$16,0)),1)))</f>
        <v>1</v>
      </c>
      <c r="V14" s="64" t="n">
        <v>525.7</v>
      </c>
      <c r="W14" s="66" t="n">
        <f aca="false">IF(OR(Q14="",S14=""),"",Q14*S14*U14)</f>
        <v>396200</v>
      </c>
      <c r="X14" s="65" t="n">
        <f aca="false">IF(OR(W14="",N(Q14)=0),"",W14/Q14)</f>
        <v>566</v>
      </c>
      <c r="Y14" s="65" t="str">
        <f aca="false">IF(OR(X14="",P14="",E14=""),"",IF(_xlfn.MAXIFS($P$6:$P$205,$E$6:$E$205,E14,$P$6:$P$205,"&lt;"&amp;P14,$X$6:$X$205,"&gt;0")=0,"",IFERROR(AVERAGEIFS($X$6:$X$205,$E$6:$E$205,E14,$P$6:$P$205,_xlfn.MAXIFS($P$6:$P$205,$E$6:$E$205,E14,$P$6:$P$205,"&lt;"&amp;P14,$X$6:$X$205,"&gt;0"),$X$6:$X$205,"&gt;0"),"")))</f>
        <v/>
      </c>
      <c r="Z14" s="67" t="str">
        <f aca="false">IF(OR(Y14="",X14=""),"",X14/Y14-1)</f>
        <v/>
      </c>
      <c r="AA14" s="68" t="n">
        <f aca="false">IF(OR(W14="",V14=""),"",W14-Q14*V14)</f>
        <v>28209.9999999999</v>
      </c>
      <c r="AB14" s="69" t="n">
        <f aca="false">IF(AA14="","",IF(N(V14)*N(Q14)=0,"",AA14/(Q14*V14)))</f>
        <v>0.076659691839452</v>
      </c>
      <c r="AC14" s="70" t="n">
        <v>0.075</v>
      </c>
      <c r="AD14" s="66" t="n">
        <f aca="false">IF(W14="","",W14*(1+N(AC14)))</f>
        <v>425915</v>
      </c>
      <c r="AE14" s="62" t="s">
        <v>181</v>
      </c>
      <c r="AF14" s="71"/>
      <c r="AG14" s="71"/>
      <c r="AH14" s="71" t="n">
        <v>425915</v>
      </c>
      <c r="AI14" s="66" t="n">
        <f aca="false">IF(A14="","",N(AF14)+N(AG14)+N(AH14))</f>
        <v>425915</v>
      </c>
      <c r="AJ14" s="72" t="n">
        <f aca="false">IF(AD14="","",IF(N(AD14)=0,"",AI14/AD14))</f>
        <v>1</v>
      </c>
      <c r="AK14" s="66" t="n">
        <f aca="false">IF(AD14="","",IF(AD14-AI14&lt;1,0,ROUND(AD14-AI14,2)))</f>
        <v>0</v>
      </c>
      <c r="AL14" s="66" t="n">
        <f aca="false">IF(OR(O14="",AD14=""),"",MAX(0,ROUND(N(AI14)-(AD14-N(AW14)),0)))</f>
        <v>0</v>
      </c>
      <c r="AM14" s="73" t="str">
        <f aca="false">IF(A14="","",IF(O14="","No PO Yet",IF(AI14=0,"Not Paid",IF(N(AJ14)&gt;=0.999,"Fully Paid",IF(N(AG14)+N(AH14)&gt;0,"Partially Paid","Initial / Advance Paid")))))</f>
        <v>Fully Paid</v>
      </c>
      <c r="AN14" s="61" t="n">
        <v>46250</v>
      </c>
      <c r="AO14" s="61"/>
      <c r="AP14" s="74" t="str">
        <f aca="false">IF(AK14="","",IF(OR(N(AK14)=0,AO14=""),"",MAX(0,Settings!$B$4-AO14)))</f>
        <v/>
      </c>
      <c r="AQ14" s="73" t="str">
        <f aca="false">IF(AK14="","",IF(N(AK14)&lt;=0,"",IF(AO14="","No Due Date",IF(Settings!$B$4&lt;=AO14,"Not Yet Due",IF(Settings!$B$4-AO14&lt;=30,"1-30 Days",IF(Settings!$B$4-AO14&lt;=60,"31-60 Days",IF(Settings!$B$4-AO14&lt;=90,"61-90 Days","90+ Days")))))))</f>
        <v/>
      </c>
      <c r="AR14" s="61" t="n">
        <v>46217</v>
      </c>
      <c r="AS14" s="61" t="n">
        <v>46213</v>
      </c>
      <c r="AT14" s="63" t="n">
        <v>700</v>
      </c>
      <c r="AU14" s="72" t="n">
        <f aca="false">IF(Q14="","",IF(N(Q14)=0,"",N(AT14)/Q14))</f>
        <v>1</v>
      </c>
      <c r="AV14" s="75" t="n">
        <f aca="false">IF(OR(A14="",O14="",Q14=""),"",MAX(0,Q14-N(AT14)))</f>
        <v>0</v>
      </c>
      <c r="AW14" s="66" t="n">
        <f aca="false">IF(OR(AV14="",W14=""),"",IF(N(Q14)=0,0,AV14/Q14*AD14))</f>
        <v>0</v>
      </c>
      <c r="AX14" s="76" t="str">
        <f aca="false">IF(A14="","",IF(O14="","No PO Yet",IF(Q14="","Order Qty Missing",IF(N(AT14)&gt;=Q14,IF(N(AT14)&gt;Q14,"All In-house (+"&amp;TEXT(N(AT14)-Q14,"#,##0")&amp;" "&amp;R14&amp;" excess)","All In-house"),IF(AY14&lt;&gt;"","Short Closed - "&amp;TEXT(AV14,"#,##0")&amp;" "&amp;R14&amp;" not received",IF(N(AT14)=0,"Not Started - "&amp;TEXT(AV14,"#,##0")&amp;" "&amp;R14&amp;" pending","Pending "&amp;TEXT(AV14,"#,##0")&amp;" "&amp;R14&amp;" ("&amp;TEXT(AU14,"0%")&amp;" received)"))))))</f>
        <v>All In-house</v>
      </c>
      <c r="AY14" s="61" t="n">
        <v>46214</v>
      </c>
      <c r="AZ14" s="77" t="n">
        <f aca="false">IF(OR(B14="",J14=""),"",J14-B14)</f>
        <v>4</v>
      </c>
      <c r="BA14" s="77" t="n">
        <f aca="false">IF(OR(J14="",P14=""),"",P14-J14)</f>
        <v>2</v>
      </c>
      <c r="BB14" s="77" t="n">
        <f aca="false">IF(OR(P14="",AY14=""),"",AY14-P14)</f>
        <v>8</v>
      </c>
      <c r="BC14" s="77" t="n">
        <f aca="false">IF(OR(B14="",AY14=""),"",AY14-B14)</f>
        <v>14</v>
      </c>
      <c r="BD14" s="74" t="n">
        <f aca="false">IF(OR(AR14="",O14=""),"",MAX(0,IF(AY14="",Settings!$B$4,AY14)-AR14))</f>
        <v>0</v>
      </c>
      <c r="BE14" s="73" t="str">
        <f aca="false">IF(OR(AY14="",AR14=""),"",IF(AND(AY14&lt;=AR14,N(AU14)&gt;=Settings!$B$6),"OTIF","Not OTIF"))</f>
        <v>OTIF</v>
      </c>
      <c r="BF14" s="60" t="s">
        <v>159</v>
      </c>
      <c r="BG14" s="62" t="s">
        <v>233</v>
      </c>
      <c r="BH14" s="78"/>
      <c r="BI14" s="76" t="str">
        <f aca="false">IF(A14="","",IF(K14="Rejected","Rejected",IF(K14&lt;&gt;"Approved","Awaiting Approval",IF(O14="","Approved - PO Pending",IF(AY14&lt;&gt;"",IF(N(AJ14)&gt;=0.999,"Closed","In-house Closed - Payment Due"),IF(AS14&lt;&gt;"","Receiving In-house","PO Issued - Awaiting Delivery"))))))</f>
        <v>Closed</v>
      </c>
      <c r="BJ14" s="76" t="str">
        <f aca="false">IF(A14="","",IF(IF(AND(A14&lt;&gt;"",OR(B14="",C14="",E14="",F14="",H14="")),"PR info missing; ","")&amp;IF(AND(K14="Approved",OR(J14="",I14="")),"Approval ref/date missing; ","")&amp;IF(AND(O14&lt;&gt;"",K14&lt;&gt;"Approved"),"PO without approval; ","")&amp;IF(AND(O14&lt;&gt;"",OR(P14="",M14="",Q14="",S14="",T14="")),"PO details missing; ","")&amp;IF(AND(O14&lt;&gt;"",AR14=""),"Committed date missing; ","")&amp;IF(AND(ISNUMBER(J14),ISNUMBER(B14),N(J14)&lt;N(B14)),"Approval dated before PR; ","")&amp;IF(AND(ISNUMBER(P14),ISNUMBER(J14),N(P14)&lt;N(J14)),"PO dated before approval; ","")&amp;IF(AND(ISNUMBER(AY14),ISNUMBER(AS14),N(AY14)&lt;N(AS14)),"Close before in-house start; ","")&amp;IF(AND(AY14&lt;&gt;"",AS14=""),"In-house start date missing; ","")&amp;IF(AND(AY14&lt;&gt;"",AT14=""),"Qty received missing; ","")&amp;IF(AND(AY14&lt;&gt;"",BF14=""),"QC status missing; ","")&amp;IF(N(AT14)&gt;N(Q14)*1.05,"Received &gt; ordered +5%; ","")&amp;IF(AND(N(AI14)&gt;0,AE14=""),"Payment terms missing; ","")&amp;IF(N(AI14)&gt;N(AD14)+1,"Overpaid vs PO; ","")&amp;IF(AND(N(AK14)&gt;0,AY14&lt;&gt;"",AO14=""),"Payment due date missing; ","")="","OK",IF(AND(A14&lt;&gt;"",OR(B14="",C14="",E14="",F14="",H14="")),"PR info missing; ","")&amp;IF(AND(K14="Approved",OR(J14="",I14="")),"Approval ref/date missing; ","")&amp;IF(AND(O14&lt;&gt;"",K14&lt;&gt;"Approved"),"PO without approval; ","")&amp;IF(AND(O14&lt;&gt;"",OR(P14="",M14="",Q14="",S14="",T14="")),"PO details missing; ","")&amp;IF(AND(O14&lt;&gt;"",AR14=""),"Committed date missing; ","")&amp;IF(AND(ISNUMBER(J14),ISNUMBER(B14),N(J14)&lt;N(B14)),"Approval dated before PR; ","")&amp;IF(AND(ISNUMBER(P14),ISNUMBER(J14),N(P14)&lt;N(J14)),"PO dated before approval; ","")&amp;IF(AND(ISNUMBER(AY14),ISNUMBER(AS14),N(AY14)&lt;N(AS14)),"Close before in-house start; ","")&amp;IF(AND(AY14&lt;&gt;"",AS14=""),"In-house start date missing; ","")&amp;IF(AND(AY14&lt;&gt;"",AT14=""),"Qty received missing; ","")&amp;IF(AND(AY14&lt;&gt;"",BF14=""),"QC status missing; ","")&amp;IF(N(AT14)&gt;N(Q14)*1.05,"Received &gt; ordered +5%; ","")&amp;IF(AND(N(AI14)&gt;0,AE14=""),"Payment terms missing; ","")&amp;IF(N(AI14)&gt;N(AD14)+1,"Overpaid vs PO; ","")&amp;IF(AND(N(AK14)&gt;0,AY14&lt;&gt;"",AO14=""),"Payment due date missing; ","")))</f>
        <v>OK</v>
      </c>
      <c r="BK14" s="76" t="str">
        <f aca="false">IF(A14="","",IF(N(AP14)&gt;0,"Pay supplier: "&amp;N(AP14)&amp;" days overdue; ","")&amp;IF(AND(O14&lt;&gt;"",AY14="",N(BD14)&gt;0),"Expedite delivery: "&amp;N(BD14)&amp;" days late; ","")&amp;IF(AND(BI14="Awaiting Approval",ISNUMBER(B14),Settings!$B$4-N(B14)&gt;Settings!$B$19),"Get approval: PR waiting "&amp;(Settings!$B$4-N(B14))&amp;" days; ","")&amp;IF(AND(BI14="Approved - PO Pending",ISNUMBER(J14),Settings!$B$4-N(J14)&gt;Settings!$B$20),"Issue PO: approved "&amp;(Settings!$B$4-N(J14))&amp;" days ago; ","")&amp;IF(AND(OR(BI14="Awaiting Approval",BI14="Approved - PO Pending"),N(AB14)&gt;Settings!$B$7),"Negotiate price: "&amp;TEXT(AB14,"0%")&amp;" above budget; ","")&amp;IF(LEFT(AX14,12)="Short Closed","Short closed: claim balance / credit note"&amp;IF(N(AL14)&gt;0," BDT "&amp;TEXT(AL14,"#,##0"),"")&amp;"; ","")&amp;IF(BF14="Rejected","QC rejected: return / replace; ","")&amp;IF(AND(O14&lt;&gt;"",AY14="",N(AL14)&gt;0,N(BD14)&gt;0),"Advance at risk: BDT "&amp;TEXT(AL14,"#,##0")&amp;" paid, goods late; ","")&amp;IF(AND(BJ14&lt;&gt;"",BJ14&lt;&gt;"OK"),"Fix data entry (see Data Check); ",""))</f>
        <v/>
      </c>
      <c r="BL14" s="73" t="str">
        <f aca="false">IF(BK14="","",IF(OR(N(AP14)&gt;30,AND(AY14="",N(BD14)&gt;15),BF14="Rejected",AND(LEFT(AX14,12)="Short Closed",N(AL14)&gt;0),AND(O14&lt;&gt;"",AY14="",N(AL14)&gt;0,N(BD14)&gt;0)),"High",IF(OR(N(AP14)&gt;0,AND(AY14="",N(BD14)&gt;7),LEFT(AX14,12)="Short Closed",AND(BI14="Awaiting Approval",ISNUMBER(B14),Settings!$B$4-N(B14)&gt;2*Settings!$B$19),AND(BI14="Approved - PO Pending",ISNUMBER(J14),Settings!$B$4-N(J14)&gt;2*Settings!$B$20)),"Medium","Low")))</f>
        <v/>
      </c>
      <c r="BM14" s="77" t="str">
        <f aca="false">IF(BL14="","",IF(BL14="High",1,IF(BL14="Medium",2,3))*10000+ROW())</f>
        <v/>
      </c>
      <c r="BN14" s="62"/>
    </row>
    <row r="15" customFormat="false" ht="39.75" hidden="false" customHeight="true" outlineLevel="0" collapsed="false">
      <c r="A15" s="60" t="s">
        <v>234</v>
      </c>
      <c r="B15" s="61" t="n">
        <v>46202</v>
      </c>
      <c r="C15" s="62" t="s">
        <v>235</v>
      </c>
      <c r="D15" s="62" t="s">
        <v>236</v>
      </c>
      <c r="E15" s="62" t="s">
        <v>237</v>
      </c>
      <c r="F15" s="62" t="s">
        <v>238</v>
      </c>
      <c r="G15" s="62" t="s">
        <v>239</v>
      </c>
      <c r="H15" s="60" t="s">
        <v>43</v>
      </c>
      <c r="I15" s="60" t="s">
        <v>240</v>
      </c>
      <c r="J15" s="61" t="n">
        <v>46205</v>
      </c>
      <c r="K15" s="60" t="s">
        <v>159</v>
      </c>
      <c r="L15" s="60" t="s">
        <v>160</v>
      </c>
      <c r="M15" s="62" t="s">
        <v>241</v>
      </c>
      <c r="N15" s="60" t="s">
        <v>162</v>
      </c>
      <c r="O15" s="60" t="s">
        <v>242</v>
      </c>
      <c r="P15" s="61" t="n">
        <v>46207</v>
      </c>
      <c r="Q15" s="63" t="n">
        <v>1400</v>
      </c>
      <c r="R15" s="60" t="s">
        <v>243</v>
      </c>
      <c r="S15" s="64" t="n">
        <v>292</v>
      </c>
      <c r="T15" s="60" t="s">
        <v>180</v>
      </c>
      <c r="U15" s="65" t="n">
        <f aca="false">IF(AND(T15="",S15=""),"",IF(T15="",1,IFERROR(INDEX(Settings!$B$12:$B$16,MATCH(T15,Settings!$A$12:$A$16,0)),1)))</f>
        <v>1</v>
      </c>
      <c r="V15" s="64" t="n">
        <v>308.49</v>
      </c>
      <c r="W15" s="66" t="n">
        <f aca="false">IF(OR(Q15="",S15=""),"",Q15*S15*U15)</f>
        <v>408800</v>
      </c>
      <c r="X15" s="65" t="n">
        <f aca="false">IF(OR(W15="",N(Q15)=0),"",W15/Q15)</f>
        <v>292</v>
      </c>
      <c r="Y15" s="65" t="str">
        <f aca="false">IF(OR(X15="",P15="",E15=""),"",IF(_xlfn.MAXIFS($P$6:$P$205,$E$6:$E$205,E15,$P$6:$P$205,"&lt;"&amp;P15,$X$6:$X$205,"&gt;0")=0,"",IFERROR(AVERAGEIFS($X$6:$X$205,$E$6:$E$205,E15,$P$6:$P$205,_xlfn.MAXIFS($P$6:$P$205,$E$6:$E$205,E15,$P$6:$P$205,"&lt;"&amp;P15,$X$6:$X$205,"&gt;0"),$X$6:$X$205,"&gt;0"),"")))</f>
        <v/>
      </c>
      <c r="Z15" s="67" t="str">
        <f aca="false">IF(OR(Y15="",X15=""),"",X15/Y15-1)</f>
        <v/>
      </c>
      <c r="AA15" s="68" t="n">
        <f aca="false">IF(OR(W15="",V15=""),"",W15-Q15*V15)</f>
        <v>-23086</v>
      </c>
      <c r="AB15" s="69" t="n">
        <f aca="false">IF(AA15="","",IF(N(V15)*N(Q15)=0,"",AA15/(Q15*V15)))</f>
        <v>-0.0534539207105579</v>
      </c>
      <c r="AC15" s="70" t="n">
        <v>0.05</v>
      </c>
      <c r="AD15" s="66" t="n">
        <f aca="false">IF(W15="","",W15*(1+N(AC15)))</f>
        <v>429240</v>
      </c>
      <c r="AE15" s="62" t="s">
        <v>166</v>
      </c>
      <c r="AF15" s="71" t="n">
        <v>128772</v>
      </c>
      <c r="AG15" s="71"/>
      <c r="AH15" s="71"/>
      <c r="AI15" s="66" t="n">
        <f aca="false">IF(A15="","",N(AF15)+N(AG15)+N(AH15))</f>
        <v>128772</v>
      </c>
      <c r="AJ15" s="72" t="n">
        <f aca="false">IF(AD15="","",IF(N(AD15)=0,"",AI15/AD15))</f>
        <v>0.3</v>
      </c>
      <c r="AK15" s="66" t="n">
        <f aca="false">IF(AD15="","",IF(AD15-AI15&lt;1,0,ROUND(AD15-AI15,2)))</f>
        <v>300468</v>
      </c>
      <c r="AL15" s="66" t="n">
        <f aca="false">IF(OR(O15="",AD15=""),"",MAX(0,ROUND(N(AI15)-(AD15-N(AW15)),0)))</f>
        <v>0</v>
      </c>
      <c r="AM15" s="73" t="str">
        <f aca="false">IF(A15="","",IF(O15="","No PO Yet",IF(AI15=0,"Not Paid",IF(N(AJ15)&gt;=0.999,"Fully Paid",IF(N(AG15)+N(AH15)&gt;0,"Partially Paid","Initial / Advance Paid")))))</f>
        <v>Initial / Advance Paid</v>
      </c>
      <c r="AN15" s="61" t="n">
        <v>46209</v>
      </c>
      <c r="AO15" s="61" t="n">
        <v>46240</v>
      </c>
      <c r="AP15" s="74" t="n">
        <f aca="false">IF(AK15="","",IF(OR(N(AK15)=0,AO15=""),"",MAX(0,Settings!$B$4-AO15)))</f>
        <v>70</v>
      </c>
      <c r="AQ15" s="73" t="str">
        <f aca="false">IF(AK15="","",IF(N(AK15)&lt;=0,"",IF(AO15="","No Due Date",IF(Settings!$B$4&lt;=AO15,"Not Yet Due",IF(Settings!$B$4-AO15&lt;=30,"1-30 Days",IF(Settings!$B$4-AO15&lt;=60,"31-60 Days",IF(Settings!$B$4-AO15&lt;=90,"61-90 Days","90+ Days")))))))</f>
        <v>61-90 Days</v>
      </c>
      <c r="AR15" s="61" t="n">
        <v>46228</v>
      </c>
      <c r="AS15" s="61" t="n">
        <v>46222</v>
      </c>
      <c r="AT15" s="63" t="n">
        <v>1351</v>
      </c>
      <c r="AU15" s="72" t="n">
        <f aca="false">IF(Q15="","",IF(N(Q15)=0,"",N(AT15)/Q15))</f>
        <v>0.965</v>
      </c>
      <c r="AV15" s="75" t="n">
        <f aca="false">IF(OR(A15="",O15="",Q15=""),"",MAX(0,Q15-N(AT15)))</f>
        <v>49</v>
      </c>
      <c r="AW15" s="66" t="n">
        <f aca="false">IF(OR(AV15="",W15=""),"",IF(N(Q15)=0,0,AV15/Q15*AD15))</f>
        <v>15023.4</v>
      </c>
      <c r="AX15" s="76" t="str">
        <f aca="false">IF(A15="","",IF(O15="","No PO Yet",IF(Q15="","Order Qty Missing",IF(N(AT15)&gt;=Q15,IF(N(AT15)&gt;Q15,"All In-house (+"&amp;TEXT(N(AT15)-Q15,"#,##0")&amp;" "&amp;R15&amp;" excess)","All In-house"),IF(AY15&lt;&gt;"","Short Closed - "&amp;TEXT(AV15,"#,##0")&amp;" "&amp;R15&amp;" not received",IF(N(AT15)=0,"Not Started - "&amp;TEXT(AV15,"#,##0")&amp;" "&amp;R15&amp;" pending","Pending "&amp;TEXT(AV15,"#,##0")&amp;" "&amp;R15&amp;" ("&amp;TEXT(AU15,"0%")&amp;" received)"))))))</f>
        <v>Short Closed - 49 cone not received</v>
      </c>
      <c r="AY15" s="61" t="n">
        <v>46225</v>
      </c>
      <c r="AZ15" s="77" t="n">
        <f aca="false">IF(OR(B15="",J15=""),"",J15-B15)</f>
        <v>3</v>
      </c>
      <c r="BA15" s="77" t="n">
        <f aca="false">IF(OR(J15="",P15=""),"",P15-J15)</f>
        <v>2</v>
      </c>
      <c r="BB15" s="77" t="n">
        <f aca="false">IF(OR(P15="",AY15=""),"",AY15-P15)</f>
        <v>18</v>
      </c>
      <c r="BC15" s="77" t="n">
        <f aca="false">IF(OR(B15="",AY15=""),"",AY15-B15)</f>
        <v>23</v>
      </c>
      <c r="BD15" s="74" t="n">
        <f aca="false">IF(OR(AR15="",O15=""),"",MAX(0,IF(AY15="",Settings!$B$4,AY15)-AR15))</f>
        <v>0</v>
      </c>
      <c r="BE15" s="73" t="str">
        <f aca="false">IF(OR(AY15="",AR15=""),"",IF(AND(AY15&lt;=AR15,N(AU15)&gt;=Settings!$B$6),"OTIF","Not OTIF"))</f>
        <v>Not OTIF</v>
      </c>
      <c r="BF15" s="60" t="s">
        <v>159</v>
      </c>
      <c r="BG15" s="62" t="s">
        <v>244</v>
      </c>
      <c r="BH15" s="78"/>
      <c r="BI15" s="76" t="str">
        <f aca="false">IF(A15="","",IF(K15="Rejected","Rejected",IF(K15&lt;&gt;"Approved","Awaiting Approval",IF(O15="","Approved - PO Pending",IF(AY15&lt;&gt;"",IF(N(AJ15)&gt;=0.999,"Closed","In-house Closed - Payment Due"),IF(AS15&lt;&gt;"","Receiving In-house","PO Issued - Awaiting Delivery"))))))</f>
        <v>In-house Closed - Payment Due</v>
      </c>
      <c r="BJ15" s="76" t="str">
        <f aca="false">IF(A15="","",IF(IF(AND(A15&lt;&gt;"",OR(B15="",C15="",E15="",F15="",H15="")),"PR info missing; ","")&amp;IF(AND(K15="Approved",OR(J15="",I15="")),"Approval ref/date missing; ","")&amp;IF(AND(O15&lt;&gt;"",K15&lt;&gt;"Approved"),"PO without approval; ","")&amp;IF(AND(O15&lt;&gt;"",OR(P15="",M15="",Q15="",S15="",T15="")),"PO details missing; ","")&amp;IF(AND(O15&lt;&gt;"",AR15=""),"Committed date missing; ","")&amp;IF(AND(ISNUMBER(J15),ISNUMBER(B15),N(J15)&lt;N(B15)),"Approval dated before PR; ","")&amp;IF(AND(ISNUMBER(P15),ISNUMBER(J15),N(P15)&lt;N(J15)),"PO dated before approval; ","")&amp;IF(AND(ISNUMBER(AY15),ISNUMBER(AS15),N(AY15)&lt;N(AS15)),"Close before in-house start; ","")&amp;IF(AND(AY15&lt;&gt;"",AS15=""),"In-house start date missing; ","")&amp;IF(AND(AY15&lt;&gt;"",AT15=""),"Qty received missing; ","")&amp;IF(AND(AY15&lt;&gt;"",BF15=""),"QC status missing; ","")&amp;IF(N(AT15)&gt;N(Q15)*1.05,"Received &gt; ordered +5%; ","")&amp;IF(AND(N(AI15)&gt;0,AE15=""),"Payment terms missing; ","")&amp;IF(N(AI15)&gt;N(AD15)+1,"Overpaid vs PO; ","")&amp;IF(AND(N(AK15)&gt;0,AY15&lt;&gt;"",AO15=""),"Payment due date missing; ","")="","OK",IF(AND(A15&lt;&gt;"",OR(B15="",C15="",E15="",F15="",H15="")),"PR info missing; ","")&amp;IF(AND(K15="Approved",OR(J15="",I15="")),"Approval ref/date missing; ","")&amp;IF(AND(O15&lt;&gt;"",K15&lt;&gt;"Approved"),"PO without approval; ","")&amp;IF(AND(O15&lt;&gt;"",OR(P15="",M15="",Q15="",S15="",T15="")),"PO details missing; ","")&amp;IF(AND(O15&lt;&gt;"",AR15=""),"Committed date missing; ","")&amp;IF(AND(ISNUMBER(J15),ISNUMBER(B15),N(J15)&lt;N(B15)),"Approval dated before PR; ","")&amp;IF(AND(ISNUMBER(P15),ISNUMBER(J15),N(P15)&lt;N(J15)),"PO dated before approval; ","")&amp;IF(AND(ISNUMBER(AY15),ISNUMBER(AS15),N(AY15)&lt;N(AS15)),"Close before in-house start; ","")&amp;IF(AND(AY15&lt;&gt;"",AS15=""),"In-house start date missing; ","")&amp;IF(AND(AY15&lt;&gt;"",AT15=""),"Qty received missing; ","")&amp;IF(AND(AY15&lt;&gt;"",BF15=""),"QC status missing; ","")&amp;IF(N(AT15)&gt;N(Q15)*1.05,"Received &gt; ordered +5%; ","")&amp;IF(AND(N(AI15)&gt;0,AE15=""),"Payment terms missing; ","")&amp;IF(N(AI15)&gt;N(AD15)+1,"Overpaid vs PO; ","")&amp;IF(AND(N(AK15)&gt;0,AY15&lt;&gt;"",AO15=""),"Payment due date missing; ","")))</f>
        <v>OK</v>
      </c>
      <c r="BK15" s="76" t="str">
        <f aca="false">IF(A15="","",IF(N(AP15)&gt;0,"Pay supplier: "&amp;N(AP15)&amp;" days overdue; ","")&amp;IF(AND(O15&lt;&gt;"",AY15="",N(BD15)&gt;0),"Expedite delivery: "&amp;N(BD15)&amp;" days late; ","")&amp;IF(AND(BI15="Awaiting Approval",ISNUMBER(B15),Settings!$B$4-N(B15)&gt;Settings!$B$19),"Get approval: PR waiting "&amp;(Settings!$B$4-N(B15))&amp;" days; ","")&amp;IF(AND(BI15="Approved - PO Pending",ISNUMBER(J15),Settings!$B$4-N(J15)&gt;Settings!$B$20),"Issue PO: approved "&amp;(Settings!$B$4-N(J15))&amp;" days ago; ","")&amp;IF(AND(OR(BI15="Awaiting Approval",BI15="Approved - PO Pending"),N(AB15)&gt;Settings!$B$7),"Negotiate price: "&amp;TEXT(AB15,"0%")&amp;" above budget; ","")&amp;IF(LEFT(AX15,12)="Short Closed","Short closed: claim balance / credit note"&amp;IF(N(AL15)&gt;0," BDT "&amp;TEXT(AL15,"#,##0"),"")&amp;"; ","")&amp;IF(BF15="Rejected","QC rejected: return / replace; ","")&amp;IF(AND(O15&lt;&gt;"",AY15="",N(AL15)&gt;0,N(BD15)&gt;0),"Advance at risk: BDT "&amp;TEXT(AL15,"#,##0")&amp;" paid, goods late; ","")&amp;IF(AND(BJ15&lt;&gt;"",BJ15&lt;&gt;"OK"),"Fix data entry (see Data Check); ",""))</f>
        <v>Pay supplier: 70 days overdue; Short closed: claim balance / credit note; </v>
      </c>
      <c r="BL15" s="73" t="str">
        <f aca="false">IF(BK15="","",IF(OR(N(AP15)&gt;30,AND(AY15="",N(BD15)&gt;15),BF15="Rejected",AND(LEFT(AX15,12)="Short Closed",N(AL15)&gt;0),AND(O15&lt;&gt;"",AY15="",N(AL15)&gt;0,N(BD15)&gt;0)),"High",IF(OR(N(AP15)&gt;0,AND(AY15="",N(BD15)&gt;7),LEFT(AX15,12)="Short Closed",AND(BI15="Awaiting Approval",ISNUMBER(B15),Settings!$B$4-N(B15)&gt;2*Settings!$B$19),AND(BI15="Approved - PO Pending",ISNUMBER(J15),Settings!$B$4-N(J15)&gt;2*Settings!$B$20)),"Medium","Low")))</f>
        <v>High</v>
      </c>
      <c r="BM15" s="77" t="n">
        <f aca="false">IF(BL15="","",IF(BL15="High",1,IF(BL15="Medium",2,3))*10000+ROW())</f>
        <v>10015</v>
      </c>
      <c r="BN15" s="62"/>
    </row>
    <row r="16" customFormat="false" ht="39.75" hidden="false" customHeight="true" outlineLevel="0" collapsed="false">
      <c r="A16" s="60" t="s">
        <v>245</v>
      </c>
      <c r="B16" s="61" t="n">
        <v>46205</v>
      </c>
      <c r="C16" s="62" t="s">
        <v>235</v>
      </c>
      <c r="D16" s="62" t="s">
        <v>236</v>
      </c>
      <c r="E16" s="62" t="s">
        <v>246</v>
      </c>
      <c r="F16" s="62" t="s">
        <v>238</v>
      </c>
      <c r="G16" s="62" t="s">
        <v>247</v>
      </c>
      <c r="H16" s="60" t="s">
        <v>43</v>
      </c>
      <c r="I16" s="60" t="s">
        <v>248</v>
      </c>
      <c r="J16" s="61" t="n">
        <v>46209</v>
      </c>
      <c r="K16" s="60" t="s">
        <v>159</v>
      </c>
      <c r="L16" s="60" t="s">
        <v>172</v>
      </c>
      <c r="M16" s="62" t="s">
        <v>241</v>
      </c>
      <c r="N16" s="60" t="s">
        <v>162</v>
      </c>
      <c r="O16" s="60" t="s">
        <v>249</v>
      </c>
      <c r="P16" s="61" t="n">
        <v>46211</v>
      </c>
      <c r="Q16" s="63" t="n">
        <v>900</v>
      </c>
      <c r="R16" s="60" t="s">
        <v>250</v>
      </c>
      <c r="S16" s="64" t="n">
        <v>230</v>
      </c>
      <c r="T16" s="60" t="s">
        <v>180</v>
      </c>
      <c r="U16" s="65" t="n">
        <f aca="false">IF(AND(T16="",S16=""),"",IF(T16="",1,IFERROR(INDEX(Settings!$B$12:$B$16,MATCH(T16,Settings!$A$12:$A$16,0)),1)))</f>
        <v>1</v>
      </c>
      <c r="V16" s="64" t="n">
        <v>229.75</v>
      </c>
      <c r="W16" s="66" t="n">
        <f aca="false">IF(OR(Q16="",S16=""),"",Q16*S16*U16)</f>
        <v>207000</v>
      </c>
      <c r="X16" s="65" t="n">
        <f aca="false">IF(OR(W16="",N(Q16)=0),"",W16/Q16)</f>
        <v>230</v>
      </c>
      <c r="Y16" s="65" t="str">
        <f aca="false">IF(OR(X16="",P16="",E16=""),"",IF(_xlfn.MAXIFS($P$6:$P$205,$E$6:$E$205,E16,$P$6:$P$205,"&lt;"&amp;P16,$X$6:$X$205,"&gt;0")=0,"",IFERROR(AVERAGEIFS($X$6:$X$205,$E$6:$E$205,E16,$P$6:$P$205,_xlfn.MAXIFS($P$6:$P$205,$E$6:$E$205,E16,$P$6:$P$205,"&lt;"&amp;P16,$X$6:$X$205,"&gt;0"),$X$6:$X$205,"&gt;0"),"")))</f>
        <v/>
      </c>
      <c r="Z16" s="67" t="str">
        <f aca="false">IF(OR(Y16="",X16=""),"",X16/Y16-1)</f>
        <v/>
      </c>
      <c r="AA16" s="68" t="n">
        <f aca="false">IF(OR(W16="",V16=""),"",W16-Q16*V16)</f>
        <v>225</v>
      </c>
      <c r="AB16" s="69" t="n">
        <f aca="false">IF(AA16="","",IF(N(V16)*N(Q16)=0,"",AA16/(Q16*V16)))</f>
        <v>0.00108813928182807</v>
      </c>
      <c r="AC16" s="70" t="n">
        <v>0.05</v>
      </c>
      <c r="AD16" s="66" t="n">
        <f aca="false">IF(W16="","",W16*(1+N(AC16)))</f>
        <v>217350</v>
      </c>
      <c r="AE16" s="62" t="s">
        <v>181</v>
      </c>
      <c r="AF16" s="71"/>
      <c r="AG16" s="71" t="n">
        <v>108675</v>
      </c>
      <c r="AH16" s="71"/>
      <c r="AI16" s="66" t="n">
        <f aca="false">IF(A16="","",N(AF16)+N(AG16)+N(AH16))</f>
        <v>108675</v>
      </c>
      <c r="AJ16" s="72" t="n">
        <f aca="false">IF(AD16="","",IF(N(AD16)=0,"",AI16/AD16))</f>
        <v>0.5</v>
      </c>
      <c r="AK16" s="66" t="n">
        <f aca="false">IF(AD16="","",IF(AD16-AI16&lt;1,0,ROUND(AD16-AI16,2)))</f>
        <v>108675</v>
      </c>
      <c r="AL16" s="66" t="n">
        <f aca="false">IF(OR(O16="",AD16=""),"",MAX(0,ROUND(N(AI16)-(AD16-N(AW16)),0)))</f>
        <v>0</v>
      </c>
      <c r="AM16" s="73" t="str">
        <f aca="false">IF(A16="","",IF(O16="","No PO Yet",IF(AI16=0,"Not Paid",IF(N(AJ16)&gt;=0.999,"Fully Paid",IF(N(AG16)+N(AH16)&gt;0,"Partially Paid","Initial / Advance Paid")))))</f>
        <v>Partially Paid</v>
      </c>
      <c r="AN16" s="61" t="n">
        <v>46256</v>
      </c>
      <c r="AO16" s="61" t="n">
        <v>46256</v>
      </c>
      <c r="AP16" s="74" t="n">
        <f aca="false">IF(AK16="","",IF(OR(N(AK16)=0,AO16=""),"",MAX(0,Settings!$B$4-AO16)))</f>
        <v>54</v>
      </c>
      <c r="AQ16" s="73" t="str">
        <f aca="false">IF(AK16="","",IF(N(AK16)&lt;=0,"",IF(AO16="","No Due Date",IF(Settings!$B$4&lt;=AO16,"Not Yet Due",IF(Settings!$B$4-AO16&lt;=30,"1-30 Days",IF(Settings!$B$4-AO16&lt;=60,"31-60 Days",IF(Settings!$B$4-AO16&lt;=90,"61-90 Days","90+ Days")))))))</f>
        <v>31-60 Days</v>
      </c>
      <c r="AR16" s="61" t="n">
        <v>46222</v>
      </c>
      <c r="AS16" s="61" t="n">
        <v>46225</v>
      </c>
      <c r="AT16" s="63" t="n">
        <v>900</v>
      </c>
      <c r="AU16" s="72" t="n">
        <f aca="false">IF(Q16="","",IF(N(Q16)=0,"",N(AT16)/Q16))</f>
        <v>1</v>
      </c>
      <c r="AV16" s="75" t="n">
        <f aca="false">IF(OR(A16="",O16="",Q16=""),"",MAX(0,Q16-N(AT16)))</f>
        <v>0</v>
      </c>
      <c r="AW16" s="66" t="n">
        <f aca="false">IF(OR(AV16="",W16=""),"",IF(N(Q16)=0,0,AV16/Q16*AD16))</f>
        <v>0</v>
      </c>
      <c r="AX16" s="76" t="str">
        <f aca="false">IF(A16="","",IF(O16="","No PO Yet",IF(Q16="","Order Qty Missing",IF(N(AT16)&gt;=Q16,IF(N(AT16)&gt;Q16,"All In-house (+"&amp;TEXT(N(AT16)-Q16,"#,##0")&amp;" "&amp;R16&amp;" excess)","All In-house"),IF(AY16&lt;&gt;"","Short Closed - "&amp;TEXT(AV16,"#,##0")&amp;" "&amp;R16&amp;" not received",IF(N(AT16)=0,"Not Started - "&amp;TEXT(AV16,"#,##0")&amp;" "&amp;R16&amp;" pending","Pending "&amp;TEXT(AV16,"#,##0")&amp;" "&amp;R16&amp;" ("&amp;TEXT(AU16,"0%")&amp;" received)"))))))</f>
        <v>All In-house</v>
      </c>
      <c r="AY16" s="61" t="n">
        <v>46226</v>
      </c>
      <c r="AZ16" s="77" t="n">
        <f aca="false">IF(OR(B16="",J16=""),"",J16-B16)</f>
        <v>4</v>
      </c>
      <c r="BA16" s="77" t="n">
        <f aca="false">IF(OR(J16="",P16=""),"",P16-J16)</f>
        <v>2</v>
      </c>
      <c r="BB16" s="77" t="n">
        <f aca="false">IF(OR(P16="",AY16=""),"",AY16-P16)</f>
        <v>15</v>
      </c>
      <c r="BC16" s="77" t="n">
        <f aca="false">IF(OR(B16="",AY16=""),"",AY16-B16)</f>
        <v>21</v>
      </c>
      <c r="BD16" s="74" t="n">
        <f aca="false">IF(OR(AR16="",O16=""),"",MAX(0,IF(AY16="",Settings!$B$4,AY16)-AR16))</f>
        <v>4</v>
      </c>
      <c r="BE16" s="73" t="str">
        <f aca="false">IF(OR(AY16="",AR16=""),"",IF(AND(AY16&lt;=AR16,N(AU16)&gt;=Settings!$B$6),"OTIF","Not OTIF"))</f>
        <v>Not OTIF</v>
      </c>
      <c r="BF16" s="60" t="s">
        <v>159</v>
      </c>
      <c r="BG16" s="62" t="s">
        <v>251</v>
      </c>
      <c r="BH16" s="78"/>
      <c r="BI16" s="76" t="str">
        <f aca="false">IF(A16="","",IF(K16="Rejected","Rejected",IF(K16&lt;&gt;"Approved","Awaiting Approval",IF(O16="","Approved - PO Pending",IF(AY16&lt;&gt;"",IF(N(AJ16)&gt;=0.999,"Closed","In-house Closed - Payment Due"),IF(AS16&lt;&gt;"","Receiving In-house","PO Issued - Awaiting Delivery"))))))</f>
        <v>In-house Closed - Payment Due</v>
      </c>
      <c r="BJ16" s="76" t="str">
        <f aca="false">IF(A16="","",IF(IF(AND(A16&lt;&gt;"",OR(B16="",C16="",E16="",F16="",H16="")),"PR info missing; ","")&amp;IF(AND(K16="Approved",OR(J16="",I16="")),"Approval ref/date missing; ","")&amp;IF(AND(O16&lt;&gt;"",K16&lt;&gt;"Approved"),"PO without approval; ","")&amp;IF(AND(O16&lt;&gt;"",OR(P16="",M16="",Q16="",S16="",T16="")),"PO details missing; ","")&amp;IF(AND(O16&lt;&gt;"",AR16=""),"Committed date missing; ","")&amp;IF(AND(ISNUMBER(J16),ISNUMBER(B16),N(J16)&lt;N(B16)),"Approval dated before PR; ","")&amp;IF(AND(ISNUMBER(P16),ISNUMBER(J16),N(P16)&lt;N(J16)),"PO dated before approval; ","")&amp;IF(AND(ISNUMBER(AY16),ISNUMBER(AS16),N(AY16)&lt;N(AS16)),"Close before in-house start; ","")&amp;IF(AND(AY16&lt;&gt;"",AS16=""),"In-house start date missing; ","")&amp;IF(AND(AY16&lt;&gt;"",AT16=""),"Qty received missing; ","")&amp;IF(AND(AY16&lt;&gt;"",BF16=""),"QC status missing; ","")&amp;IF(N(AT16)&gt;N(Q16)*1.05,"Received &gt; ordered +5%; ","")&amp;IF(AND(N(AI16)&gt;0,AE16=""),"Payment terms missing; ","")&amp;IF(N(AI16)&gt;N(AD16)+1,"Overpaid vs PO; ","")&amp;IF(AND(N(AK16)&gt;0,AY16&lt;&gt;"",AO16=""),"Payment due date missing; ","")="","OK",IF(AND(A16&lt;&gt;"",OR(B16="",C16="",E16="",F16="",H16="")),"PR info missing; ","")&amp;IF(AND(K16="Approved",OR(J16="",I16="")),"Approval ref/date missing; ","")&amp;IF(AND(O16&lt;&gt;"",K16&lt;&gt;"Approved"),"PO without approval; ","")&amp;IF(AND(O16&lt;&gt;"",OR(P16="",M16="",Q16="",S16="",T16="")),"PO details missing; ","")&amp;IF(AND(O16&lt;&gt;"",AR16=""),"Committed date missing; ","")&amp;IF(AND(ISNUMBER(J16),ISNUMBER(B16),N(J16)&lt;N(B16)),"Approval dated before PR; ","")&amp;IF(AND(ISNUMBER(P16),ISNUMBER(J16),N(P16)&lt;N(J16)),"PO dated before approval; ","")&amp;IF(AND(ISNUMBER(AY16),ISNUMBER(AS16),N(AY16)&lt;N(AS16)),"Close before in-house start; ","")&amp;IF(AND(AY16&lt;&gt;"",AS16=""),"In-house start date missing; ","")&amp;IF(AND(AY16&lt;&gt;"",AT16=""),"Qty received missing; ","")&amp;IF(AND(AY16&lt;&gt;"",BF16=""),"QC status missing; ","")&amp;IF(N(AT16)&gt;N(Q16)*1.05,"Received &gt; ordered +5%; ","")&amp;IF(AND(N(AI16)&gt;0,AE16=""),"Payment terms missing; ","")&amp;IF(N(AI16)&gt;N(AD16)+1,"Overpaid vs PO; ","")&amp;IF(AND(N(AK16)&gt;0,AY16&lt;&gt;"",AO16=""),"Payment due date missing; ","")))</f>
        <v>OK</v>
      </c>
      <c r="BK16" s="76" t="str">
        <f aca="false">IF(A16="","",IF(N(AP16)&gt;0,"Pay supplier: "&amp;N(AP16)&amp;" days overdue; ","")&amp;IF(AND(O16&lt;&gt;"",AY16="",N(BD16)&gt;0),"Expedite delivery: "&amp;N(BD16)&amp;" days late; ","")&amp;IF(AND(BI16="Awaiting Approval",ISNUMBER(B16),Settings!$B$4-N(B16)&gt;Settings!$B$19),"Get approval: PR waiting "&amp;(Settings!$B$4-N(B16))&amp;" days; ","")&amp;IF(AND(BI16="Approved - PO Pending",ISNUMBER(J16),Settings!$B$4-N(J16)&gt;Settings!$B$20),"Issue PO: approved "&amp;(Settings!$B$4-N(J16))&amp;" days ago; ","")&amp;IF(AND(OR(BI16="Awaiting Approval",BI16="Approved - PO Pending"),N(AB16)&gt;Settings!$B$7),"Negotiate price: "&amp;TEXT(AB16,"0%")&amp;" above budget; ","")&amp;IF(LEFT(AX16,12)="Short Closed","Short closed: claim balance / credit note"&amp;IF(N(AL16)&gt;0," BDT "&amp;TEXT(AL16,"#,##0"),"")&amp;"; ","")&amp;IF(BF16="Rejected","QC rejected: return / replace; ","")&amp;IF(AND(O16&lt;&gt;"",AY16="",N(AL16)&gt;0,N(BD16)&gt;0),"Advance at risk: BDT "&amp;TEXT(AL16,"#,##0")&amp;" paid, goods late; ","")&amp;IF(AND(BJ16&lt;&gt;"",BJ16&lt;&gt;"OK"),"Fix data entry (see Data Check); ",""))</f>
        <v>Pay supplier: 54 days overdue; </v>
      </c>
      <c r="BL16" s="73" t="str">
        <f aca="false">IF(BK16="","",IF(OR(N(AP16)&gt;30,AND(AY16="",N(BD16)&gt;15),BF16="Rejected",AND(LEFT(AX16,12)="Short Closed",N(AL16)&gt;0),AND(O16&lt;&gt;"",AY16="",N(AL16)&gt;0,N(BD16)&gt;0)),"High",IF(OR(N(AP16)&gt;0,AND(AY16="",N(BD16)&gt;7),LEFT(AX16,12)="Short Closed",AND(BI16="Awaiting Approval",ISNUMBER(B16),Settings!$B$4-N(B16)&gt;2*Settings!$B$19),AND(BI16="Approved - PO Pending",ISNUMBER(J16),Settings!$B$4-N(J16)&gt;2*Settings!$B$20)),"Medium","Low")))</f>
        <v>High</v>
      </c>
      <c r="BM16" s="77" t="n">
        <f aca="false">IF(BL16="","",IF(BL16="High",1,IF(BL16="Medium",2,3))*10000+ROW())</f>
        <v>10016</v>
      </c>
      <c r="BN16" s="62"/>
    </row>
    <row r="17" customFormat="false" ht="18" hidden="false" customHeight="true" outlineLevel="0" collapsed="false">
      <c r="A17" s="60" t="s">
        <v>252</v>
      </c>
      <c r="B17" s="61" t="n">
        <v>46209</v>
      </c>
      <c r="C17" s="62" t="s">
        <v>235</v>
      </c>
      <c r="D17" s="62" t="s">
        <v>236</v>
      </c>
      <c r="E17" s="62" t="s">
        <v>253</v>
      </c>
      <c r="F17" s="62" t="s">
        <v>238</v>
      </c>
      <c r="G17" s="62" t="s">
        <v>254</v>
      </c>
      <c r="H17" s="60" t="s">
        <v>43</v>
      </c>
      <c r="I17" s="60" t="s">
        <v>255</v>
      </c>
      <c r="J17" s="61" t="n">
        <v>46210</v>
      </c>
      <c r="K17" s="60" t="s">
        <v>159</v>
      </c>
      <c r="L17" s="60" t="s">
        <v>172</v>
      </c>
      <c r="M17" s="62" t="s">
        <v>241</v>
      </c>
      <c r="N17" s="60" t="s">
        <v>162</v>
      </c>
      <c r="O17" s="60" t="s">
        <v>256</v>
      </c>
      <c r="P17" s="61" t="n">
        <v>46215</v>
      </c>
      <c r="Q17" s="63" t="n">
        <v>11700</v>
      </c>
      <c r="R17" s="60" t="s">
        <v>203</v>
      </c>
      <c r="S17" s="64" t="n">
        <v>15.15</v>
      </c>
      <c r="T17" s="60" t="s">
        <v>180</v>
      </c>
      <c r="U17" s="65" t="n">
        <f aca="false">IF(AND(T17="",S17=""),"",IF(T17="",1,IFERROR(INDEX(Settings!$B$12:$B$16,MATCH(T17,Settings!$A$12:$A$16,0)),1)))</f>
        <v>1</v>
      </c>
      <c r="V17" s="64" t="n">
        <v>14.1</v>
      </c>
      <c r="W17" s="66" t="n">
        <f aca="false">IF(OR(Q17="",S17=""),"",Q17*S17*U17)</f>
        <v>177255</v>
      </c>
      <c r="X17" s="65" t="n">
        <f aca="false">IF(OR(W17="",N(Q17)=0),"",W17/Q17)</f>
        <v>15.15</v>
      </c>
      <c r="Y17" s="65" t="str">
        <f aca="false">IF(OR(X17="",P17="",E17=""),"",IF(_xlfn.MAXIFS($P$6:$P$205,$E$6:$E$205,E17,$P$6:$P$205,"&lt;"&amp;P17,$X$6:$X$205,"&gt;0")=0,"",IFERROR(AVERAGEIFS($X$6:$X$205,$E$6:$E$205,E17,$P$6:$P$205,_xlfn.MAXIFS($P$6:$P$205,$E$6:$E$205,E17,$P$6:$P$205,"&lt;"&amp;P17,$X$6:$X$205,"&gt;0"),$X$6:$X$205,"&gt;0"),"")))</f>
        <v/>
      </c>
      <c r="Z17" s="67" t="str">
        <f aca="false">IF(OR(Y17="",X17=""),"",X17/Y17-1)</f>
        <v/>
      </c>
      <c r="AA17" s="68" t="n">
        <f aca="false">IF(OR(W17="",V17=""),"",W17-Q17*V17)</f>
        <v>12285</v>
      </c>
      <c r="AB17" s="69" t="n">
        <f aca="false">IF(AA17="","",IF(N(V17)*N(Q17)=0,"",AA17/(Q17*V17)))</f>
        <v>0.074468085106383</v>
      </c>
      <c r="AC17" s="70" t="n">
        <v>0.05</v>
      </c>
      <c r="AD17" s="66" t="n">
        <f aca="false">IF(W17="","",W17*(1+N(AC17)))</f>
        <v>186117.75</v>
      </c>
      <c r="AE17" s="62" t="s">
        <v>181</v>
      </c>
      <c r="AF17" s="71"/>
      <c r="AG17" s="71"/>
      <c r="AH17" s="71" t="n">
        <v>186117.75</v>
      </c>
      <c r="AI17" s="66" t="n">
        <f aca="false">IF(A17="","",N(AF17)+N(AG17)+N(AH17))</f>
        <v>186117.75</v>
      </c>
      <c r="AJ17" s="72" t="n">
        <f aca="false">IF(AD17="","",IF(N(AD17)=0,"",AI17/AD17))</f>
        <v>1</v>
      </c>
      <c r="AK17" s="66" t="n">
        <f aca="false">IF(AD17="","",IF(AD17-AI17&lt;1,0,ROUND(AD17-AI17,2)))</f>
        <v>0</v>
      </c>
      <c r="AL17" s="66" t="n">
        <f aca="false">IF(OR(O17="",AD17=""),"",MAX(0,ROUND(N(AI17)-(AD17-N(AW17)),0)))</f>
        <v>0</v>
      </c>
      <c r="AM17" s="73" t="str">
        <f aca="false">IF(A17="","",IF(O17="","No PO Yet",IF(AI17=0,"Not Paid",IF(N(AJ17)&gt;=0.999,"Fully Paid",IF(N(AG17)+N(AH17)&gt;0,"Partially Paid","Initial / Advance Paid")))))</f>
        <v>Fully Paid</v>
      </c>
      <c r="AN17" s="61" t="n">
        <v>46261</v>
      </c>
      <c r="AO17" s="61"/>
      <c r="AP17" s="74" t="str">
        <f aca="false">IF(AK17="","",IF(OR(N(AK17)=0,AO17=""),"",MAX(0,Settings!$B$4-AO17)))</f>
        <v/>
      </c>
      <c r="AQ17" s="73" t="str">
        <f aca="false">IF(AK17="","",IF(N(AK17)&lt;=0,"",IF(AO17="","No Due Date",IF(Settings!$B$4&lt;=AO17,"Not Yet Due",IF(Settings!$B$4-AO17&lt;=30,"1-30 Days",IF(Settings!$B$4-AO17&lt;=60,"31-60 Days",IF(Settings!$B$4-AO17&lt;=90,"61-90 Days","90+ Days")))))))</f>
        <v/>
      </c>
      <c r="AR17" s="61" t="n">
        <v>46231</v>
      </c>
      <c r="AS17" s="61" t="n">
        <v>46229</v>
      </c>
      <c r="AT17" s="63" t="n">
        <v>11700</v>
      </c>
      <c r="AU17" s="72" t="n">
        <f aca="false">IF(Q17="","",IF(N(Q17)=0,"",N(AT17)/Q17))</f>
        <v>1</v>
      </c>
      <c r="AV17" s="75" t="n">
        <f aca="false">IF(OR(A17="",O17="",Q17=""),"",MAX(0,Q17-N(AT17)))</f>
        <v>0</v>
      </c>
      <c r="AW17" s="66" t="n">
        <f aca="false">IF(OR(AV17="",W17=""),"",IF(N(Q17)=0,0,AV17/Q17*AD17))</f>
        <v>0</v>
      </c>
      <c r="AX17" s="76" t="str">
        <f aca="false">IF(A17="","",IF(O17="","No PO Yet",IF(Q17="","Order Qty Missing",IF(N(AT17)&gt;=Q17,IF(N(AT17)&gt;Q17,"All In-house (+"&amp;TEXT(N(AT17)-Q17,"#,##0")&amp;" "&amp;R17&amp;" excess)","All In-house"),IF(AY17&lt;&gt;"","Short Closed - "&amp;TEXT(AV17,"#,##0")&amp;" "&amp;R17&amp;" not received",IF(N(AT17)=0,"Not Started - "&amp;TEXT(AV17,"#,##0")&amp;" "&amp;R17&amp;" pending","Pending "&amp;TEXT(AV17,"#,##0")&amp;" "&amp;R17&amp;" ("&amp;TEXT(AU17,"0%")&amp;" received)"))))))</f>
        <v>All In-house</v>
      </c>
      <c r="AY17" s="61" t="n">
        <v>46231</v>
      </c>
      <c r="AZ17" s="77" t="n">
        <f aca="false">IF(OR(B17="",J17=""),"",J17-B17)</f>
        <v>1</v>
      </c>
      <c r="BA17" s="77" t="n">
        <f aca="false">IF(OR(J17="",P17=""),"",P17-J17)</f>
        <v>5</v>
      </c>
      <c r="BB17" s="77" t="n">
        <f aca="false">IF(OR(P17="",AY17=""),"",AY17-P17)</f>
        <v>16</v>
      </c>
      <c r="BC17" s="77" t="n">
        <f aca="false">IF(OR(B17="",AY17=""),"",AY17-B17)</f>
        <v>22</v>
      </c>
      <c r="BD17" s="74" t="n">
        <f aca="false">IF(OR(AR17="",O17=""),"",MAX(0,IF(AY17="",Settings!$B$4,AY17)-AR17))</f>
        <v>0</v>
      </c>
      <c r="BE17" s="73" t="str">
        <f aca="false">IF(OR(AY17="",AR17=""),"",IF(AND(AY17&lt;=AR17,N(AU17)&gt;=Settings!$B$6),"OTIF","Not OTIF"))</f>
        <v>OTIF</v>
      </c>
      <c r="BF17" s="60" t="s">
        <v>61</v>
      </c>
      <c r="BG17" s="62"/>
      <c r="BH17" s="78"/>
      <c r="BI17" s="76" t="str">
        <f aca="false">IF(A17="","",IF(K17="Rejected","Rejected",IF(K17&lt;&gt;"Approved","Awaiting Approval",IF(O17="","Approved - PO Pending",IF(AY17&lt;&gt;"",IF(N(AJ17)&gt;=0.999,"Closed","In-house Closed - Payment Due"),IF(AS17&lt;&gt;"","Receiving In-house","PO Issued - Awaiting Delivery"))))))</f>
        <v>Closed</v>
      </c>
      <c r="BJ17" s="76" t="str">
        <f aca="false">IF(A17="","",IF(IF(AND(A17&lt;&gt;"",OR(B17="",C17="",E17="",F17="",H17="")),"PR info missing; ","")&amp;IF(AND(K17="Approved",OR(J17="",I17="")),"Approval ref/date missing; ","")&amp;IF(AND(O17&lt;&gt;"",K17&lt;&gt;"Approved"),"PO without approval; ","")&amp;IF(AND(O17&lt;&gt;"",OR(P17="",M17="",Q17="",S17="",T17="")),"PO details missing; ","")&amp;IF(AND(O17&lt;&gt;"",AR17=""),"Committed date missing; ","")&amp;IF(AND(ISNUMBER(J17),ISNUMBER(B17),N(J17)&lt;N(B17)),"Approval dated before PR; ","")&amp;IF(AND(ISNUMBER(P17),ISNUMBER(J17),N(P17)&lt;N(J17)),"PO dated before approval; ","")&amp;IF(AND(ISNUMBER(AY17),ISNUMBER(AS17),N(AY17)&lt;N(AS17)),"Close before in-house start; ","")&amp;IF(AND(AY17&lt;&gt;"",AS17=""),"In-house start date missing; ","")&amp;IF(AND(AY17&lt;&gt;"",AT17=""),"Qty received missing; ","")&amp;IF(AND(AY17&lt;&gt;"",BF17=""),"QC status missing; ","")&amp;IF(N(AT17)&gt;N(Q17)*1.05,"Received &gt; ordered +5%; ","")&amp;IF(AND(N(AI17)&gt;0,AE17=""),"Payment terms missing; ","")&amp;IF(N(AI17)&gt;N(AD17)+1,"Overpaid vs PO; ","")&amp;IF(AND(N(AK17)&gt;0,AY17&lt;&gt;"",AO17=""),"Payment due date missing; ","")="","OK",IF(AND(A17&lt;&gt;"",OR(B17="",C17="",E17="",F17="",H17="")),"PR info missing; ","")&amp;IF(AND(K17="Approved",OR(J17="",I17="")),"Approval ref/date missing; ","")&amp;IF(AND(O17&lt;&gt;"",K17&lt;&gt;"Approved"),"PO without approval; ","")&amp;IF(AND(O17&lt;&gt;"",OR(P17="",M17="",Q17="",S17="",T17="")),"PO details missing; ","")&amp;IF(AND(O17&lt;&gt;"",AR17=""),"Committed date missing; ","")&amp;IF(AND(ISNUMBER(J17),ISNUMBER(B17),N(J17)&lt;N(B17)),"Approval dated before PR; ","")&amp;IF(AND(ISNUMBER(P17),ISNUMBER(J17),N(P17)&lt;N(J17)),"PO dated before approval; ","")&amp;IF(AND(ISNUMBER(AY17),ISNUMBER(AS17),N(AY17)&lt;N(AS17)),"Close before in-house start; ","")&amp;IF(AND(AY17&lt;&gt;"",AS17=""),"In-house start date missing; ","")&amp;IF(AND(AY17&lt;&gt;"",AT17=""),"Qty received missing; ","")&amp;IF(AND(AY17&lt;&gt;"",BF17=""),"QC status missing; ","")&amp;IF(N(AT17)&gt;N(Q17)*1.05,"Received &gt; ordered +5%; ","")&amp;IF(AND(N(AI17)&gt;0,AE17=""),"Payment terms missing; ","")&amp;IF(N(AI17)&gt;N(AD17)+1,"Overpaid vs PO; ","")&amp;IF(AND(N(AK17)&gt;0,AY17&lt;&gt;"",AO17=""),"Payment due date missing; ","")))</f>
        <v>OK</v>
      </c>
      <c r="BK17" s="76" t="str">
        <f aca="false">IF(A17="","",IF(N(AP17)&gt;0,"Pay supplier: "&amp;N(AP17)&amp;" days overdue; ","")&amp;IF(AND(O17&lt;&gt;"",AY17="",N(BD17)&gt;0),"Expedite delivery: "&amp;N(BD17)&amp;" days late; ","")&amp;IF(AND(BI17="Awaiting Approval",ISNUMBER(B17),Settings!$B$4-N(B17)&gt;Settings!$B$19),"Get approval: PR waiting "&amp;(Settings!$B$4-N(B17))&amp;" days; ","")&amp;IF(AND(BI17="Approved - PO Pending",ISNUMBER(J17),Settings!$B$4-N(J17)&gt;Settings!$B$20),"Issue PO: approved "&amp;(Settings!$B$4-N(J17))&amp;" days ago; ","")&amp;IF(AND(OR(BI17="Awaiting Approval",BI17="Approved - PO Pending"),N(AB17)&gt;Settings!$B$7),"Negotiate price: "&amp;TEXT(AB17,"0%")&amp;" above budget; ","")&amp;IF(LEFT(AX17,12)="Short Closed","Short closed: claim balance / credit note"&amp;IF(N(AL17)&gt;0," BDT "&amp;TEXT(AL17,"#,##0"),"")&amp;"; ","")&amp;IF(BF17="Rejected","QC rejected: return / replace; ","")&amp;IF(AND(O17&lt;&gt;"",AY17="",N(AL17)&gt;0,N(BD17)&gt;0),"Advance at risk: BDT "&amp;TEXT(AL17,"#,##0")&amp;" paid, goods late; ","")&amp;IF(AND(BJ17&lt;&gt;"",BJ17&lt;&gt;"OK"),"Fix data entry (see Data Check); ",""))</f>
        <v>QC rejected: return / replace; </v>
      </c>
      <c r="BL17" s="73" t="str">
        <f aca="false">IF(BK17="","",IF(OR(N(AP17)&gt;30,AND(AY17="",N(BD17)&gt;15),BF17="Rejected",AND(LEFT(AX17,12)="Short Closed",N(AL17)&gt;0),AND(O17&lt;&gt;"",AY17="",N(AL17)&gt;0,N(BD17)&gt;0)),"High",IF(OR(N(AP17)&gt;0,AND(AY17="",N(BD17)&gt;7),LEFT(AX17,12)="Short Closed",AND(BI17="Awaiting Approval",ISNUMBER(B17),Settings!$B$4-N(B17)&gt;2*Settings!$B$19),AND(BI17="Approved - PO Pending",ISNUMBER(J17),Settings!$B$4-N(J17)&gt;2*Settings!$B$20)),"Medium","Low")))</f>
        <v>High</v>
      </c>
      <c r="BM17" s="77" t="n">
        <f aca="false">IF(BL17="","",IF(BL17="High",1,IF(BL17="Medium",2,3))*10000+ROW())</f>
        <v>10017</v>
      </c>
      <c r="BN17" s="62"/>
    </row>
    <row r="18" customFormat="false" ht="39.75" hidden="false" customHeight="true" outlineLevel="0" collapsed="false">
      <c r="A18" s="60" t="s">
        <v>257</v>
      </c>
      <c r="B18" s="61" t="n">
        <v>46211</v>
      </c>
      <c r="C18" s="62" t="s">
        <v>153</v>
      </c>
      <c r="D18" s="62" t="s">
        <v>154</v>
      </c>
      <c r="E18" s="62" t="s">
        <v>258</v>
      </c>
      <c r="F18" s="62" t="s">
        <v>185</v>
      </c>
      <c r="G18" s="62" t="s">
        <v>259</v>
      </c>
      <c r="H18" s="60" t="s">
        <v>43</v>
      </c>
      <c r="I18" s="60" t="s">
        <v>260</v>
      </c>
      <c r="J18" s="61" t="n">
        <v>46214</v>
      </c>
      <c r="K18" s="60" t="s">
        <v>159</v>
      </c>
      <c r="L18" s="60" t="s">
        <v>160</v>
      </c>
      <c r="M18" s="62" t="s">
        <v>261</v>
      </c>
      <c r="N18" s="60" t="s">
        <v>162</v>
      </c>
      <c r="O18" s="60" t="s">
        <v>262</v>
      </c>
      <c r="P18" s="61" t="n">
        <v>46218</v>
      </c>
      <c r="Q18" s="63" t="n">
        <v>2000</v>
      </c>
      <c r="R18" s="60" t="s">
        <v>217</v>
      </c>
      <c r="S18" s="64" t="n">
        <v>336</v>
      </c>
      <c r="T18" s="60" t="s">
        <v>180</v>
      </c>
      <c r="U18" s="65" t="n">
        <f aca="false">IF(AND(T18="",S18=""),"",IF(T18="",1,IFERROR(INDEX(Settings!$B$12:$B$16,MATCH(T18,Settings!$A$12:$A$16,0)),1)))</f>
        <v>1</v>
      </c>
      <c r="V18" s="64" t="n">
        <v>332.74</v>
      </c>
      <c r="W18" s="66" t="n">
        <f aca="false">IF(OR(Q18="",S18=""),"",Q18*S18*U18)</f>
        <v>672000</v>
      </c>
      <c r="X18" s="65" t="n">
        <f aca="false">IF(OR(W18="",N(Q18)=0),"",W18/Q18)</f>
        <v>336</v>
      </c>
      <c r="Y18" s="65" t="str">
        <f aca="false">IF(OR(X18="",P18="",E18=""),"",IF(_xlfn.MAXIFS($P$6:$P$205,$E$6:$E$205,E18,$P$6:$P$205,"&lt;"&amp;P18,$X$6:$X$205,"&gt;0")=0,"",IFERROR(AVERAGEIFS($X$6:$X$205,$E$6:$E$205,E18,$P$6:$P$205,_xlfn.MAXIFS($P$6:$P$205,$E$6:$E$205,E18,$P$6:$P$205,"&lt;"&amp;P18,$X$6:$X$205,"&gt;0"),$X$6:$X$205,"&gt;0"),"")))</f>
        <v/>
      </c>
      <c r="Z18" s="67" t="str">
        <f aca="false">IF(OR(Y18="",X18=""),"",X18/Y18-1)</f>
        <v/>
      </c>
      <c r="AA18" s="68" t="n">
        <f aca="false">IF(OR(W18="",V18=""),"",W18-Q18*V18)</f>
        <v>6520</v>
      </c>
      <c r="AB18" s="69" t="n">
        <f aca="false">IF(AA18="","",IF(N(V18)*N(Q18)=0,"",AA18/(Q18*V18)))</f>
        <v>0.00979743944220713</v>
      </c>
      <c r="AC18" s="70" t="n">
        <v>0.05</v>
      </c>
      <c r="AD18" s="66" t="n">
        <f aca="false">IF(W18="","",W18*(1+N(AC18)))</f>
        <v>705600</v>
      </c>
      <c r="AE18" s="62" t="s">
        <v>181</v>
      </c>
      <c r="AF18" s="71"/>
      <c r="AG18" s="71" t="n">
        <v>352800</v>
      </c>
      <c r="AH18" s="71"/>
      <c r="AI18" s="66" t="n">
        <f aca="false">IF(A18="","",N(AF18)+N(AG18)+N(AH18))</f>
        <v>352800</v>
      </c>
      <c r="AJ18" s="72" t="n">
        <f aca="false">IF(AD18="","",IF(N(AD18)=0,"",AI18/AD18))</f>
        <v>0.5</v>
      </c>
      <c r="AK18" s="66" t="n">
        <f aca="false">IF(AD18="","",IF(AD18-AI18&lt;1,0,ROUND(AD18-AI18,2)))</f>
        <v>352800</v>
      </c>
      <c r="AL18" s="66" t="n">
        <f aca="false">IF(OR(O18="",AD18=""),"",MAX(0,ROUND(N(AI18)-(AD18-N(AW18)),0)))</f>
        <v>0</v>
      </c>
      <c r="AM18" s="73" t="str">
        <f aca="false">IF(A18="","",IF(O18="","No PO Yet",IF(AI18=0,"Not Paid",IF(N(AJ18)&gt;=0.999,"Fully Paid",IF(N(AG18)+N(AH18)&gt;0,"Partially Paid","Initial / Advance Paid")))))</f>
        <v>Partially Paid</v>
      </c>
      <c r="AN18" s="61" t="n">
        <v>46279</v>
      </c>
      <c r="AO18" s="61" t="n">
        <v>46279</v>
      </c>
      <c r="AP18" s="74" t="n">
        <f aca="false">IF(AK18="","",IF(OR(N(AK18)=0,AO18=""),"",MAX(0,Settings!$B$4-AO18)))</f>
        <v>31</v>
      </c>
      <c r="AQ18" s="73" t="str">
        <f aca="false">IF(AK18="","",IF(N(AK18)&lt;=0,"",IF(AO18="","No Due Date",IF(Settings!$B$4&lt;=AO18,"Not Yet Due",IF(Settings!$B$4-AO18&lt;=30,"1-30 Days",IF(Settings!$B$4-AO18&lt;=60,"31-60 Days",IF(Settings!$B$4-AO18&lt;=90,"61-90 Days","90+ Days")))))))</f>
        <v>31-60 Days</v>
      </c>
      <c r="AR18" s="61" t="n">
        <v>46241</v>
      </c>
      <c r="AS18" s="61" t="n">
        <v>46249</v>
      </c>
      <c r="AT18" s="63" t="n">
        <v>2000</v>
      </c>
      <c r="AU18" s="72" t="n">
        <f aca="false">IF(Q18="","",IF(N(Q18)=0,"",N(AT18)/Q18))</f>
        <v>1</v>
      </c>
      <c r="AV18" s="75" t="n">
        <f aca="false">IF(OR(A18="",O18="",Q18=""),"",MAX(0,Q18-N(AT18)))</f>
        <v>0</v>
      </c>
      <c r="AW18" s="66" t="n">
        <f aca="false">IF(OR(AV18="",W18=""),"",IF(N(Q18)=0,0,AV18/Q18*AD18))</f>
        <v>0</v>
      </c>
      <c r="AX18" s="76" t="str">
        <f aca="false">IF(A18="","",IF(O18="","No PO Yet",IF(Q18="","Order Qty Missing",IF(N(AT18)&gt;=Q18,IF(N(AT18)&gt;Q18,"All In-house (+"&amp;TEXT(N(AT18)-Q18,"#,##0")&amp;" "&amp;R18&amp;" excess)","All In-house"),IF(AY18&lt;&gt;"","Short Closed - "&amp;TEXT(AV18,"#,##0")&amp;" "&amp;R18&amp;" not received",IF(N(AT18)=0,"Not Started - "&amp;TEXT(AV18,"#,##0")&amp;" "&amp;R18&amp;" pending","Pending "&amp;TEXT(AV18,"#,##0")&amp;" "&amp;R18&amp;" ("&amp;TEXT(AU18,"0%")&amp;" received)"))))))</f>
        <v>All In-house</v>
      </c>
      <c r="AY18" s="61" t="n">
        <v>46249</v>
      </c>
      <c r="AZ18" s="77" t="n">
        <f aca="false">IF(OR(B18="",J18=""),"",J18-B18)</f>
        <v>3</v>
      </c>
      <c r="BA18" s="77" t="n">
        <f aca="false">IF(OR(J18="",P18=""),"",P18-J18)</f>
        <v>4</v>
      </c>
      <c r="BB18" s="77" t="n">
        <f aca="false">IF(OR(P18="",AY18=""),"",AY18-P18)</f>
        <v>31</v>
      </c>
      <c r="BC18" s="77" t="n">
        <f aca="false">IF(OR(B18="",AY18=""),"",AY18-B18)</f>
        <v>38</v>
      </c>
      <c r="BD18" s="74" t="n">
        <f aca="false">IF(OR(AR18="",O18=""),"",MAX(0,IF(AY18="",Settings!$B$4,AY18)-AR18))</f>
        <v>8</v>
      </c>
      <c r="BE18" s="73" t="str">
        <f aca="false">IF(OR(AY18="",AR18=""),"",IF(AND(AY18&lt;=AR18,N(AU18)&gt;=Settings!$B$6),"OTIF","Not OTIF"))</f>
        <v>Not OTIF</v>
      </c>
      <c r="BF18" s="60" t="s">
        <v>159</v>
      </c>
      <c r="BG18" s="62" t="s">
        <v>263</v>
      </c>
      <c r="BH18" s="78"/>
      <c r="BI18" s="76" t="str">
        <f aca="false">IF(A18="","",IF(K18="Rejected","Rejected",IF(K18&lt;&gt;"Approved","Awaiting Approval",IF(O18="","Approved - PO Pending",IF(AY18&lt;&gt;"",IF(N(AJ18)&gt;=0.999,"Closed","In-house Closed - Payment Due"),IF(AS18&lt;&gt;"","Receiving In-house","PO Issued - Awaiting Delivery"))))))</f>
        <v>In-house Closed - Payment Due</v>
      </c>
      <c r="BJ18" s="76" t="str">
        <f aca="false">IF(A18="","",IF(IF(AND(A18&lt;&gt;"",OR(B18="",C18="",E18="",F18="",H18="")),"PR info missing; ","")&amp;IF(AND(K18="Approved",OR(J18="",I18="")),"Approval ref/date missing; ","")&amp;IF(AND(O18&lt;&gt;"",K18&lt;&gt;"Approved"),"PO without approval; ","")&amp;IF(AND(O18&lt;&gt;"",OR(P18="",M18="",Q18="",S18="",T18="")),"PO details missing; ","")&amp;IF(AND(O18&lt;&gt;"",AR18=""),"Committed date missing; ","")&amp;IF(AND(ISNUMBER(J18),ISNUMBER(B18),N(J18)&lt;N(B18)),"Approval dated before PR; ","")&amp;IF(AND(ISNUMBER(P18),ISNUMBER(J18),N(P18)&lt;N(J18)),"PO dated before approval; ","")&amp;IF(AND(ISNUMBER(AY18),ISNUMBER(AS18),N(AY18)&lt;N(AS18)),"Close before in-house start; ","")&amp;IF(AND(AY18&lt;&gt;"",AS18=""),"In-house start date missing; ","")&amp;IF(AND(AY18&lt;&gt;"",AT18=""),"Qty received missing; ","")&amp;IF(AND(AY18&lt;&gt;"",BF18=""),"QC status missing; ","")&amp;IF(N(AT18)&gt;N(Q18)*1.05,"Received &gt; ordered +5%; ","")&amp;IF(AND(N(AI18)&gt;0,AE18=""),"Payment terms missing; ","")&amp;IF(N(AI18)&gt;N(AD18)+1,"Overpaid vs PO; ","")&amp;IF(AND(N(AK18)&gt;0,AY18&lt;&gt;"",AO18=""),"Payment due date missing; ","")="","OK",IF(AND(A18&lt;&gt;"",OR(B18="",C18="",E18="",F18="",H18="")),"PR info missing; ","")&amp;IF(AND(K18="Approved",OR(J18="",I18="")),"Approval ref/date missing; ","")&amp;IF(AND(O18&lt;&gt;"",K18&lt;&gt;"Approved"),"PO without approval; ","")&amp;IF(AND(O18&lt;&gt;"",OR(P18="",M18="",Q18="",S18="",T18="")),"PO details missing; ","")&amp;IF(AND(O18&lt;&gt;"",AR18=""),"Committed date missing; ","")&amp;IF(AND(ISNUMBER(J18),ISNUMBER(B18),N(J18)&lt;N(B18)),"Approval dated before PR; ","")&amp;IF(AND(ISNUMBER(P18),ISNUMBER(J18),N(P18)&lt;N(J18)),"PO dated before approval; ","")&amp;IF(AND(ISNUMBER(AY18),ISNUMBER(AS18),N(AY18)&lt;N(AS18)),"Close before in-house start; ","")&amp;IF(AND(AY18&lt;&gt;"",AS18=""),"In-house start date missing; ","")&amp;IF(AND(AY18&lt;&gt;"",AT18=""),"Qty received missing; ","")&amp;IF(AND(AY18&lt;&gt;"",BF18=""),"QC status missing; ","")&amp;IF(N(AT18)&gt;N(Q18)*1.05,"Received &gt; ordered +5%; ","")&amp;IF(AND(N(AI18)&gt;0,AE18=""),"Payment terms missing; ","")&amp;IF(N(AI18)&gt;N(AD18)+1,"Overpaid vs PO; ","")&amp;IF(AND(N(AK18)&gt;0,AY18&lt;&gt;"",AO18=""),"Payment due date missing; ","")))</f>
        <v>OK</v>
      </c>
      <c r="BK18" s="76" t="str">
        <f aca="false">IF(A18="","",IF(N(AP18)&gt;0,"Pay supplier: "&amp;N(AP18)&amp;" days overdue; ","")&amp;IF(AND(O18&lt;&gt;"",AY18="",N(BD18)&gt;0),"Expedite delivery: "&amp;N(BD18)&amp;" days late; ","")&amp;IF(AND(BI18="Awaiting Approval",ISNUMBER(B18),Settings!$B$4-N(B18)&gt;Settings!$B$19),"Get approval: PR waiting "&amp;(Settings!$B$4-N(B18))&amp;" days; ","")&amp;IF(AND(BI18="Approved - PO Pending",ISNUMBER(J18),Settings!$B$4-N(J18)&gt;Settings!$B$20),"Issue PO: approved "&amp;(Settings!$B$4-N(J18))&amp;" days ago; ","")&amp;IF(AND(OR(BI18="Awaiting Approval",BI18="Approved - PO Pending"),N(AB18)&gt;Settings!$B$7),"Negotiate price: "&amp;TEXT(AB18,"0%")&amp;" above budget; ","")&amp;IF(LEFT(AX18,12)="Short Closed","Short closed: claim balance / credit note"&amp;IF(N(AL18)&gt;0," BDT "&amp;TEXT(AL18,"#,##0"),"")&amp;"; ","")&amp;IF(BF18="Rejected","QC rejected: return / replace; ","")&amp;IF(AND(O18&lt;&gt;"",AY18="",N(AL18)&gt;0,N(BD18)&gt;0),"Advance at risk: BDT "&amp;TEXT(AL18,"#,##0")&amp;" paid, goods late; ","")&amp;IF(AND(BJ18&lt;&gt;"",BJ18&lt;&gt;"OK"),"Fix data entry (see Data Check); ",""))</f>
        <v>Pay supplier: 31 days overdue; </v>
      </c>
      <c r="BL18" s="73" t="str">
        <f aca="false">IF(BK18="","",IF(OR(N(AP18)&gt;30,AND(AY18="",N(BD18)&gt;15),BF18="Rejected",AND(LEFT(AX18,12)="Short Closed",N(AL18)&gt;0),AND(O18&lt;&gt;"",AY18="",N(AL18)&gt;0,N(BD18)&gt;0)),"High",IF(OR(N(AP18)&gt;0,AND(AY18="",N(BD18)&gt;7),LEFT(AX18,12)="Short Closed",AND(BI18="Awaiting Approval",ISNUMBER(B18),Settings!$B$4-N(B18)&gt;2*Settings!$B$19),AND(BI18="Approved - PO Pending",ISNUMBER(J18),Settings!$B$4-N(J18)&gt;2*Settings!$B$20)),"Medium","Low")))</f>
        <v>High</v>
      </c>
      <c r="BM18" s="77" t="n">
        <f aca="false">IF(BL18="","",IF(BL18="High",1,IF(BL18="Medium",2,3))*10000+ROW())</f>
        <v>10018</v>
      </c>
      <c r="BN18" s="62"/>
    </row>
    <row r="19" customFormat="false" ht="39.75" hidden="false" customHeight="true" outlineLevel="0" collapsed="false">
      <c r="A19" s="60" t="s">
        <v>264</v>
      </c>
      <c r="B19" s="61" t="n">
        <v>46213</v>
      </c>
      <c r="C19" s="62" t="s">
        <v>153</v>
      </c>
      <c r="D19" s="62" t="s">
        <v>154</v>
      </c>
      <c r="E19" s="62" t="s">
        <v>265</v>
      </c>
      <c r="F19" s="62" t="s">
        <v>185</v>
      </c>
      <c r="G19" s="62" t="s">
        <v>266</v>
      </c>
      <c r="H19" s="60" t="s">
        <v>43</v>
      </c>
      <c r="I19" s="60" t="s">
        <v>267</v>
      </c>
      <c r="J19" s="61" t="n">
        <v>46214</v>
      </c>
      <c r="K19" s="60" t="s">
        <v>159</v>
      </c>
      <c r="L19" s="60" t="s">
        <v>160</v>
      </c>
      <c r="M19" s="62" t="s">
        <v>188</v>
      </c>
      <c r="N19" s="60" t="s">
        <v>189</v>
      </c>
      <c r="O19" s="60" t="s">
        <v>268</v>
      </c>
      <c r="P19" s="61" t="n">
        <v>46219</v>
      </c>
      <c r="Q19" s="63" t="n">
        <v>3700</v>
      </c>
      <c r="R19" s="60" t="s">
        <v>217</v>
      </c>
      <c r="S19" s="64" t="n">
        <v>3.35</v>
      </c>
      <c r="T19" s="60" t="s">
        <v>165</v>
      </c>
      <c r="U19" s="65" t="n">
        <f aca="false">IF(AND(T19="",S19=""),"",IF(T19="",1,IFERROR(INDEX(Settings!$B$12:$B$16,MATCH(T19,Settings!$A$12:$A$16,0)),1)))</f>
        <v>122</v>
      </c>
      <c r="V19" s="64" t="n">
        <v>418.36</v>
      </c>
      <c r="W19" s="66" t="n">
        <f aca="false">IF(OR(Q19="",S19=""),"",Q19*S19*U19)</f>
        <v>1512190</v>
      </c>
      <c r="X19" s="65" t="n">
        <f aca="false">IF(OR(W19="",N(Q19)=0),"",W19/Q19)</f>
        <v>408.7</v>
      </c>
      <c r="Y19" s="65" t="str">
        <f aca="false">IF(OR(X19="",P19="",E19=""),"",IF(_xlfn.MAXIFS($P$6:$P$205,$E$6:$E$205,E19,$P$6:$P$205,"&lt;"&amp;P19,$X$6:$X$205,"&gt;0")=0,"",IFERROR(AVERAGEIFS($X$6:$X$205,$E$6:$E$205,E19,$P$6:$P$205,_xlfn.MAXIFS($P$6:$P$205,$E$6:$E$205,E19,$P$6:$P$205,"&lt;"&amp;P19,$X$6:$X$205,"&gt;0"),$X$6:$X$205,"&gt;0"),"")))</f>
        <v/>
      </c>
      <c r="Z19" s="67" t="str">
        <f aca="false">IF(OR(Y19="",X19=""),"",X19/Y19-1)</f>
        <v/>
      </c>
      <c r="AA19" s="68" t="n">
        <f aca="false">IF(OR(W19="",V19=""),"",W19-Q19*V19)</f>
        <v>-35742</v>
      </c>
      <c r="AB19" s="69" t="n">
        <f aca="false">IF(AA19="","",IF(N(V19)*N(Q19)=0,"",AA19/(Q19*V19)))</f>
        <v>-0.0230901615833254</v>
      </c>
      <c r="AC19" s="70" t="n">
        <v>0.15</v>
      </c>
      <c r="AD19" s="66" t="n">
        <f aca="false">IF(W19="","",W19*(1+N(AC19)))</f>
        <v>1739018.5</v>
      </c>
      <c r="AE19" s="62" t="s">
        <v>192</v>
      </c>
      <c r="AF19" s="71"/>
      <c r="AG19" s="71"/>
      <c r="AH19" s="71" t="n">
        <v>1739018.5</v>
      </c>
      <c r="AI19" s="66" t="n">
        <f aca="false">IF(A19="","",N(AF19)+N(AG19)+N(AH19))</f>
        <v>1739018.5</v>
      </c>
      <c r="AJ19" s="72" t="n">
        <f aca="false">IF(AD19="","",IF(N(AD19)=0,"",AI19/AD19))</f>
        <v>1</v>
      </c>
      <c r="AK19" s="66" t="n">
        <f aca="false">IF(AD19="","",IF(AD19-AI19&lt;1,0,ROUND(AD19-AI19,2)))</f>
        <v>0</v>
      </c>
      <c r="AL19" s="66" t="n">
        <f aca="false">IF(OR(O19="",AD19=""),"",MAX(0,ROUND(N(AI19)-(AD19-N(AW19)),0)))</f>
        <v>0</v>
      </c>
      <c r="AM19" s="73" t="str">
        <f aca="false">IF(A19="","",IF(O19="","No PO Yet",IF(AI19=0,"Not Paid",IF(N(AJ19)&gt;=0.999,"Fully Paid",IF(N(AG19)+N(AH19)&gt;0,"Partially Paid","Initial / Advance Paid")))))</f>
        <v>Fully Paid</v>
      </c>
      <c r="AN19" s="61" t="n">
        <v>46255</v>
      </c>
      <c r="AO19" s="61"/>
      <c r="AP19" s="74" t="str">
        <f aca="false">IF(AK19="","",IF(OR(N(AK19)=0,AO19=""),"",MAX(0,Settings!$B$4-AO19)))</f>
        <v/>
      </c>
      <c r="AQ19" s="73" t="str">
        <f aca="false">IF(AK19="","",IF(N(AK19)&lt;=0,"",IF(AO19="","No Due Date",IF(Settings!$B$4&lt;=AO19,"Not Yet Due",IF(Settings!$B$4-AO19&lt;=30,"1-30 Days",IF(Settings!$B$4-AO19&lt;=60,"31-60 Days",IF(Settings!$B$4-AO19&lt;=90,"61-90 Days","90+ Days")))))))</f>
        <v/>
      </c>
      <c r="AR19" s="61" t="n">
        <v>46265</v>
      </c>
      <c r="AS19" s="61" t="n">
        <v>46261</v>
      </c>
      <c r="AT19" s="63" t="n">
        <v>3700</v>
      </c>
      <c r="AU19" s="72" t="n">
        <f aca="false">IF(Q19="","",IF(N(Q19)=0,"",N(AT19)/Q19))</f>
        <v>1</v>
      </c>
      <c r="AV19" s="75" t="n">
        <f aca="false">IF(OR(A19="",O19="",Q19=""),"",MAX(0,Q19-N(AT19)))</f>
        <v>0</v>
      </c>
      <c r="AW19" s="66" t="n">
        <f aca="false">IF(OR(AV19="",W19=""),"",IF(N(Q19)=0,0,AV19/Q19*AD19))</f>
        <v>0</v>
      </c>
      <c r="AX19" s="76" t="str">
        <f aca="false">IF(A19="","",IF(O19="","No PO Yet",IF(Q19="","Order Qty Missing",IF(N(AT19)&gt;=Q19,IF(N(AT19)&gt;Q19,"All In-house (+"&amp;TEXT(N(AT19)-Q19,"#,##0")&amp;" "&amp;R19&amp;" excess)","All In-house"),IF(AY19&lt;&gt;"","Short Closed - "&amp;TEXT(AV19,"#,##0")&amp;" "&amp;R19&amp;" not received",IF(N(AT19)=0,"Not Started - "&amp;TEXT(AV19,"#,##0")&amp;" "&amp;R19&amp;" pending","Pending "&amp;TEXT(AV19,"#,##0")&amp;" "&amp;R19&amp;" ("&amp;TEXT(AU19,"0%")&amp;" received)"))))))</f>
        <v>All In-house</v>
      </c>
      <c r="AY19" s="61" t="n">
        <v>46263</v>
      </c>
      <c r="AZ19" s="77" t="n">
        <f aca="false">IF(OR(B19="",J19=""),"",J19-B19)</f>
        <v>1</v>
      </c>
      <c r="BA19" s="77" t="n">
        <f aca="false">IF(OR(J19="",P19=""),"",P19-J19)</f>
        <v>5</v>
      </c>
      <c r="BB19" s="77" t="n">
        <f aca="false">IF(OR(P19="",AY19=""),"",AY19-P19)</f>
        <v>44</v>
      </c>
      <c r="BC19" s="77" t="n">
        <f aca="false">IF(OR(B19="",AY19=""),"",AY19-B19)</f>
        <v>50</v>
      </c>
      <c r="BD19" s="74" t="n">
        <f aca="false">IF(OR(AR19="",O19=""),"",MAX(0,IF(AY19="",Settings!$B$4,AY19)-AR19))</f>
        <v>0</v>
      </c>
      <c r="BE19" s="73" t="str">
        <f aca="false">IF(OR(AY19="",AR19=""),"",IF(AND(AY19&lt;=AR19,N(AU19)&gt;=Settings!$B$6),"OTIF","Not OTIF"))</f>
        <v>OTIF</v>
      </c>
      <c r="BF19" s="60" t="s">
        <v>159</v>
      </c>
      <c r="BG19" s="62" t="s">
        <v>269</v>
      </c>
      <c r="BH19" s="78"/>
      <c r="BI19" s="76" t="str">
        <f aca="false">IF(A19="","",IF(K19="Rejected","Rejected",IF(K19&lt;&gt;"Approved","Awaiting Approval",IF(O19="","Approved - PO Pending",IF(AY19&lt;&gt;"",IF(N(AJ19)&gt;=0.999,"Closed","In-house Closed - Payment Due"),IF(AS19&lt;&gt;"","Receiving In-house","PO Issued - Awaiting Delivery"))))))</f>
        <v>Closed</v>
      </c>
      <c r="BJ19" s="76" t="str">
        <f aca="false">IF(A19="","",IF(IF(AND(A19&lt;&gt;"",OR(B19="",C19="",E19="",F19="",H19="")),"PR info missing; ","")&amp;IF(AND(K19="Approved",OR(J19="",I19="")),"Approval ref/date missing; ","")&amp;IF(AND(O19&lt;&gt;"",K19&lt;&gt;"Approved"),"PO without approval; ","")&amp;IF(AND(O19&lt;&gt;"",OR(P19="",M19="",Q19="",S19="",T19="")),"PO details missing; ","")&amp;IF(AND(O19&lt;&gt;"",AR19=""),"Committed date missing; ","")&amp;IF(AND(ISNUMBER(J19),ISNUMBER(B19),N(J19)&lt;N(B19)),"Approval dated before PR; ","")&amp;IF(AND(ISNUMBER(P19),ISNUMBER(J19),N(P19)&lt;N(J19)),"PO dated before approval; ","")&amp;IF(AND(ISNUMBER(AY19),ISNUMBER(AS19),N(AY19)&lt;N(AS19)),"Close before in-house start; ","")&amp;IF(AND(AY19&lt;&gt;"",AS19=""),"In-house start date missing; ","")&amp;IF(AND(AY19&lt;&gt;"",AT19=""),"Qty received missing; ","")&amp;IF(AND(AY19&lt;&gt;"",BF19=""),"QC status missing; ","")&amp;IF(N(AT19)&gt;N(Q19)*1.05,"Received &gt; ordered +5%; ","")&amp;IF(AND(N(AI19)&gt;0,AE19=""),"Payment terms missing; ","")&amp;IF(N(AI19)&gt;N(AD19)+1,"Overpaid vs PO; ","")&amp;IF(AND(N(AK19)&gt;0,AY19&lt;&gt;"",AO19=""),"Payment due date missing; ","")="","OK",IF(AND(A19&lt;&gt;"",OR(B19="",C19="",E19="",F19="",H19="")),"PR info missing; ","")&amp;IF(AND(K19="Approved",OR(J19="",I19="")),"Approval ref/date missing; ","")&amp;IF(AND(O19&lt;&gt;"",K19&lt;&gt;"Approved"),"PO without approval; ","")&amp;IF(AND(O19&lt;&gt;"",OR(P19="",M19="",Q19="",S19="",T19="")),"PO details missing; ","")&amp;IF(AND(O19&lt;&gt;"",AR19=""),"Committed date missing; ","")&amp;IF(AND(ISNUMBER(J19),ISNUMBER(B19),N(J19)&lt;N(B19)),"Approval dated before PR; ","")&amp;IF(AND(ISNUMBER(P19),ISNUMBER(J19),N(P19)&lt;N(J19)),"PO dated before approval; ","")&amp;IF(AND(ISNUMBER(AY19),ISNUMBER(AS19),N(AY19)&lt;N(AS19)),"Close before in-house start; ","")&amp;IF(AND(AY19&lt;&gt;"",AS19=""),"In-house start date missing; ","")&amp;IF(AND(AY19&lt;&gt;"",AT19=""),"Qty received missing; ","")&amp;IF(AND(AY19&lt;&gt;"",BF19=""),"QC status missing; ","")&amp;IF(N(AT19)&gt;N(Q19)*1.05,"Received &gt; ordered +5%; ","")&amp;IF(AND(N(AI19)&gt;0,AE19=""),"Payment terms missing; ","")&amp;IF(N(AI19)&gt;N(AD19)+1,"Overpaid vs PO; ","")&amp;IF(AND(N(AK19)&gt;0,AY19&lt;&gt;"",AO19=""),"Payment due date missing; ","")))</f>
        <v>OK</v>
      </c>
      <c r="BK19" s="76" t="str">
        <f aca="false">IF(A19="","",IF(N(AP19)&gt;0,"Pay supplier: "&amp;N(AP19)&amp;" days overdue; ","")&amp;IF(AND(O19&lt;&gt;"",AY19="",N(BD19)&gt;0),"Expedite delivery: "&amp;N(BD19)&amp;" days late; ","")&amp;IF(AND(BI19="Awaiting Approval",ISNUMBER(B19),Settings!$B$4-N(B19)&gt;Settings!$B$19),"Get approval: PR waiting "&amp;(Settings!$B$4-N(B19))&amp;" days; ","")&amp;IF(AND(BI19="Approved - PO Pending",ISNUMBER(J19),Settings!$B$4-N(J19)&gt;Settings!$B$20),"Issue PO: approved "&amp;(Settings!$B$4-N(J19))&amp;" days ago; ","")&amp;IF(AND(OR(BI19="Awaiting Approval",BI19="Approved - PO Pending"),N(AB19)&gt;Settings!$B$7),"Negotiate price: "&amp;TEXT(AB19,"0%")&amp;" above budget; ","")&amp;IF(LEFT(AX19,12)="Short Closed","Short closed: claim balance / credit note"&amp;IF(N(AL19)&gt;0," BDT "&amp;TEXT(AL19,"#,##0"),"")&amp;"; ","")&amp;IF(BF19="Rejected","QC rejected: return / replace; ","")&amp;IF(AND(O19&lt;&gt;"",AY19="",N(AL19)&gt;0,N(BD19)&gt;0),"Advance at risk: BDT "&amp;TEXT(AL19,"#,##0")&amp;" paid, goods late; ","")&amp;IF(AND(BJ19&lt;&gt;"",BJ19&lt;&gt;"OK"),"Fix data entry (see Data Check); ",""))</f>
        <v/>
      </c>
      <c r="BL19" s="73" t="str">
        <f aca="false">IF(BK19="","",IF(OR(N(AP19)&gt;30,AND(AY19="",N(BD19)&gt;15),BF19="Rejected",AND(LEFT(AX19,12)="Short Closed",N(AL19)&gt;0),AND(O19&lt;&gt;"",AY19="",N(AL19)&gt;0,N(BD19)&gt;0)),"High",IF(OR(N(AP19)&gt;0,AND(AY19="",N(BD19)&gt;7),LEFT(AX19,12)="Short Closed",AND(BI19="Awaiting Approval",ISNUMBER(B19),Settings!$B$4-N(B19)&gt;2*Settings!$B$19),AND(BI19="Approved - PO Pending",ISNUMBER(J19),Settings!$B$4-N(J19)&gt;2*Settings!$B$20)),"Medium","Low")))</f>
        <v/>
      </c>
      <c r="BM19" s="77" t="str">
        <f aca="false">IF(BL19="","",IF(BL19="High",1,IF(BL19="Medium",2,3))*10000+ROW())</f>
        <v/>
      </c>
      <c r="BN19" s="62" t="s">
        <v>205</v>
      </c>
    </row>
    <row r="20" customFormat="false" ht="39.75" hidden="false" customHeight="true" outlineLevel="0" collapsed="false">
      <c r="A20" s="60" t="s">
        <v>270</v>
      </c>
      <c r="B20" s="61" t="n">
        <v>46217</v>
      </c>
      <c r="C20" s="62" t="s">
        <v>271</v>
      </c>
      <c r="D20" s="62" t="s">
        <v>272</v>
      </c>
      <c r="E20" s="62" t="s">
        <v>273</v>
      </c>
      <c r="F20" s="62" t="s">
        <v>274</v>
      </c>
      <c r="G20" s="62" t="s">
        <v>275</v>
      </c>
      <c r="H20" s="60" t="s">
        <v>43</v>
      </c>
      <c r="I20" s="60" t="s">
        <v>276</v>
      </c>
      <c r="J20" s="61" t="n">
        <v>46219</v>
      </c>
      <c r="K20" s="60" t="s">
        <v>159</v>
      </c>
      <c r="L20" s="60" t="s">
        <v>172</v>
      </c>
      <c r="M20" s="62" t="s">
        <v>277</v>
      </c>
      <c r="N20" s="60" t="s">
        <v>162</v>
      </c>
      <c r="O20" s="60" t="s">
        <v>278</v>
      </c>
      <c r="P20" s="61" t="n">
        <v>46223</v>
      </c>
      <c r="Q20" s="63" t="n">
        <v>17300</v>
      </c>
      <c r="R20" s="60" t="s">
        <v>279</v>
      </c>
      <c r="S20" s="64" t="n">
        <v>39.22</v>
      </c>
      <c r="T20" s="60" t="s">
        <v>180</v>
      </c>
      <c r="U20" s="65" t="n">
        <f aca="false">IF(AND(T20="",S20=""),"",IF(T20="",1,IFERROR(INDEX(Settings!$B$12:$B$16,MATCH(T20,Settings!$A$12:$A$16,0)),1)))</f>
        <v>1</v>
      </c>
      <c r="V20" s="64" t="n">
        <v>38.66</v>
      </c>
      <c r="W20" s="66" t="n">
        <f aca="false">IF(OR(Q20="",S20=""),"",Q20*S20*U20)</f>
        <v>678506</v>
      </c>
      <c r="X20" s="65" t="n">
        <f aca="false">IF(OR(W20="",N(Q20)=0),"",W20/Q20)</f>
        <v>39.22</v>
      </c>
      <c r="Y20" s="65" t="str">
        <f aca="false">IF(OR(X20="",P20="",E20=""),"",IF(_xlfn.MAXIFS($P$6:$P$205,$E$6:$E$205,E20,$P$6:$P$205,"&lt;"&amp;P20,$X$6:$X$205,"&gt;0")=0,"",IFERROR(AVERAGEIFS($X$6:$X$205,$E$6:$E$205,E20,$P$6:$P$205,_xlfn.MAXIFS($P$6:$P$205,$E$6:$E$205,E20,$P$6:$P$205,"&lt;"&amp;P20,$X$6:$X$205,"&gt;0"),$X$6:$X$205,"&gt;0"),"")))</f>
        <v/>
      </c>
      <c r="Z20" s="67" t="str">
        <f aca="false">IF(OR(Y20="",X20=""),"",X20/Y20-1)</f>
        <v/>
      </c>
      <c r="AA20" s="68" t="n">
        <f aca="false">IF(OR(W20="",V20=""),"",W20-Q20*V20)</f>
        <v>9688.00000000012</v>
      </c>
      <c r="AB20" s="69" t="n">
        <f aca="false">IF(AA20="","",IF(N(V20)*N(Q20)=0,"",AA20/(Q20*V20)))</f>
        <v>0.0144852560786344</v>
      </c>
      <c r="AC20" s="70" t="n">
        <v>0.05</v>
      </c>
      <c r="AD20" s="66" t="n">
        <f aca="false">IF(W20="","",W20*(1+N(AC20)))</f>
        <v>712431.3</v>
      </c>
      <c r="AE20" s="62" t="s">
        <v>181</v>
      </c>
      <c r="AF20" s="71"/>
      <c r="AG20" s="71"/>
      <c r="AH20" s="71" t="n">
        <v>712431.3</v>
      </c>
      <c r="AI20" s="66" t="n">
        <f aca="false">IF(A20="","",N(AF20)+N(AG20)+N(AH20))</f>
        <v>712431.3</v>
      </c>
      <c r="AJ20" s="72" t="n">
        <f aca="false">IF(AD20="","",IF(N(AD20)=0,"",AI20/AD20))</f>
        <v>1</v>
      </c>
      <c r="AK20" s="66" t="n">
        <f aca="false">IF(AD20="","",IF(AD20-AI20&lt;1,0,ROUND(AD20-AI20,2)))</f>
        <v>0</v>
      </c>
      <c r="AL20" s="66" t="n">
        <f aca="false">IF(OR(O20="",AD20=""),"",MAX(0,ROUND(N(AI20)-(AD20-N(AW20)),0)))</f>
        <v>0</v>
      </c>
      <c r="AM20" s="73" t="str">
        <f aca="false">IF(A20="","",IF(O20="","No PO Yet",IF(AI20=0,"Not Paid",IF(N(AJ20)&gt;=0.999,"Fully Paid",IF(N(AG20)+N(AH20)&gt;0,"Partially Paid","Initial / Advance Paid")))))</f>
        <v>Fully Paid</v>
      </c>
      <c r="AN20" s="61" t="n">
        <v>46274</v>
      </c>
      <c r="AO20" s="61"/>
      <c r="AP20" s="74" t="str">
        <f aca="false">IF(AK20="","",IF(OR(N(AK20)=0,AO20=""),"",MAX(0,Settings!$B$4-AO20)))</f>
        <v/>
      </c>
      <c r="AQ20" s="73" t="str">
        <f aca="false">IF(AK20="","",IF(N(AK20)&lt;=0,"",IF(AO20="","No Due Date",IF(Settings!$B$4&lt;=AO20,"Not Yet Due",IF(Settings!$B$4-AO20&lt;=30,"1-30 Days",IF(Settings!$B$4-AO20&lt;=60,"31-60 Days",IF(Settings!$B$4-AO20&lt;=90,"61-90 Days","90+ Days")))))))</f>
        <v/>
      </c>
      <c r="AR20" s="61" t="n">
        <v>46244</v>
      </c>
      <c r="AS20" s="61" t="n">
        <v>46241</v>
      </c>
      <c r="AT20" s="63" t="n">
        <v>17300</v>
      </c>
      <c r="AU20" s="72" t="n">
        <f aca="false">IF(Q20="","",IF(N(Q20)=0,"",N(AT20)/Q20))</f>
        <v>1</v>
      </c>
      <c r="AV20" s="75" t="n">
        <f aca="false">IF(OR(A20="",O20="",Q20=""),"",MAX(0,Q20-N(AT20)))</f>
        <v>0</v>
      </c>
      <c r="AW20" s="66" t="n">
        <f aca="false">IF(OR(AV20="",W20=""),"",IF(N(Q20)=0,0,AV20/Q20*AD20))</f>
        <v>0</v>
      </c>
      <c r="AX20" s="76" t="str">
        <f aca="false">IF(A20="","",IF(O20="","No PO Yet",IF(Q20="","Order Qty Missing",IF(N(AT20)&gt;=Q20,IF(N(AT20)&gt;Q20,"All In-house (+"&amp;TEXT(N(AT20)-Q20,"#,##0")&amp;" "&amp;R20&amp;" excess)","All In-house"),IF(AY20&lt;&gt;"","Short Closed - "&amp;TEXT(AV20,"#,##0")&amp;" "&amp;R20&amp;" not received",IF(N(AT20)=0,"Not Started - "&amp;TEXT(AV20,"#,##0")&amp;" "&amp;R20&amp;" pending","Pending "&amp;TEXT(AV20,"#,##0")&amp;" "&amp;R20&amp;" ("&amp;TEXT(AU20,"0%")&amp;" received)"))))))</f>
        <v>All In-house</v>
      </c>
      <c r="AY20" s="61" t="n">
        <v>46244</v>
      </c>
      <c r="AZ20" s="77" t="n">
        <f aca="false">IF(OR(B20="",J20=""),"",J20-B20)</f>
        <v>2</v>
      </c>
      <c r="BA20" s="77" t="n">
        <f aca="false">IF(OR(J20="",P20=""),"",P20-J20)</f>
        <v>4</v>
      </c>
      <c r="BB20" s="77" t="n">
        <f aca="false">IF(OR(P20="",AY20=""),"",AY20-P20)</f>
        <v>21</v>
      </c>
      <c r="BC20" s="77" t="n">
        <f aca="false">IF(OR(B20="",AY20=""),"",AY20-B20)</f>
        <v>27</v>
      </c>
      <c r="BD20" s="74" t="n">
        <f aca="false">IF(OR(AR20="",O20=""),"",MAX(0,IF(AY20="",Settings!$B$4,AY20)-AR20))</f>
        <v>0</v>
      </c>
      <c r="BE20" s="73" t="str">
        <f aca="false">IF(OR(AY20="",AR20=""),"",IF(AND(AY20&lt;=AR20,N(AU20)&gt;=Settings!$B$6),"OTIF","Not OTIF"))</f>
        <v>OTIF</v>
      </c>
      <c r="BF20" s="60" t="s">
        <v>159</v>
      </c>
      <c r="BG20" s="62" t="s">
        <v>280</v>
      </c>
      <c r="BH20" s="78"/>
      <c r="BI20" s="76" t="str">
        <f aca="false">IF(A20="","",IF(K20="Rejected","Rejected",IF(K20&lt;&gt;"Approved","Awaiting Approval",IF(O20="","Approved - PO Pending",IF(AY20&lt;&gt;"",IF(N(AJ20)&gt;=0.999,"Closed","In-house Closed - Payment Due"),IF(AS20&lt;&gt;"","Receiving In-house","PO Issued - Awaiting Delivery"))))))</f>
        <v>Closed</v>
      </c>
      <c r="BJ20" s="76" t="str">
        <f aca="false">IF(A20="","",IF(IF(AND(A20&lt;&gt;"",OR(B20="",C20="",E20="",F20="",H20="")),"PR info missing; ","")&amp;IF(AND(K20="Approved",OR(J20="",I20="")),"Approval ref/date missing; ","")&amp;IF(AND(O20&lt;&gt;"",K20&lt;&gt;"Approved"),"PO without approval; ","")&amp;IF(AND(O20&lt;&gt;"",OR(P20="",M20="",Q20="",S20="",T20="")),"PO details missing; ","")&amp;IF(AND(O20&lt;&gt;"",AR20=""),"Committed date missing; ","")&amp;IF(AND(ISNUMBER(J20),ISNUMBER(B20),N(J20)&lt;N(B20)),"Approval dated before PR; ","")&amp;IF(AND(ISNUMBER(P20),ISNUMBER(J20),N(P20)&lt;N(J20)),"PO dated before approval; ","")&amp;IF(AND(ISNUMBER(AY20),ISNUMBER(AS20),N(AY20)&lt;N(AS20)),"Close before in-house start; ","")&amp;IF(AND(AY20&lt;&gt;"",AS20=""),"In-house start date missing; ","")&amp;IF(AND(AY20&lt;&gt;"",AT20=""),"Qty received missing; ","")&amp;IF(AND(AY20&lt;&gt;"",BF20=""),"QC status missing; ","")&amp;IF(N(AT20)&gt;N(Q20)*1.05,"Received &gt; ordered +5%; ","")&amp;IF(AND(N(AI20)&gt;0,AE20=""),"Payment terms missing; ","")&amp;IF(N(AI20)&gt;N(AD20)+1,"Overpaid vs PO; ","")&amp;IF(AND(N(AK20)&gt;0,AY20&lt;&gt;"",AO20=""),"Payment due date missing; ","")="","OK",IF(AND(A20&lt;&gt;"",OR(B20="",C20="",E20="",F20="",H20="")),"PR info missing; ","")&amp;IF(AND(K20="Approved",OR(J20="",I20="")),"Approval ref/date missing; ","")&amp;IF(AND(O20&lt;&gt;"",K20&lt;&gt;"Approved"),"PO without approval; ","")&amp;IF(AND(O20&lt;&gt;"",OR(P20="",M20="",Q20="",S20="",T20="")),"PO details missing; ","")&amp;IF(AND(O20&lt;&gt;"",AR20=""),"Committed date missing; ","")&amp;IF(AND(ISNUMBER(J20),ISNUMBER(B20),N(J20)&lt;N(B20)),"Approval dated before PR; ","")&amp;IF(AND(ISNUMBER(P20),ISNUMBER(J20),N(P20)&lt;N(J20)),"PO dated before approval; ","")&amp;IF(AND(ISNUMBER(AY20),ISNUMBER(AS20),N(AY20)&lt;N(AS20)),"Close before in-house start; ","")&amp;IF(AND(AY20&lt;&gt;"",AS20=""),"In-house start date missing; ","")&amp;IF(AND(AY20&lt;&gt;"",AT20=""),"Qty received missing; ","")&amp;IF(AND(AY20&lt;&gt;"",BF20=""),"QC status missing; ","")&amp;IF(N(AT20)&gt;N(Q20)*1.05,"Received &gt; ordered +5%; ","")&amp;IF(AND(N(AI20)&gt;0,AE20=""),"Payment terms missing; ","")&amp;IF(N(AI20)&gt;N(AD20)+1,"Overpaid vs PO; ","")&amp;IF(AND(N(AK20)&gt;0,AY20&lt;&gt;"",AO20=""),"Payment due date missing; ","")))</f>
        <v>OK</v>
      </c>
      <c r="BK20" s="76" t="str">
        <f aca="false">IF(A20="","",IF(N(AP20)&gt;0,"Pay supplier: "&amp;N(AP20)&amp;" days overdue; ","")&amp;IF(AND(O20&lt;&gt;"",AY20="",N(BD20)&gt;0),"Expedite delivery: "&amp;N(BD20)&amp;" days late; ","")&amp;IF(AND(BI20="Awaiting Approval",ISNUMBER(B20),Settings!$B$4-N(B20)&gt;Settings!$B$19),"Get approval: PR waiting "&amp;(Settings!$B$4-N(B20))&amp;" days; ","")&amp;IF(AND(BI20="Approved - PO Pending",ISNUMBER(J20),Settings!$B$4-N(J20)&gt;Settings!$B$20),"Issue PO: approved "&amp;(Settings!$B$4-N(J20))&amp;" days ago; ","")&amp;IF(AND(OR(BI20="Awaiting Approval",BI20="Approved - PO Pending"),N(AB20)&gt;Settings!$B$7),"Negotiate price: "&amp;TEXT(AB20,"0%")&amp;" above budget; ","")&amp;IF(LEFT(AX20,12)="Short Closed","Short closed: claim balance / credit note"&amp;IF(N(AL20)&gt;0," BDT "&amp;TEXT(AL20,"#,##0"),"")&amp;"; ","")&amp;IF(BF20="Rejected","QC rejected: return / replace; ","")&amp;IF(AND(O20&lt;&gt;"",AY20="",N(AL20)&gt;0,N(BD20)&gt;0),"Advance at risk: BDT "&amp;TEXT(AL20,"#,##0")&amp;" paid, goods late; ","")&amp;IF(AND(BJ20&lt;&gt;"",BJ20&lt;&gt;"OK"),"Fix data entry (see Data Check); ",""))</f>
        <v/>
      </c>
      <c r="BL20" s="73" t="str">
        <f aca="false">IF(BK20="","",IF(OR(N(AP20)&gt;30,AND(AY20="",N(BD20)&gt;15),BF20="Rejected",AND(LEFT(AX20,12)="Short Closed",N(AL20)&gt;0),AND(O20&lt;&gt;"",AY20="",N(AL20)&gt;0,N(BD20)&gt;0)),"High",IF(OR(N(AP20)&gt;0,AND(AY20="",N(BD20)&gt;7),LEFT(AX20,12)="Short Closed",AND(BI20="Awaiting Approval",ISNUMBER(B20),Settings!$B$4-N(B20)&gt;2*Settings!$B$19),AND(BI20="Approved - PO Pending",ISNUMBER(J20),Settings!$B$4-N(J20)&gt;2*Settings!$B$20)),"Medium","Low")))</f>
        <v/>
      </c>
      <c r="BM20" s="77" t="str">
        <f aca="false">IF(BL20="","",IF(BL20="High",1,IF(BL20="Medium",2,3))*10000+ROW())</f>
        <v/>
      </c>
      <c r="BN20" s="62"/>
    </row>
    <row r="21" customFormat="false" ht="39.75" hidden="false" customHeight="true" outlineLevel="0" collapsed="false">
      <c r="A21" s="60" t="s">
        <v>281</v>
      </c>
      <c r="B21" s="61" t="n">
        <v>46220</v>
      </c>
      <c r="C21" s="62" t="s">
        <v>271</v>
      </c>
      <c r="D21" s="62" t="s">
        <v>272</v>
      </c>
      <c r="E21" s="62" t="s">
        <v>282</v>
      </c>
      <c r="F21" s="62" t="s">
        <v>274</v>
      </c>
      <c r="G21" s="62" t="s">
        <v>283</v>
      </c>
      <c r="H21" s="60" t="s">
        <v>43</v>
      </c>
      <c r="I21" s="60" t="s">
        <v>284</v>
      </c>
      <c r="J21" s="61" t="n">
        <v>46223</v>
      </c>
      <c r="K21" s="60" t="s">
        <v>159</v>
      </c>
      <c r="L21" s="60" t="s">
        <v>160</v>
      </c>
      <c r="M21" s="62" t="s">
        <v>277</v>
      </c>
      <c r="N21" s="60" t="s">
        <v>162</v>
      </c>
      <c r="O21" s="60" t="s">
        <v>285</v>
      </c>
      <c r="P21" s="61" t="n">
        <v>46226</v>
      </c>
      <c r="Q21" s="63" t="n">
        <v>1500</v>
      </c>
      <c r="R21" s="60" t="s">
        <v>279</v>
      </c>
      <c r="S21" s="64" t="n">
        <v>141</v>
      </c>
      <c r="T21" s="60" t="s">
        <v>180</v>
      </c>
      <c r="U21" s="65" t="n">
        <f aca="false">IF(AND(T21="",S21=""),"",IF(T21="",1,IFERROR(INDEX(Settings!$B$12:$B$16,MATCH(T21,Settings!$A$12:$A$16,0)),1)))</f>
        <v>1</v>
      </c>
      <c r="V21" s="64" t="n">
        <v>145.91</v>
      </c>
      <c r="W21" s="66" t="n">
        <f aca="false">IF(OR(Q21="",S21=""),"",Q21*S21*U21)</f>
        <v>211500</v>
      </c>
      <c r="X21" s="65" t="n">
        <f aca="false">IF(OR(W21="",N(Q21)=0),"",W21/Q21)</f>
        <v>141</v>
      </c>
      <c r="Y21" s="65" t="str">
        <f aca="false">IF(OR(X21="",P21="",E21=""),"",IF(_xlfn.MAXIFS($P$6:$P$205,$E$6:$E$205,E21,$P$6:$P$205,"&lt;"&amp;P21,$X$6:$X$205,"&gt;0")=0,"",IFERROR(AVERAGEIFS($X$6:$X$205,$E$6:$E$205,E21,$P$6:$P$205,_xlfn.MAXIFS($P$6:$P$205,$E$6:$E$205,E21,$P$6:$P$205,"&lt;"&amp;P21,$X$6:$X$205,"&gt;0"),$X$6:$X$205,"&gt;0"),"")))</f>
        <v/>
      </c>
      <c r="Z21" s="67" t="str">
        <f aca="false">IF(OR(Y21="",X21=""),"",X21/Y21-1)</f>
        <v/>
      </c>
      <c r="AA21" s="68" t="n">
        <f aca="false">IF(OR(W21="",V21=""),"",W21-Q21*V21)</f>
        <v>-7365</v>
      </c>
      <c r="AB21" s="69" t="n">
        <f aca="false">IF(AA21="","",IF(N(V21)*N(Q21)=0,"",AA21/(Q21*V21)))</f>
        <v>-0.0336508806798712</v>
      </c>
      <c r="AC21" s="70" t="n">
        <v>0.05</v>
      </c>
      <c r="AD21" s="66" t="n">
        <f aca="false">IF(W21="","",W21*(1+N(AC21)))</f>
        <v>222075</v>
      </c>
      <c r="AE21" s="62" t="s">
        <v>166</v>
      </c>
      <c r="AF21" s="71" t="n">
        <v>66622.5</v>
      </c>
      <c r="AG21" s="71"/>
      <c r="AH21" s="71" t="n">
        <v>155452.5</v>
      </c>
      <c r="AI21" s="66" t="n">
        <f aca="false">IF(A21="","",N(AF21)+N(AG21)+N(AH21))</f>
        <v>222075</v>
      </c>
      <c r="AJ21" s="72" t="n">
        <f aca="false">IF(AD21="","",IF(N(AD21)=0,"",AI21/AD21))</f>
        <v>1</v>
      </c>
      <c r="AK21" s="66" t="n">
        <f aca="false">IF(AD21="","",IF(AD21-AI21&lt;1,0,ROUND(AD21-AI21,2)))</f>
        <v>0</v>
      </c>
      <c r="AL21" s="66" t="n">
        <f aca="false">IF(OR(O21="",AD21=""),"",MAX(0,ROUND(N(AI21)-(AD21-N(AW21)),0)))</f>
        <v>0</v>
      </c>
      <c r="AM21" s="73" t="str">
        <f aca="false">IF(A21="","",IF(O21="","No PO Yet",IF(AI21=0,"Not Paid",IF(N(AJ21)&gt;=0.999,"Fully Paid",IF(N(AG21)+N(AH21)&gt;0,"Partially Paid","Initial / Advance Paid")))))</f>
        <v>Fully Paid</v>
      </c>
      <c r="AN21" s="61" t="n">
        <v>46253</v>
      </c>
      <c r="AO21" s="61"/>
      <c r="AP21" s="74" t="str">
        <f aca="false">IF(AK21="","",IF(OR(N(AK21)=0,AO21=""),"",MAX(0,Settings!$B$4-AO21)))</f>
        <v/>
      </c>
      <c r="AQ21" s="73" t="str">
        <f aca="false">IF(AK21="","",IF(N(AK21)&lt;=0,"",IF(AO21="","No Due Date",IF(Settings!$B$4&lt;=AO21,"Not Yet Due",IF(Settings!$B$4-AO21&lt;=30,"1-30 Days",IF(Settings!$B$4-AO21&lt;=60,"31-60 Days",IF(Settings!$B$4-AO21&lt;=90,"61-90 Days","90+ Days")))))))</f>
        <v/>
      </c>
      <c r="AR21" s="61" t="n">
        <v>46241</v>
      </c>
      <c r="AS21" s="61" t="n">
        <v>46238</v>
      </c>
      <c r="AT21" s="63" t="n">
        <v>1500</v>
      </c>
      <c r="AU21" s="72" t="n">
        <f aca="false">IF(Q21="","",IF(N(Q21)=0,"",N(AT21)/Q21))</f>
        <v>1</v>
      </c>
      <c r="AV21" s="75" t="n">
        <f aca="false">IF(OR(A21="",O21="",Q21=""),"",MAX(0,Q21-N(AT21)))</f>
        <v>0</v>
      </c>
      <c r="AW21" s="66" t="n">
        <f aca="false">IF(OR(AV21="",W21=""),"",IF(N(Q21)=0,0,AV21/Q21*AD21))</f>
        <v>0</v>
      </c>
      <c r="AX21" s="76" t="str">
        <f aca="false">IF(A21="","",IF(O21="","No PO Yet",IF(Q21="","Order Qty Missing",IF(N(AT21)&gt;=Q21,IF(N(AT21)&gt;Q21,"All In-house (+"&amp;TEXT(N(AT21)-Q21,"#,##0")&amp;" "&amp;R21&amp;" excess)","All In-house"),IF(AY21&lt;&gt;"","Short Closed - "&amp;TEXT(AV21,"#,##0")&amp;" "&amp;R21&amp;" not received",IF(N(AT21)=0,"Not Started - "&amp;TEXT(AV21,"#,##0")&amp;" "&amp;R21&amp;" pending","Pending "&amp;TEXT(AV21,"#,##0")&amp;" "&amp;R21&amp;" ("&amp;TEXT(AU21,"0%")&amp;" received)"))))))</f>
        <v>All In-house</v>
      </c>
      <c r="AY21" s="61" t="n">
        <v>46238</v>
      </c>
      <c r="AZ21" s="77" t="n">
        <f aca="false">IF(OR(B21="",J21=""),"",J21-B21)</f>
        <v>3</v>
      </c>
      <c r="BA21" s="77" t="n">
        <f aca="false">IF(OR(J21="",P21=""),"",P21-J21)</f>
        <v>3</v>
      </c>
      <c r="BB21" s="77" t="n">
        <f aca="false">IF(OR(P21="",AY21=""),"",AY21-P21)</f>
        <v>12</v>
      </c>
      <c r="BC21" s="77" t="n">
        <f aca="false">IF(OR(B21="",AY21=""),"",AY21-B21)</f>
        <v>18</v>
      </c>
      <c r="BD21" s="74" t="n">
        <f aca="false">IF(OR(AR21="",O21=""),"",MAX(0,IF(AY21="",Settings!$B$4,AY21)-AR21))</f>
        <v>0</v>
      </c>
      <c r="BE21" s="73" t="str">
        <f aca="false">IF(OR(AY21="",AR21=""),"",IF(AND(AY21&lt;=AR21,N(AU21)&gt;=Settings!$B$6),"OTIF","Not OTIF"))</f>
        <v>OTIF</v>
      </c>
      <c r="BF21" s="60" t="s">
        <v>159</v>
      </c>
      <c r="BG21" s="62" t="s">
        <v>286</v>
      </c>
      <c r="BH21" s="78"/>
      <c r="BI21" s="76" t="str">
        <f aca="false">IF(A21="","",IF(K21="Rejected","Rejected",IF(K21&lt;&gt;"Approved","Awaiting Approval",IF(O21="","Approved - PO Pending",IF(AY21&lt;&gt;"",IF(N(AJ21)&gt;=0.999,"Closed","In-house Closed - Payment Due"),IF(AS21&lt;&gt;"","Receiving In-house","PO Issued - Awaiting Delivery"))))))</f>
        <v>Closed</v>
      </c>
      <c r="BJ21" s="76" t="str">
        <f aca="false">IF(A21="","",IF(IF(AND(A21&lt;&gt;"",OR(B21="",C21="",E21="",F21="",H21="")),"PR info missing; ","")&amp;IF(AND(K21="Approved",OR(J21="",I21="")),"Approval ref/date missing; ","")&amp;IF(AND(O21&lt;&gt;"",K21&lt;&gt;"Approved"),"PO without approval; ","")&amp;IF(AND(O21&lt;&gt;"",OR(P21="",M21="",Q21="",S21="",T21="")),"PO details missing; ","")&amp;IF(AND(O21&lt;&gt;"",AR21=""),"Committed date missing; ","")&amp;IF(AND(ISNUMBER(J21),ISNUMBER(B21),N(J21)&lt;N(B21)),"Approval dated before PR; ","")&amp;IF(AND(ISNUMBER(P21),ISNUMBER(J21),N(P21)&lt;N(J21)),"PO dated before approval; ","")&amp;IF(AND(ISNUMBER(AY21),ISNUMBER(AS21),N(AY21)&lt;N(AS21)),"Close before in-house start; ","")&amp;IF(AND(AY21&lt;&gt;"",AS21=""),"In-house start date missing; ","")&amp;IF(AND(AY21&lt;&gt;"",AT21=""),"Qty received missing; ","")&amp;IF(AND(AY21&lt;&gt;"",BF21=""),"QC status missing; ","")&amp;IF(N(AT21)&gt;N(Q21)*1.05,"Received &gt; ordered +5%; ","")&amp;IF(AND(N(AI21)&gt;0,AE21=""),"Payment terms missing; ","")&amp;IF(N(AI21)&gt;N(AD21)+1,"Overpaid vs PO; ","")&amp;IF(AND(N(AK21)&gt;0,AY21&lt;&gt;"",AO21=""),"Payment due date missing; ","")="","OK",IF(AND(A21&lt;&gt;"",OR(B21="",C21="",E21="",F21="",H21="")),"PR info missing; ","")&amp;IF(AND(K21="Approved",OR(J21="",I21="")),"Approval ref/date missing; ","")&amp;IF(AND(O21&lt;&gt;"",K21&lt;&gt;"Approved"),"PO without approval; ","")&amp;IF(AND(O21&lt;&gt;"",OR(P21="",M21="",Q21="",S21="",T21="")),"PO details missing; ","")&amp;IF(AND(O21&lt;&gt;"",AR21=""),"Committed date missing; ","")&amp;IF(AND(ISNUMBER(J21),ISNUMBER(B21),N(J21)&lt;N(B21)),"Approval dated before PR; ","")&amp;IF(AND(ISNUMBER(P21),ISNUMBER(J21),N(P21)&lt;N(J21)),"PO dated before approval; ","")&amp;IF(AND(ISNUMBER(AY21),ISNUMBER(AS21),N(AY21)&lt;N(AS21)),"Close before in-house start; ","")&amp;IF(AND(AY21&lt;&gt;"",AS21=""),"In-house start date missing; ","")&amp;IF(AND(AY21&lt;&gt;"",AT21=""),"Qty received missing; ","")&amp;IF(AND(AY21&lt;&gt;"",BF21=""),"QC status missing; ","")&amp;IF(N(AT21)&gt;N(Q21)*1.05,"Received &gt; ordered +5%; ","")&amp;IF(AND(N(AI21)&gt;0,AE21=""),"Payment terms missing; ","")&amp;IF(N(AI21)&gt;N(AD21)+1,"Overpaid vs PO; ","")&amp;IF(AND(N(AK21)&gt;0,AY21&lt;&gt;"",AO21=""),"Payment due date missing; ","")))</f>
        <v>OK</v>
      </c>
      <c r="BK21" s="76" t="str">
        <f aca="false">IF(A21="","",IF(N(AP21)&gt;0,"Pay supplier: "&amp;N(AP21)&amp;" days overdue; ","")&amp;IF(AND(O21&lt;&gt;"",AY21="",N(BD21)&gt;0),"Expedite delivery: "&amp;N(BD21)&amp;" days late; ","")&amp;IF(AND(BI21="Awaiting Approval",ISNUMBER(B21),Settings!$B$4-N(B21)&gt;Settings!$B$19),"Get approval: PR waiting "&amp;(Settings!$B$4-N(B21))&amp;" days; ","")&amp;IF(AND(BI21="Approved - PO Pending",ISNUMBER(J21),Settings!$B$4-N(J21)&gt;Settings!$B$20),"Issue PO: approved "&amp;(Settings!$B$4-N(J21))&amp;" days ago; ","")&amp;IF(AND(OR(BI21="Awaiting Approval",BI21="Approved - PO Pending"),N(AB21)&gt;Settings!$B$7),"Negotiate price: "&amp;TEXT(AB21,"0%")&amp;" above budget; ","")&amp;IF(LEFT(AX21,12)="Short Closed","Short closed: claim balance / credit note"&amp;IF(N(AL21)&gt;0," BDT "&amp;TEXT(AL21,"#,##0"),"")&amp;"; ","")&amp;IF(BF21="Rejected","QC rejected: return / replace; ","")&amp;IF(AND(O21&lt;&gt;"",AY21="",N(AL21)&gt;0,N(BD21)&gt;0),"Advance at risk: BDT "&amp;TEXT(AL21,"#,##0")&amp;" paid, goods late; ","")&amp;IF(AND(BJ21&lt;&gt;"",BJ21&lt;&gt;"OK"),"Fix data entry (see Data Check); ",""))</f>
        <v/>
      </c>
      <c r="BL21" s="73" t="str">
        <f aca="false">IF(BK21="","",IF(OR(N(AP21)&gt;30,AND(AY21="",N(BD21)&gt;15),BF21="Rejected",AND(LEFT(AX21,12)="Short Closed",N(AL21)&gt;0),AND(O21&lt;&gt;"",AY21="",N(AL21)&gt;0,N(BD21)&gt;0)),"High",IF(OR(N(AP21)&gt;0,AND(AY21="",N(BD21)&gt;7),LEFT(AX21,12)="Short Closed",AND(BI21="Awaiting Approval",ISNUMBER(B21),Settings!$B$4-N(B21)&gt;2*Settings!$B$19),AND(BI21="Approved - PO Pending",ISNUMBER(J21),Settings!$B$4-N(J21)&gt;2*Settings!$B$20)),"Medium","Low")))</f>
        <v/>
      </c>
      <c r="BM21" s="77" t="str">
        <f aca="false">IF(BL21="","",IF(BL21="High",1,IF(BL21="Medium",2,3))*10000+ROW())</f>
        <v/>
      </c>
      <c r="BN21" s="62"/>
    </row>
    <row r="22" customFormat="false" ht="18" hidden="false" customHeight="true" outlineLevel="0" collapsed="false">
      <c r="A22" s="60" t="s">
        <v>287</v>
      </c>
      <c r="B22" s="61" t="n">
        <v>46224</v>
      </c>
      <c r="C22" s="62" t="s">
        <v>288</v>
      </c>
      <c r="D22" s="62" t="s">
        <v>289</v>
      </c>
      <c r="E22" s="62" t="s">
        <v>290</v>
      </c>
      <c r="F22" s="62" t="s">
        <v>291</v>
      </c>
      <c r="G22" s="62" t="s">
        <v>292</v>
      </c>
      <c r="H22" s="60" t="s">
        <v>43</v>
      </c>
      <c r="I22" s="60" t="s">
        <v>293</v>
      </c>
      <c r="J22" s="61" t="n">
        <v>46225</v>
      </c>
      <c r="K22" s="60" t="s">
        <v>159</v>
      </c>
      <c r="L22" s="60" t="s">
        <v>172</v>
      </c>
      <c r="M22" s="62" t="s">
        <v>294</v>
      </c>
      <c r="N22" s="60" t="s">
        <v>162</v>
      </c>
      <c r="O22" s="60" t="s">
        <v>295</v>
      </c>
      <c r="P22" s="61" t="n">
        <v>46229</v>
      </c>
      <c r="Q22" s="63" t="n">
        <v>40</v>
      </c>
      <c r="R22" s="60" t="s">
        <v>296</v>
      </c>
      <c r="S22" s="64" t="n">
        <v>1872</v>
      </c>
      <c r="T22" s="60" t="s">
        <v>180</v>
      </c>
      <c r="U22" s="65" t="n">
        <f aca="false">IF(AND(T22="",S22=""),"",IF(T22="",1,IFERROR(INDEX(Settings!$B$12:$B$16,MATCH(T22,Settings!$A$12:$A$16,0)),1)))</f>
        <v>1</v>
      </c>
      <c r="V22" s="64" t="n">
        <v>1866.98</v>
      </c>
      <c r="W22" s="66" t="n">
        <f aca="false">IF(OR(Q22="",S22=""),"",Q22*S22*U22)</f>
        <v>74880</v>
      </c>
      <c r="X22" s="65" t="n">
        <f aca="false">IF(OR(W22="",N(Q22)=0),"",W22/Q22)</f>
        <v>1872</v>
      </c>
      <c r="Y22" s="65" t="str">
        <f aca="false">IF(OR(X22="",P22="",E22=""),"",IF(_xlfn.MAXIFS($P$6:$P$205,$E$6:$E$205,E22,$P$6:$P$205,"&lt;"&amp;P22,$X$6:$X$205,"&gt;0")=0,"",IFERROR(AVERAGEIFS($X$6:$X$205,$E$6:$E$205,E22,$P$6:$P$205,_xlfn.MAXIFS($P$6:$P$205,$E$6:$E$205,E22,$P$6:$P$205,"&lt;"&amp;P22,$X$6:$X$205,"&gt;0"),$X$6:$X$205,"&gt;0"),"")))</f>
        <v/>
      </c>
      <c r="Z22" s="67" t="str">
        <f aca="false">IF(OR(Y22="",X22=""),"",X22/Y22-1)</f>
        <v/>
      </c>
      <c r="AA22" s="68" t="n">
        <f aca="false">IF(OR(W22="",V22=""),"",W22-Q22*V22)</f>
        <v>200.800000000003</v>
      </c>
      <c r="AB22" s="69" t="n">
        <f aca="false">IF(AA22="","",IF(N(V22)*N(Q22)=0,"",AA22/(Q22*V22)))</f>
        <v>0.00268883437423008</v>
      </c>
      <c r="AC22" s="70" t="n">
        <v>0.075</v>
      </c>
      <c r="AD22" s="66" t="n">
        <f aca="false">IF(W22="","",W22*(1+N(AC22)))</f>
        <v>80496</v>
      </c>
      <c r="AE22" s="62" t="s">
        <v>181</v>
      </c>
      <c r="AF22" s="71"/>
      <c r="AG22" s="71" t="n">
        <v>40248</v>
      </c>
      <c r="AH22" s="71"/>
      <c r="AI22" s="66" t="n">
        <f aca="false">IF(A22="","",N(AF22)+N(AG22)+N(AH22))</f>
        <v>40248</v>
      </c>
      <c r="AJ22" s="72" t="n">
        <f aca="false">IF(AD22="","",IF(N(AD22)=0,"",AI22/AD22))</f>
        <v>0.5</v>
      </c>
      <c r="AK22" s="66" t="n">
        <f aca="false">IF(AD22="","",IF(AD22-AI22&lt;1,0,ROUND(AD22-AI22,2)))</f>
        <v>40248</v>
      </c>
      <c r="AL22" s="66" t="n">
        <f aca="false">IF(OR(O22="",AD22=""),"",MAX(0,ROUND(N(AI22)-(AD22-N(AW22)),0)))</f>
        <v>0</v>
      </c>
      <c r="AM22" s="73" t="str">
        <f aca="false">IF(A22="","",IF(O22="","No PO Yet",IF(AI22=0,"Not Paid",IF(N(AJ22)&gt;=0.999,"Fully Paid",IF(N(AG22)+N(AH22)&gt;0,"Partially Paid","Initial / Advance Paid")))))</f>
        <v>Partially Paid</v>
      </c>
      <c r="AN22" s="61" t="n">
        <v>46285</v>
      </c>
      <c r="AO22" s="61" t="n">
        <v>46285</v>
      </c>
      <c r="AP22" s="74" t="n">
        <f aca="false">IF(AK22="","",IF(OR(N(AK22)=0,AO22=""),"",MAX(0,Settings!$B$4-AO22)))</f>
        <v>25</v>
      </c>
      <c r="AQ22" s="73" t="str">
        <f aca="false">IF(AK22="","",IF(N(AK22)&lt;=0,"",IF(AO22="","No Due Date",IF(Settings!$B$4&lt;=AO22,"Not Yet Due",IF(Settings!$B$4-AO22&lt;=30,"1-30 Days",IF(Settings!$B$4-AO22&lt;=60,"31-60 Days",IF(Settings!$B$4-AO22&lt;=90,"61-90 Days","90+ Days")))))))</f>
        <v>1-30 Days</v>
      </c>
      <c r="AR22" s="61" t="n">
        <v>46251</v>
      </c>
      <c r="AS22" s="61" t="n">
        <v>46254</v>
      </c>
      <c r="AT22" s="63" t="n">
        <v>40</v>
      </c>
      <c r="AU22" s="72" t="n">
        <f aca="false">IF(Q22="","",IF(N(Q22)=0,"",N(AT22)/Q22))</f>
        <v>1</v>
      </c>
      <c r="AV22" s="75" t="n">
        <f aca="false">IF(OR(A22="",O22="",Q22=""),"",MAX(0,Q22-N(AT22)))</f>
        <v>0</v>
      </c>
      <c r="AW22" s="66" t="n">
        <f aca="false">IF(OR(AV22="",W22=""),"",IF(N(Q22)=0,0,AV22/Q22*AD22))</f>
        <v>0</v>
      </c>
      <c r="AX22" s="76" t="str">
        <f aca="false">IF(A22="","",IF(O22="","No PO Yet",IF(Q22="","Order Qty Missing",IF(N(AT22)&gt;=Q22,IF(N(AT22)&gt;Q22,"All In-house (+"&amp;TEXT(N(AT22)-Q22,"#,##0")&amp;" "&amp;R22&amp;" excess)","All In-house"),IF(AY22&lt;&gt;"","Short Closed - "&amp;TEXT(AV22,"#,##0")&amp;" "&amp;R22&amp;" not received",IF(N(AT22)=0,"Not Started - "&amp;TEXT(AV22,"#,##0")&amp;" "&amp;R22&amp;" pending","Pending "&amp;TEXT(AV22,"#,##0")&amp;" "&amp;R22&amp;" ("&amp;TEXT(AU22,"0%")&amp;" received)"))))))</f>
        <v>All In-house</v>
      </c>
      <c r="AY22" s="61" t="n">
        <v>46255</v>
      </c>
      <c r="AZ22" s="77" t="n">
        <f aca="false">IF(OR(B22="",J22=""),"",J22-B22)</f>
        <v>1</v>
      </c>
      <c r="BA22" s="77" t="n">
        <f aca="false">IF(OR(J22="",P22=""),"",P22-J22)</f>
        <v>4</v>
      </c>
      <c r="BB22" s="77" t="n">
        <f aca="false">IF(OR(P22="",AY22=""),"",AY22-P22)</f>
        <v>26</v>
      </c>
      <c r="BC22" s="77" t="n">
        <f aca="false">IF(OR(B22="",AY22=""),"",AY22-B22)</f>
        <v>31</v>
      </c>
      <c r="BD22" s="74" t="n">
        <f aca="false">IF(OR(AR22="",O22=""),"",MAX(0,IF(AY22="",Settings!$B$4,AY22)-AR22))</f>
        <v>4</v>
      </c>
      <c r="BE22" s="73" t="str">
        <f aca="false">IF(OR(AY22="",AR22=""),"",IF(AND(AY22&lt;=AR22,N(AU22)&gt;=Settings!$B$6),"OTIF","Not OTIF"))</f>
        <v>Not OTIF</v>
      </c>
      <c r="BF22" s="60" t="s">
        <v>61</v>
      </c>
      <c r="BG22" s="62"/>
      <c r="BH22" s="78"/>
      <c r="BI22" s="76" t="str">
        <f aca="false">IF(A22="","",IF(K22="Rejected","Rejected",IF(K22&lt;&gt;"Approved","Awaiting Approval",IF(O22="","Approved - PO Pending",IF(AY22&lt;&gt;"",IF(N(AJ22)&gt;=0.999,"Closed","In-house Closed - Payment Due"),IF(AS22&lt;&gt;"","Receiving In-house","PO Issued - Awaiting Delivery"))))))</f>
        <v>In-house Closed - Payment Due</v>
      </c>
      <c r="BJ22" s="76" t="str">
        <f aca="false">IF(A22="","",IF(IF(AND(A22&lt;&gt;"",OR(B22="",C22="",E22="",F22="",H22="")),"PR info missing; ","")&amp;IF(AND(K22="Approved",OR(J22="",I22="")),"Approval ref/date missing; ","")&amp;IF(AND(O22&lt;&gt;"",K22&lt;&gt;"Approved"),"PO without approval; ","")&amp;IF(AND(O22&lt;&gt;"",OR(P22="",M22="",Q22="",S22="",T22="")),"PO details missing; ","")&amp;IF(AND(O22&lt;&gt;"",AR22=""),"Committed date missing; ","")&amp;IF(AND(ISNUMBER(J22),ISNUMBER(B22),N(J22)&lt;N(B22)),"Approval dated before PR; ","")&amp;IF(AND(ISNUMBER(P22),ISNUMBER(J22),N(P22)&lt;N(J22)),"PO dated before approval; ","")&amp;IF(AND(ISNUMBER(AY22),ISNUMBER(AS22),N(AY22)&lt;N(AS22)),"Close before in-house start; ","")&amp;IF(AND(AY22&lt;&gt;"",AS22=""),"In-house start date missing; ","")&amp;IF(AND(AY22&lt;&gt;"",AT22=""),"Qty received missing; ","")&amp;IF(AND(AY22&lt;&gt;"",BF22=""),"QC status missing; ","")&amp;IF(N(AT22)&gt;N(Q22)*1.05,"Received &gt; ordered +5%; ","")&amp;IF(AND(N(AI22)&gt;0,AE22=""),"Payment terms missing; ","")&amp;IF(N(AI22)&gt;N(AD22)+1,"Overpaid vs PO; ","")&amp;IF(AND(N(AK22)&gt;0,AY22&lt;&gt;"",AO22=""),"Payment due date missing; ","")="","OK",IF(AND(A22&lt;&gt;"",OR(B22="",C22="",E22="",F22="",H22="")),"PR info missing; ","")&amp;IF(AND(K22="Approved",OR(J22="",I22="")),"Approval ref/date missing; ","")&amp;IF(AND(O22&lt;&gt;"",K22&lt;&gt;"Approved"),"PO without approval; ","")&amp;IF(AND(O22&lt;&gt;"",OR(P22="",M22="",Q22="",S22="",T22="")),"PO details missing; ","")&amp;IF(AND(O22&lt;&gt;"",AR22=""),"Committed date missing; ","")&amp;IF(AND(ISNUMBER(J22),ISNUMBER(B22),N(J22)&lt;N(B22)),"Approval dated before PR; ","")&amp;IF(AND(ISNUMBER(P22),ISNUMBER(J22),N(P22)&lt;N(J22)),"PO dated before approval; ","")&amp;IF(AND(ISNUMBER(AY22),ISNUMBER(AS22),N(AY22)&lt;N(AS22)),"Close before in-house start; ","")&amp;IF(AND(AY22&lt;&gt;"",AS22=""),"In-house start date missing; ","")&amp;IF(AND(AY22&lt;&gt;"",AT22=""),"Qty received missing; ","")&amp;IF(AND(AY22&lt;&gt;"",BF22=""),"QC status missing; ","")&amp;IF(N(AT22)&gt;N(Q22)*1.05,"Received &gt; ordered +5%; ","")&amp;IF(AND(N(AI22)&gt;0,AE22=""),"Payment terms missing; ","")&amp;IF(N(AI22)&gt;N(AD22)+1,"Overpaid vs PO; ","")&amp;IF(AND(N(AK22)&gt;0,AY22&lt;&gt;"",AO22=""),"Payment due date missing; ","")))</f>
        <v>OK</v>
      </c>
      <c r="BK22" s="76" t="str">
        <f aca="false">IF(A22="","",IF(N(AP22)&gt;0,"Pay supplier: "&amp;N(AP22)&amp;" days overdue; ","")&amp;IF(AND(O22&lt;&gt;"",AY22="",N(BD22)&gt;0),"Expedite delivery: "&amp;N(BD22)&amp;" days late; ","")&amp;IF(AND(BI22="Awaiting Approval",ISNUMBER(B22),Settings!$B$4-N(B22)&gt;Settings!$B$19),"Get approval: PR waiting "&amp;(Settings!$B$4-N(B22))&amp;" days; ","")&amp;IF(AND(BI22="Approved - PO Pending",ISNUMBER(J22),Settings!$B$4-N(J22)&gt;Settings!$B$20),"Issue PO: approved "&amp;(Settings!$B$4-N(J22))&amp;" days ago; ","")&amp;IF(AND(OR(BI22="Awaiting Approval",BI22="Approved - PO Pending"),N(AB22)&gt;Settings!$B$7),"Negotiate price: "&amp;TEXT(AB22,"0%")&amp;" above budget; ","")&amp;IF(LEFT(AX22,12)="Short Closed","Short closed: claim balance / credit note"&amp;IF(N(AL22)&gt;0," BDT "&amp;TEXT(AL22,"#,##0"),"")&amp;"; ","")&amp;IF(BF22="Rejected","QC rejected: return / replace; ","")&amp;IF(AND(O22&lt;&gt;"",AY22="",N(AL22)&gt;0,N(BD22)&gt;0),"Advance at risk: BDT "&amp;TEXT(AL22,"#,##0")&amp;" paid, goods late; ","")&amp;IF(AND(BJ22&lt;&gt;"",BJ22&lt;&gt;"OK"),"Fix data entry (see Data Check); ",""))</f>
        <v>Pay supplier: 25 days overdue; QC rejected: return / replace; </v>
      </c>
      <c r="BL22" s="73" t="str">
        <f aca="false">IF(BK22="","",IF(OR(N(AP22)&gt;30,AND(AY22="",N(BD22)&gt;15),BF22="Rejected",AND(LEFT(AX22,12)="Short Closed",N(AL22)&gt;0),AND(O22&lt;&gt;"",AY22="",N(AL22)&gt;0,N(BD22)&gt;0)),"High",IF(OR(N(AP22)&gt;0,AND(AY22="",N(BD22)&gt;7),LEFT(AX22,12)="Short Closed",AND(BI22="Awaiting Approval",ISNUMBER(B22),Settings!$B$4-N(B22)&gt;2*Settings!$B$19),AND(BI22="Approved - PO Pending",ISNUMBER(J22),Settings!$B$4-N(J22)&gt;2*Settings!$B$20)),"Medium","Low")))</f>
        <v>High</v>
      </c>
      <c r="BM22" s="77" t="n">
        <f aca="false">IF(BL22="","",IF(BL22="High",1,IF(BL22="Medium",2,3))*10000+ROW())</f>
        <v>10022</v>
      </c>
      <c r="BN22" s="62"/>
    </row>
    <row r="23" customFormat="false" ht="18" hidden="false" customHeight="true" outlineLevel="0" collapsed="false">
      <c r="A23" s="60" t="s">
        <v>297</v>
      </c>
      <c r="B23" s="61" t="n">
        <v>46226</v>
      </c>
      <c r="C23" s="62" t="s">
        <v>298</v>
      </c>
      <c r="D23" s="62" t="s">
        <v>299</v>
      </c>
      <c r="E23" s="62" t="s">
        <v>300</v>
      </c>
      <c r="F23" s="62" t="s">
        <v>301</v>
      </c>
      <c r="G23" s="62" t="s">
        <v>302</v>
      </c>
      <c r="H23" s="60" t="s">
        <v>43</v>
      </c>
      <c r="I23" s="60" t="s">
        <v>303</v>
      </c>
      <c r="J23" s="61" t="n">
        <v>46228</v>
      </c>
      <c r="K23" s="60" t="s">
        <v>159</v>
      </c>
      <c r="L23" s="60" t="s">
        <v>172</v>
      </c>
      <c r="M23" s="62" t="s">
        <v>294</v>
      </c>
      <c r="N23" s="60" t="s">
        <v>162</v>
      </c>
      <c r="O23" s="60" t="s">
        <v>304</v>
      </c>
      <c r="P23" s="61" t="n">
        <v>46230</v>
      </c>
      <c r="Q23" s="63" t="n">
        <v>200</v>
      </c>
      <c r="R23" s="60" t="s">
        <v>296</v>
      </c>
      <c r="S23" s="64" t="n">
        <v>999</v>
      </c>
      <c r="T23" s="60" t="s">
        <v>180</v>
      </c>
      <c r="U23" s="65" t="n">
        <f aca="false">IF(AND(T23="",S23=""),"",IF(T23="",1,IFERROR(INDEX(Settings!$B$12:$B$16,MATCH(T23,Settings!$A$12:$A$16,0)),1)))</f>
        <v>1</v>
      </c>
      <c r="V23" s="64" t="n">
        <v>926.34</v>
      </c>
      <c r="W23" s="66" t="n">
        <f aca="false">IF(OR(Q23="",S23=""),"",Q23*S23*U23)</f>
        <v>199800</v>
      </c>
      <c r="X23" s="65" t="n">
        <f aca="false">IF(OR(W23="",N(Q23)=0),"",W23/Q23)</f>
        <v>999</v>
      </c>
      <c r="Y23" s="65" t="str">
        <f aca="false">IF(OR(X23="",P23="",E23=""),"",IF(_xlfn.MAXIFS($P$6:$P$205,$E$6:$E$205,E23,$P$6:$P$205,"&lt;"&amp;P23,$X$6:$X$205,"&gt;0")=0,"",IFERROR(AVERAGEIFS($X$6:$X$205,$E$6:$E$205,E23,$P$6:$P$205,_xlfn.MAXIFS($P$6:$P$205,$E$6:$E$205,E23,$P$6:$P$205,"&lt;"&amp;P23,$X$6:$X$205,"&gt;0"),$X$6:$X$205,"&gt;0"),"")))</f>
        <v/>
      </c>
      <c r="Z23" s="67" t="str">
        <f aca="false">IF(OR(Y23="",X23=""),"",X23/Y23-1)</f>
        <v/>
      </c>
      <c r="AA23" s="68" t="n">
        <f aca="false">IF(OR(W23="",V23=""),"",W23-Q23*V23)</f>
        <v>14532</v>
      </c>
      <c r="AB23" s="69" t="n">
        <f aca="false">IF(AA23="","",IF(N(V23)*N(Q23)=0,"",AA23/(Q23*V23)))</f>
        <v>0.0784377226504307</v>
      </c>
      <c r="AC23" s="70" t="n">
        <v>0.075</v>
      </c>
      <c r="AD23" s="66" t="n">
        <f aca="false">IF(W23="","",W23*(1+N(AC23)))</f>
        <v>214785</v>
      </c>
      <c r="AE23" s="62" t="s">
        <v>181</v>
      </c>
      <c r="AF23" s="71"/>
      <c r="AG23" s="71" t="n">
        <v>107392.5</v>
      </c>
      <c r="AH23" s="71"/>
      <c r="AI23" s="66" t="n">
        <f aca="false">IF(A23="","",N(AF23)+N(AG23)+N(AH23))</f>
        <v>107392.5</v>
      </c>
      <c r="AJ23" s="72" t="n">
        <f aca="false">IF(AD23="","",IF(N(AD23)=0,"",AI23/AD23))</f>
        <v>0.5</v>
      </c>
      <c r="AK23" s="66" t="n">
        <f aca="false">IF(AD23="","",IF(AD23-AI23&lt;1,0,ROUND(AD23-AI23,2)))</f>
        <v>107392.5</v>
      </c>
      <c r="AL23" s="66" t="n">
        <f aca="false">IF(OR(O23="",AD23=""),"",MAX(0,ROUND(N(AI23)-(AD23-N(AW23)),0)))</f>
        <v>0</v>
      </c>
      <c r="AM23" s="73" t="str">
        <f aca="false">IF(A23="","",IF(O23="","No PO Yet",IF(AI23=0,"Not Paid",IF(N(AJ23)&gt;=0.999,"Fully Paid",IF(N(AG23)+N(AH23)&gt;0,"Partially Paid","Initial / Advance Paid")))))</f>
        <v>Partially Paid</v>
      </c>
      <c r="AN23" s="61" t="n">
        <v>46274</v>
      </c>
      <c r="AO23" s="61" t="n">
        <v>46274</v>
      </c>
      <c r="AP23" s="74" t="n">
        <f aca="false">IF(AK23="","",IF(OR(N(AK23)=0,AO23=""),"",MAX(0,Settings!$B$4-AO23)))</f>
        <v>36</v>
      </c>
      <c r="AQ23" s="73" t="str">
        <f aca="false">IF(AK23="","",IF(N(AK23)&lt;=0,"",IF(AO23="","No Due Date",IF(Settings!$B$4&lt;=AO23,"Not Yet Due",IF(Settings!$B$4-AO23&lt;=30,"1-30 Days",IF(Settings!$B$4-AO23&lt;=60,"31-60 Days",IF(Settings!$B$4-AO23&lt;=90,"61-90 Days","90+ Days")))))))</f>
        <v>31-60 Days</v>
      </c>
      <c r="AR23" s="61" t="n">
        <v>46240</v>
      </c>
      <c r="AS23" s="61" t="n">
        <v>46243</v>
      </c>
      <c r="AT23" s="63" t="n">
        <v>200</v>
      </c>
      <c r="AU23" s="72" t="n">
        <f aca="false">IF(Q23="","",IF(N(Q23)=0,"",N(AT23)/Q23))</f>
        <v>1</v>
      </c>
      <c r="AV23" s="75" t="n">
        <f aca="false">IF(OR(A23="",O23="",Q23=""),"",MAX(0,Q23-N(AT23)))</f>
        <v>0</v>
      </c>
      <c r="AW23" s="66" t="n">
        <f aca="false">IF(OR(AV23="",W23=""),"",IF(N(Q23)=0,0,AV23/Q23*AD23))</f>
        <v>0</v>
      </c>
      <c r="AX23" s="76" t="str">
        <f aca="false">IF(A23="","",IF(O23="","No PO Yet",IF(Q23="","Order Qty Missing",IF(N(AT23)&gt;=Q23,IF(N(AT23)&gt;Q23,"All In-house (+"&amp;TEXT(N(AT23)-Q23,"#,##0")&amp;" "&amp;R23&amp;" excess)","All In-house"),IF(AY23&lt;&gt;"","Short Closed - "&amp;TEXT(AV23,"#,##0")&amp;" "&amp;R23&amp;" not received",IF(N(AT23)=0,"Not Started - "&amp;TEXT(AV23,"#,##0")&amp;" "&amp;R23&amp;" pending","Pending "&amp;TEXT(AV23,"#,##0")&amp;" "&amp;R23&amp;" ("&amp;TEXT(AU23,"0%")&amp;" received)"))))))</f>
        <v>All In-house</v>
      </c>
      <c r="AY23" s="61" t="n">
        <v>46244</v>
      </c>
      <c r="AZ23" s="77" t="n">
        <f aca="false">IF(OR(B23="",J23=""),"",J23-B23)</f>
        <v>2</v>
      </c>
      <c r="BA23" s="77" t="n">
        <f aca="false">IF(OR(J23="",P23=""),"",P23-J23)</f>
        <v>2</v>
      </c>
      <c r="BB23" s="77" t="n">
        <f aca="false">IF(OR(P23="",AY23=""),"",AY23-P23)</f>
        <v>14</v>
      </c>
      <c r="BC23" s="77" t="n">
        <f aca="false">IF(OR(B23="",AY23=""),"",AY23-B23)</f>
        <v>18</v>
      </c>
      <c r="BD23" s="74" t="n">
        <f aca="false">IF(OR(AR23="",O23=""),"",MAX(0,IF(AY23="",Settings!$B$4,AY23)-AR23))</f>
        <v>4</v>
      </c>
      <c r="BE23" s="73" t="str">
        <f aca="false">IF(OR(AY23="",AR23=""),"",IF(AND(AY23&lt;=AR23,N(AU23)&gt;=Settings!$B$6),"OTIF","Not OTIF"))</f>
        <v>Not OTIF</v>
      </c>
      <c r="BF23" s="60" t="s">
        <v>305</v>
      </c>
      <c r="BG23" s="62"/>
      <c r="BH23" s="78"/>
      <c r="BI23" s="76" t="str">
        <f aca="false">IF(A23="","",IF(K23="Rejected","Rejected",IF(K23&lt;&gt;"Approved","Awaiting Approval",IF(O23="","Approved - PO Pending",IF(AY23&lt;&gt;"",IF(N(AJ23)&gt;=0.999,"Closed","In-house Closed - Payment Due"),IF(AS23&lt;&gt;"","Receiving In-house","PO Issued - Awaiting Delivery"))))))</f>
        <v>In-house Closed - Payment Due</v>
      </c>
      <c r="BJ23" s="76" t="str">
        <f aca="false">IF(A23="","",IF(IF(AND(A23&lt;&gt;"",OR(B23="",C23="",E23="",F23="",H23="")),"PR info missing; ","")&amp;IF(AND(K23="Approved",OR(J23="",I23="")),"Approval ref/date missing; ","")&amp;IF(AND(O23&lt;&gt;"",K23&lt;&gt;"Approved"),"PO without approval; ","")&amp;IF(AND(O23&lt;&gt;"",OR(P23="",M23="",Q23="",S23="",T23="")),"PO details missing; ","")&amp;IF(AND(O23&lt;&gt;"",AR23=""),"Committed date missing; ","")&amp;IF(AND(ISNUMBER(J23),ISNUMBER(B23),N(J23)&lt;N(B23)),"Approval dated before PR; ","")&amp;IF(AND(ISNUMBER(P23),ISNUMBER(J23),N(P23)&lt;N(J23)),"PO dated before approval; ","")&amp;IF(AND(ISNUMBER(AY23),ISNUMBER(AS23),N(AY23)&lt;N(AS23)),"Close before in-house start; ","")&amp;IF(AND(AY23&lt;&gt;"",AS23=""),"In-house start date missing; ","")&amp;IF(AND(AY23&lt;&gt;"",AT23=""),"Qty received missing; ","")&amp;IF(AND(AY23&lt;&gt;"",BF23=""),"QC status missing; ","")&amp;IF(N(AT23)&gt;N(Q23)*1.05,"Received &gt; ordered +5%; ","")&amp;IF(AND(N(AI23)&gt;0,AE23=""),"Payment terms missing; ","")&amp;IF(N(AI23)&gt;N(AD23)+1,"Overpaid vs PO; ","")&amp;IF(AND(N(AK23)&gt;0,AY23&lt;&gt;"",AO23=""),"Payment due date missing; ","")="","OK",IF(AND(A23&lt;&gt;"",OR(B23="",C23="",E23="",F23="",H23="")),"PR info missing; ","")&amp;IF(AND(K23="Approved",OR(J23="",I23="")),"Approval ref/date missing; ","")&amp;IF(AND(O23&lt;&gt;"",K23&lt;&gt;"Approved"),"PO without approval; ","")&amp;IF(AND(O23&lt;&gt;"",OR(P23="",M23="",Q23="",S23="",T23="")),"PO details missing; ","")&amp;IF(AND(O23&lt;&gt;"",AR23=""),"Committed date missing; ","")&amp;IF(AND(ISNUMBER(J23),ISNUMBER(B23),N(J23)&lt;N(B23)),"Approval dated before PR; ","")&amp;IF(AND(ISNUMBER(P23),ISNUMBER(J23),N(P23)&lt;N(J23)),"PO dated before approval; ","")&amp;IF(AND(ISNUMBER(AY23),ISNUMBER(AS23),N(AY23)&lt;N(AS23)),"Close before in-house start; ","")&amp;IF(AND(AY23&lt;&gt;"",AS23=""),"In-house start date missing; ","")&amp;IF(AND(AY23&lt;&gt;"",AT23=""),"Qty received missing; ","")&amp;IF(AND(AY23&lt;&gt;"",BF23=""),"QC status missing; ","")&amp;IF(N(AT23)&gt;N(Q23)*1.05,"Received &gt; ordered +5%; ","")&amp;IF(AND(N(AI23)&gt;0,AE23=""),"Payment terms missing; ","")&amp;IF(N(AI23)&gt;N(AD23)+1,"Overpaid vs PO; ","")&amp;IF(AND(N(AK23)&gt;0,AY23&lt;&gt;"",AO23=""),"Payment due date missing; ","")))</f>
        <v>OK</v>
      </c>
      <c r="BK23" s="76" t="str">
        <f aca="false">IF(A23="","",IF(N(AP23)&gt;0,"Pay supplier: "&amp;N(AP23)&amp;" days overdue; ","")&amp;IF(AND(O23&lt;&gt;"",AY23="",N(BD23)&gt;0),"Expedite delivery: "&amp;N(BD23)&amp;" days late; ","")&amp;IF(AND(BI23="Awaiting Approval",ISNUMBER(B23),Settings!$B$4-N(B23)&gt;Settings!$B$19),"Get approval: PR waiting "&amp;(Settings!$B$4-N(B23))&amp;" days; ","")&amp;IF(AND(BI23="Approved - PO Pending",ISNUMBER(J23),Settings!$B$4-N(J23)&gt;Settings!$B$20),"Issue PO: approved "&amp;(Settings!$B$4-N(J23))&amp;" days ago; ","")&amp;IF(AND(OR(BI23="Awaiting Approval",BI23="Approved - PO Pending"),N(AB23)&gt;Settings!$B$7),"Negotiate price: "&amp;TEXT(AB23,"0%")&amp;" above budget; ","")&amp;IF(LEFT(AX23,12)="Short Closed","Short closed: claim balance / credit note"&amp;IF(N(AL23)&gt;0," BDT "&amp;TEXT(AL23,"#,##0"),"")&amp;"; ","")&amp;IF(BF23="Rejected","QC rejected: return / replace; ","")&amp;IF(AND(O23&lt;&gt;"",AY23="",N(AL23)&gt;0,N(BD23)&gt;0),"Advance at risk: BDT "&amp;TEXT(AL23,"#,##0")&amp;" paid, goods late; ","")&amp;IF(AND(BJ23&lt;&gt;"",BJ23&lt;&gt;"OK"),"Fix data entry (see Data Check); ",""))</f>
        <v>Pay supplier: 36 days overdue; </v>
      </c>
      <c r="BL23" s="73" t="str">
        <f aca="false">IF(BK23="","",IF(OR(N(AP23)&gt;30,AND(AY23="",N(BD23)&gt;15),BF23="Rejected",AND(LEFT(AX23,12)="Short Closed",N(AL23)&gt;0),AND(O23&lt;&gt;"",AY23="",N(AL23)&gt;0,N(BD23)&gt;0)),"High",IF(OR(N(AP23)&gt;0,AND(AY23="",N(BD23)&gt;7),LEFT(AX23,12)="Short Closed",AND(BI23="Awaiting Approval",ISNUMBER(B23),Settings!$B$4-N(B23)&gt;2*Settings!$B$19),AND(BI23="Approved - PO Pending",ISNUMBER(J23),Settings!$B$4-N(J23)&gt;2*Settings!$B$20)),"Medium","Low")))</f>
        <v>High</v>
      </c>
      <c r="BM23" s="77" t="n">
        <f aca="false">IF(BL23="","",IF(BL23="High",1,IF(BL23="Medium",2,3))*10000+ROW())</f>
        <v>10023</v>
      </c>
      <c r="BN23" s="62"/>
    </row>
    <row r="24" customFormat="false" ht="18" hidden="false" customHeight="true" outlineLevel="0" collapsed="false">
      <c r="A24" s="60" t="s">
        <v>306</v>
      </c>
      <c r="B24" s="61" t="n">
        <v>46230</v>
      </c>
      <c r="C24" s="62" t="s">
        <v>288</v>
      </c>
      <c r="D24" s="62" t="s">
        <v>289</v>
      </c>
      <c r="E24" s="62" t="s">
        <v>307</v>
      </c>
      <c r="F24" s="62" t="s">
        <v>308</v>
      </c>
      <c r="G24" s="62" t="s">
        <v>309</v>
      </c>
      <c r="H24" s="60" t="s">
        <v>45</v>
      </c>
      <c r="I24" s="60" t="s">
        <v>310</v>
      </c>
      <c r="J24" s="61" t="n">
        <v>46235</v>
      </c>
      <c r="K24" s="60" t="s">
        <v>159</v>
      </c>
      <c r="L24" s="60" t="s">
        <v>311</v>
      </c>
      <c r="M24" s="62" t="s">
        <v>312</v>
      </c>
      <c r="N24" s="60" t="s">
        <v>189</v>
      </c>
      <c r="O24" s="60" t="s">
        <v>313</v>
      </c>
      <c r="P24" s="61" t="n">
        <v>46240</v>
      </c>
      <c r="Q24" s="63" t="n">
        <v>16</v>
      </c>
      <c r="R24" s="60" t="s">
        <v>314</v>
      </c>
      <c r="S24" s="64" t="n">
        <v>2543.07</v>
      </c>
      <c r="T24" s="60" t="s">
        <v>165</v>
      </c>
      <c r="U24" s="65" t="n">
        <f aca="false">IF(AND(T24="",S24=""),"",IF(T24="",1,IFERROR(INDEX(Settings!$B$12:$B$16,MATCH(T24,Settings!$A$12:$A$16,0)),1)))</f>
        <v>122</v>
      </c>
      <c r="V24" s="64" t="n">
        <v>313877.28</v>
      </c>
      <c r="W24" s="66" t="n">
        <f aca="false">IF(OR(Q24="",S24=""),"",Q24*S24*U24)</f>
        <v>4964072.64</v>
      </c>
      <c r="X24" s="65" t="n">
        <f aca="false">IF(OR(W24="",N(Q24)=0),"",W24/Q24)</f>
        <v>310254.54</v>
      </c>
      <c r="Y24" s="65" t="str">
        <f aca="false">IF(OR(X24="",P24="",E24=""),"",IF(_xlfn.MAXIFS($P$6:$P$205,$E$6:$E$205,E24,$P$6:$P$205,"&lt;"&amp;P24,$X$6:$X$205,"&gt;0")=0,"",IFERROR(AVERAGEIFS($X$6:$X$205,$E$6:$E$205,E24,$P$6:$P$205,_xlfn.MAXIFS($P$6:$P$205,$E$6:$E$205,E24,$P$6:$P$205,"&lt;"&amp;P24,$X$6:$X$205,"&gt;0"),$X$6:$X$205,"&gt;0"),"")))</f>
        <v/>
      </c>
      <c r="Z24" s="67" t="str">
        <f aca="false">IF(OR(Y24="",X24=""),"",X24/Y24-1)</f>
        <v/>
      </c>
      <c r="AA24" s="68" t="n">
        <f aca="false">IF(OR(W24="",V24=""),"",W24-Q24*V24)</f>
        <v>-57963.8399999999</v>
      </c>
      <c r="AB24" s="69" t="n">
        <f aca="false">IF(AA24="","",IF(N(V24)*N(Q24)=0,"",AA24/(Q24*V24)))</f>
        <v>-0.0115418994327974</v>
      </c>
      <c r="AC24" s="70" t="n">
        <v>0.12</v>
      </c>
      <c r="AD24" s="66" t="n">
        <f aca="false">IF(W24="","",W24*(1+N(AC24)))</f>
        <v>5559761.3568</v>
      </c>
      <c r="AE24" s="62" t="s">
        <v>315</v>
      </c>
      <c r="AF24" s="71" t="n">
        <v>2779880.68</v>
      </c>
      <c r="AG24" s="71"/>
      <c r="AH24" s="71"/>
      <c r="AI24" s="66" t="n">
        <f aca="false">IF(A24="","",N(AF24)+N(AG24)+N(AH24))</f>
        <v>2779880.68</v>
      </c>
      <c r="AJ24" s="72" t="n">
        <f aca="false">IF(AD24="","",IF(N(AD24)=0,"",AI24/AD24))</f>
        <v>0.500000000287782</v>
      </c>
      <c r="AK24" s="66" t="n">
        <f aca="false">IF(AD24="","",IF(AD24-AI24&lt;1,0,ROUND(AD24-AI24,2)))</f>
        <v>2779880.68</v>
      </c>
      <c r="AL24" s="66" t="n">
        <f aca="false">IF(OR(O24="",AD24=""),"",MAX(0,ROUND(N(AI24)-(AD24-N(AW24)),0)))</f>
        <v>0</v>
      </c>
      <c r="AM24" s="73" t="str">
        <f aca="false">IF(A24="","",IF(O24="","No PO Yet",IF(AI24=0,"Not Paid",IF(N(AJ24)&gt;=0.999,"Fully Paid",IF(N(AG24)+N(AH24)&gt;0,"Partially Paid","Initial / Advance Paid")))))</f>
        <v>Initial / Advance Paid</v>
      </c>
      <c r="AN24" s="61" t="n">
        <v>46243</v>
      </c>
      <c r="AO24" s="61" t="n">
        <v>46327</v>
      </c>
      <c r="AP24" s="74" t="n">
        <f aca="false">IF(AK24="","",IF(OR(N(AK24)=0,AO24=""),"",MAX(0,Settings!$B$4-AO24)))</f>
        <v>0</v>
      </c>
      <c r="AQ24" s="73" t="str">
        <f aca="false">IF(AK24="","",IF(N(AK24)&lt;=0,"",IF(AO24="","No Due Date",IF(Settings!$B$4&lt;=AO24,"Not Yet Due",IF(Settings!$B$4-AO24&lt;=30,"1-30 Days",IF(Settings!$B$4-AO24&lt;=60,"31-60 Days",IF(Settings!$B$4-AO24&lt;=90,"61-90 Days","90+ Days")))))))</f>
        <v>Not Yet Due</v>
      </c>
      <c r="AR24" s="61" t="n">
        <v>46298</v>
      </c>
      <c r="AS24" s="61" t="n">
        <v>46294</v>
      </c>
      <c r="AT24" s="63" t="n">
        <v>15</v>
      </c>
      <c r="AU24" s="72" t="n">
        <f aca="false">IF(Q24="","",IF(N(Q24)=0,"",N(AT24)/Q24))</f>
        <v>0.9375</v>
      </c>
      <c r="AV24" s="75" t="n">
        <f aca="false">IF(OR(A24="",O24="",Q24=""),"",MAX(0,Q24-N(AT24)))</f>
        <v>1</v>
      </c>
      <c r="AW24" s="66" t="n">
        <f aca="false">IF(OR(AV24="",W24=""),"",IF(N(Q24)=0,0,AV24/Q24*AD24))</f>
        <v>347485.0848</v>
      </c>
      <c r="AX24" s="76" t="str">
        <f aca="false">IF(A24="","",IF(O24="","No PO Yet",IF(Q24="","Order Qty Missing",IF(N(AT24)&gt;=Q24,IF(N(AT24)&gt;Q24,"All In-house (+"&amp;TEXT(N(AT24)-Q24,"#,##0")&amp;" "&amp;R24&amp;" excess)","All In-house"),IF(AY24&lt;&gt;"","Short Closed - "&amp;TEXT(AV24,"#,##0")&amp;" "&amp;R24&amp;" not received",IF(N(AT24)=0,"Not Started - "&amp;TEXT(AV24,"#,##0")&amp;" "&amp;R24&amp;" pending","Pending "&amp;TEXT(AV24,"#,##0")&amp;" "&amp;R24&amp;" ("&amp;TEXT(AU24,"0%")&amp;" received)"))))))</f>
        <v>Short Closed - 1 unit not received</v>
      </c>
      <c r="AY24" s="61" t="n">
        <v>46297</v>
      </c>
      <c r="AZ24" s="77" t="n">
        <f aca="false">IF(OR(B24="",J24=""),"",J24-B24)</f>
        <v>5</v>
      </c>
      <c r="BA24" s="77" t="n">
        <f aca="false">IF(OR(J24="",P24=""),"",P24-J24)</f>
        <v>5</v>
      </c>
      <c r="BB24" s="77" t="n">
        <f aca="false">IF(OR(P24="",AY24=""),"",AY24-P24)</f>
        <v>57</v>
      </c>
      <c r="BC24" s="77" t="n">
        <f aca="false">IF(OR(B24="",AY24=""),"",AY24-B24)</f>
        <v>67</v>
      </c>
      <c r="BD24" s="74" t="n">
        <f aca="false">IF(OR(AR24="",O24=""),"",MAX(0,IF(AY24="",Settings!$B$4,AY24)-AR24))</f>
        <v>0</v>
      </c>
      <c r="BE24" s="73" t="str">
        <f aca="false">IF(OR(AY24="",AR24=""),"",IF(AND(AY24&lt;=AR24,N(AU24)&gt;=Settings!$B$6),"OTIF","Not OTIF"))</f>
        <v>Not OTIF</v>
      </c>
      <c r="BF24" s="60" t="s">
        <v>305</v>
      </c>
      <c r="BG24" s="62"/>
      <c r="BH24" s="78"/>
      <c r="BI24" s="76" t="str">
        <f aca="false">IF(A24="","",IF(K24="Rejected","Rejected",IF(K24&lt;&gt;"Approved","Awaiting Approval",IF(O24="","Approved - PO Pending",IF(AY24&lt;&gt;"",IF(N(AJ24)&gt;=0.999,"Closed","In-house Closed - Payment Due"),IF(AS24&lt;&gt;"","Receiving In-house","PO Issued - Awaiting Delivery"))))))</f>
        <v>In-house Closed - Payment Due</v>
      </c>
      <c r="BJ24" s="76" t="str">
        <f aca="false">IF(A24="","",IF(IF(AND(A24&lt;&gt;"",OR(B24="",C24="",E24="",F24="",H24="")),"PR info missing; ","")&amp;IF(AND(K24="Approved",OR(J24="",I24="")),"Approval ref/date missing; ","")&amp;IF(AND(O24&lt;&gt;"",K24&lt;&gt;"Approved"),"PO without approval; ","")&amp;IF(AND(O24&lt;&gt;"",OR(P24="",M24="",Q24="",S24="",T24="")),"PO details missing; ","")&amp;IF(AND(O24&lt;&gt;"",AR24=""),"Committed date missing; ","")&amp;IF(AND(ISNUMBER(J24),ISNUMBER(B24),N(J24)&lt;N(B24)),"Approval dated before PR; ","")&amp;IF(AND(ISNUMBER(P24),ISNUMBER(J24),N(P24)&lt;N(J24)),"PO dated before approval; ","")&amp;IF(AND(ISNUMBER(AY24),ISNUMBER(AS24),N(AY24)&lt;N(AS24)),"Close before in-house start; ","")&amp;IF(AND(AY24&lt;&gt;"",AS24=""),"In-house start date missing; ","")&amp;IF(AND(AY24&lt;&gt;"",AT24=""),"Qty received missing; ","")&amp;IF(AND(AY24&lt;&gt;"",BF24=""),"QC status missing; ","")&amp;IF(N(AT24)&gt;N(Q24)*1.05,"Received &gt; ordered +5%; ","")&amp;IF(AND(N(AI24)&gt;0,AE24=""),"Payment terms missing; ","")&amp;IF(N(AI24)&gt;N(AD24)+1,"Overpaid vs PO; ","")&amp;IF(AND(N(AK24)&gt;0,AY24&lt;&gt;"",AO24=""),"Payment due date missing; ","")="","OK",IF(AND(A24&lt;&gt;"",OR(B24="",C24="",E24="",F24="",H24="")),"PR info missing; ","")&amp;IF(AND(K24="Approved",OR(J24="",I24="")),"Approval ref/date missing; ","")&amp;IF(AND(O24&lt;&gt;"",K24&lt;&gt;"Approved"),"PO without approval; ","")&amp;IF(AND(O24&lt;&gt;"",OR(P24="",M24="",Q24="",S24="",T24="")),"PO details missing; ","")&amp;IF(AND(O24&lt;&gt;"",AR24=""),"Committed date missing; ","")&amp;IF(AND(ISNUMBER(J24),ISNUMBER(B24),N(J24)&lt;N(B24)),"Approval dated before PR; ","")&amp;IF(AND(ISNUMBER(P24),ISNUMBER(J24),N(P24)&lt;N(J24)),"PO dated before approval; ","")&amp;IF(AND(ISNUMBER(AY24),ISNUMBER(AS24),N(AY24)&lt;N(AS24)),"Close before in-house start; ","")&amp;IF(AND(AY24&lt;&gt;"",AS24=""),"In-house start date missing; ","")&amp;IF(AND(AY24&lt;&gt;"",AT24=""),"Qty received missing; ","")&amp;IF(AND(AY24&lt;&gt;"",BF24=""),"QC status missing; ","")&amp;IF(N(AT24)&gt;N(Q24)*1.05,"Received &gt; ordered +5%; ","")&amp;IF(AND(N(AI24)&gt;0,AE24=""),"Payment terms missing; ","")&amp;IF(N(AI24)&gt;N(AD24)+1,"Overpaid vs PO; ","")&amp;IF(AND(N(AK24)&gt;0,AY24&lt;&gt;"",AO24=""),"Payment due date missing; ","")))</f>
        <v>OK</v>
      </c>
      <c r="BK24" s="76" t="str">
        <f aca="false">IF(A24="","",IF(N(AP24)&gt;0,"Pay supplier: "&amp;N(AP24)&amp;" days overdue; ","")&amp;IF(AND(O24&lt;&gt;"",AY24="",N(BD24)&gt;0),"Expedite delivery: "&amp;N(BD24)&amp;" days late; ","")&amp;IF(AND(BI24="Awaiting Approval",ISNUMBER(B24),Settings!$B$4-N(B24)&gt;Settings!$B$19),"Get approval: PR waiting "&amp;(Settings!$B$4-N(B24))&amp;" days; ","")&amp;IF(AND(BI24="Approved - PO Pending",ISNUMBER(J24),Settings!$B$4-N(J24)&gt;Settings!$B$20),"Issue PO: approved "&amp;(Settings!$B$4-N(J24))&amp;" days ago; ","")&amp;IF(AND(OR(BI24="Awaiting Approval",BI24="Approved - PO Pending"),N(AB24)&gt;Settings!$B$7),"Negotiate price: "&amp;TEXT(AB24,"0%")&amp;" above budget; ","")&amp;IF(LEFT(AX24,12)="Short Closed","Short closed: claim balance / credit note"&amp;IF(N(AL24)&gt;0," BDT "&amp;TEXT(AL24,"#,##0"),"")&amp;"; ","")&amp;IF(BF24="Rejected","QC rejected: return / replace; ","")&amp;IF(AND(O24&lt;&gt;"",AY24="",N(AL24)&gt;0,N(BD24)&gt;0),"Advance at risk: BDT "&amp;TEXT(AL24,"#,##0")&amp;" paid, goods late; ","")&amp;IF(AND(BJ24&lt;&gt;"",BJ24&lt;&gt;"OK"),"Fix data entry (see Data Check); ",""))</f>
        <v>Short closed: claim balance / credit note; </v>
      </c>
      <c r="BL24" s="73" t="str">
        <f aca="false">IF(BK24="","",IF(OR(N(AP24)&gt;30,AND(AY24="",N(BD24)&gt;15),BF24="Rejected",AND(LEFT(AX24,12)="Short Closed",N(AL24)&gt;0),AND(O24&lt;&gt;"",AY24="",N(AL24)&gt;0,N(BD24)&gt;0)),"High",IF(OR(N(AP24)&gt;0,AND(AY24="",N(BD24)&gt;7),LEFT(AX24,12)="Short Closed",AND(BI24="Awaiting Approval",ISNUMBER(B24),Settings!$B$4-N(B24)&gt;2*Settings!$B$19),AND(BI24="Approved - PO Pending",ISNUMBER(J24),Settings!$B$4-N(J24)&gt;2*Settings!$B$20)),"Medium","Low")))</f>
        <v>Medium</v>
      </c>
      <c r="BM24" s="77" t="n">
        <f aca="false">IF(BL24="","",IF(BL24="High",1,IF(BL24="Medium",2,3))*10000+ROW())</f>
        <v>20024</v>
      </c>
      <c r="BN24" s="62"/>
    </row>
    <row r="25" customFormat="false" ht="18" hidden="false" customHeight="true" outlineLevel="0" collapsed="false">
      <c r="A25" s="60" t="s">
        <v>316</v>
      </c>
      <c r="B25" s="61" t="n">
        <v>46232</v>
      </c>
      <c r="C25" s="62" t="s">
        <v>288</v>
      </c>
      <c r="D25" s="62" t="s">
        <v>289</v>
      </c>
      <c r="E25" s="62" t="s">
        <v>317</v>
      </c>
      <c r="F25" s="62" t="s">
        <v>308</v>
      </c>
      <c r="G25" s="62" t="s">
        <v>318</v>
      </c>
      <c r="H25" s="60" t="s">
        <v>45</v>
      </c>
      <c r="I25" s="60" t="s">
        <v>319</v>
      </c>
      <c r="J25" s="61" t="n">
        <v>46239</v>
      </c>
      <c r="K25" s="60" t="s">
        <v>159</v>
      </c>
      <c r="L25" s="60" t="s">
        <v>311</v>
      </c>
      <c r="M25" s="62" t="s">
        <v>312</v>
      </c>
      <c r="N25" s="60" t="s">
        <v>189</v>
      </c>
      <c r="O25" s="60" t="s">
        <v>320</v>
      </c>
      <c r="P25" s="61" t="n">
        <v>46242</v>
      </c>
      <c r="Q25" s="63" t="n">
        <v>3</v>
      </c>
      <c r="R25" s="60" t="s">
        <v>314</v>
      </c>
      <c r="S25" s="64" t="n">
        <v>3837.39</v>
      </c>
      <c r="T25" s="60" t="s">
        <v>165</v>
      </c>
      <c r="U25" s="65" t="n">
        <f aca="false">IF(AND(T25="",S25=""),"",IF(T25="",1,IFERROR(INDEX(Settings!$B$12:$B$16,MATCH(T25,Settings!$A$12:$A$16,0)),1)))</f>
        <v>122</v>
      </c>
      <c r="V25" s="64" t="n">
        <v>468392.92</v>
      </c>
      <c r="W25" s="66" t="n">
        <f aca="false">IF(OR(Q25="",S25=""),"",Q25*S25*U25)</f>
        <v>1404484.74</v>
      </c>
      <c r="X25" s="65" t="n">
        <f aca="false">IF(OR(W25="",N(Q25)=0),"",W25/Q25)</f>
        <v>468161.58</v>
      </c>
      <c r="Y25" s="65" t="str">
        <f aca="false">IF(OR(X25="",P25="",E25=""),"",IF(_xlfn.MAXIFS($P$6:$P$205,$E$6:$E$205,E25,$P$6:$P$205,"&lt;"&amp;P25,$X$6:$X$205,"&gt;0")=0,"",IFERROR(AVERAGEIFS($X$6:$X$205,$E$6:$E$205,E25,$P$6:$P$205,_xlfn.MAXIFS($P$6:$P$205,$E$6:$E$205,E25,$P$6:$P$205,"&lt;"&amp;P25,$X$6:$X$205,"&gt;0"),$X$6:$X$205,"&gt;0"),"")))</f>
        <v/>
      </c>
      <c r="Z25" s="67" t="str">
        <f aca="false">IF(OR(Y25="",X25=""),"",X25/Y25-1)</f>
        <v/>
      </c>
      <c r="AA25" s="68" t="n">
        <f aca="false">IF(OR(W25="",V25=""),"",W25-Q25*V25)</f>
        <v>-694.020000000019</v>
      </c>
      <c r="AB25" s="69" t="n">
        <f aca="false">IF(AA25="","",IF(N(V25)*N(Q25)=0,"",AA25/(Q25*V25)))</f>
        <v>-0.000493901573063927</v>
      </c>
      <c r="AC25" s="70" t="n">
        <v>0.12</v>
      </c>
      <c r="AD25" s="66" t="n">
        <f aca="false">IF(W25="","",W25*(1+N(AC25)))</f>
        <v>1573022.9088</v>
      </c>
      <c r="AE25" s="62" t="s">
        <v>315</v>
      </c>
      <c r="AF25" s="71" t="n">
        <v>786511.45</v>
      </c>
      <c r="AG25" s="71"/>
      <c r="AH25" s="71"/>
      <c r="AI25" s="66" t="n">
        <f aca="false">IF(A25="","",N(AF25)+N(AG25)+N(AH25))</f>
        <v>786511.45</v>
      </c>
      <c r="AJ25" s="72" t="n">
        <f aca="false">IF(AD25="","",IF(N(AD25)=0,"",AI25/AD25))</f>
        <v>0.499999997202838</v>
      </c>
      <c r="AK25" s="66" t="n">
        <f aca="false">IF(AD25="","",IF(AD25-AI25&lt;1,0,ROUND(AD25-AI25,2)))</f>
        <v>786511.46</v>
      </c>
      <c r="AL25" s="66" t="n">
        <f aca="false">IF(OR(O25="",AD25=""),"",MAX(0,ROUND(N(AI25)-(AD25-N(AW25)),0)))</f>
        <v>0</v>
      </c>
      <c r="AM25" s="73" t="str">
        <f aca="false">IF(A25="","",IF(O25="","No PO Yet",IF(AI25=0,"Not Paid",IF(N(AJ25)&gt;=0.999,"Fully Paid",IF(N(AG25)+N(AH25)&gt;0,"Partially Paid","Initial / Advance Paid")))))</f>
        <v>Initial / Advance Paid</v>
      </c>
      <c r="AN25" s="61" t="n">
        <v>46245</v>
      </c>
      <c r="AO25" s="61" t="n">
        <v>46325</v>
      </c>
      <c r="AP25" s="74" t="n">
        <f aca="false">IF(AK25="","",IF(OR(N(AK25)=0,AO25=""),"",MAX(0,Settings!$B$4-AO25)))</f>
        <v>0</v>
      </c>
      <c r="AQ25" s="73" t="str">
        <f aca="false">IF(AK25="","",IF(N(AK25)&lt;=0,"",IF(AO25="","No Due Date",IF(Settings!$B$4&lt;=AO25,"Not Yet Due",IF(Settings!$B$4-AO25&lt;=30,"1-30 Days",IF(Settings!$B$4-AO25&lt;=60,"31-60 Days",IF(Settings!$B$4-AO25&lt;=90,"61-90 Days","90+ Days")))))))</f>
        <v>Not Yet Due</v>
      </c>
      <c r="AR25" s="61" t="n">
        <v>46294</v>
      </c>
      <c r="AS25" s="61" t="n">
        <v>46294</v>
      </c>
      <c r="AT25" s="63" t="n">
        <v>3</v>
      </c>
      <c r="AU25" s="72" t="n">
        <f aca="false">IF(Q25="","",IF(N(Q25)=0,"",N(AT25)/Q25))</f>
        <v>1</v>
      </c>
      <c r="AV25" s="75" t="n">
        <f aca="false">IF(OR(A25="",O25="",Q25=""),"",MAX(0,Q25-N(AT25)))</f>
        <v>0</v>
      </c>
      <c r="AW25" s="66" t="n">
        <f aca="false">IF(OR(AV25="",W25=""),"",IF(N(Q25)=0,0,AV25/Q25*AD25))</f>
        <v>0</v>
      </c>
      <c r="AX25" s="76" t="str">
        <f aca="false">IF(A25="","",IF(O25="","No PO Yet",IF(Q25="","Order Qty Missing",IF(N(AT25)&gt;=Q25,IF(N(AT25)&gt;Q25,"All In-house (+"&amp;TEXT(N(AT25)-Q25,"#,##0")&amp;" "&amp;R25&amp;" excess)","All In-house"),IF(AY25&lt;&gt;"","Short Closed - "&amp;TEXT(AV25,"#,##0")&amp;" "&amp;R25&amp;" not received",IF(N(AT25)=0,"Not Started - "&amp;TEXT(AV25,"#,##0")&amp;" "&amp;R25&amp;" pending","Pending "&amp;TEXT(AV25,"#,##0")&amp;" "&amp;R25&amp;" ("&amp;TEXT(AU25,"0%")&amp;" received)"))))))</f>
        <v>All In-house</v>
      </c>
      <c r="AY25" s="61" t="n">
        <v>46295</v>
      </c>
      <c r="AZ25" s="77" t="n">
        <f aca="false">IF(OR(B25="",J25=""),"",J25-B25)</f>
        <v>7</v>
      </c>
      <c r="BA25" s="77" t="n">
        <f aca="false">IF(OR(J25="",P25=""),"",P25-J25)</f>
        <v>3</v>
      </c>
      <c r="BB25" s="77" t="n">
        <f aca="false">IF(OR(P25="",AY25=""),"",AY25-P25)</f>
        <v>53</v>
      </c>
      <c r="BC25" s="77" t="n">
        <f aca="false">IF(OR(B25="",AY25=""),"",AY25-B25)</f>
        <v>63</v>
      </c>
      <c r="BD25" s="74" t="n">
        <f aca="false">IF(OR(AR25="",O25=""),"",MAX(0,IF(AY25="",Settings!$B$4,AY25)-AR25))</f>
        <v>1</v>
      </c>
      <c r="BE25" s="73" t="str">
        <f aca="false">IF(OR(AY25="",AR25=""),"",IF(AND(AY25&lt;=AR25,N(AU25)&gt;=Settings!$B$6),"OTIF","Not OTIF"))</f>
        <v>Not OTIF</v>
      </c>
      <c r="BF25" s="60" t="s">
        <v>159</v>
      </c>
      <c r="BG25" s="62"/>
      <c r="BH25" s="78"/>
      <c r="BI25" s="76" t="str">
        <f aca="false">IF(A25="","",IF(K25="Rejected","Rejected",IF(K25&lt;&gt;"Approved","Awaiting Approval",IF(O25="","Approved - PO Pending",IF(AY25&lt;&gt;"",IF(N(AJ25)&gt;=0.999,"Closed","In-house Closed - Payment Due"),IF(AS25&lt;&gt;"","Receiving In-house","PO Issued - Awaiting Delivery"))))))</f>
        <v>In-house Closed - Payment Due</v>
      </c>
      <c r="BJ25" s="76" t="str">
        <f aca="false">IF(A25="","",IF(IF(AND(A25&lt;&gt;"",OR(B25="",C25="",E25="",F25="",H25="")),"PR info missing; ","")&amp;IF(AND(K25="Approved",OR(J25="",I25="")),"Approval ref/date missing; ","")&amp;IF(AND(O25&lt;&gt;"",K25&lt;&gt;"Approved"),"PO without approval; ","")&amp;IF(AND(O25&lt;&gt;"",OR(P25="",M25="",Q25="",S25="",T25="")),"PO details missing; ","")&amp;IF(AND(O25&lt;&gt;"",AR25=""),"Committed date missing; ","")&amp;IF(AND(ISNUMBER(J25),ISNUMBER(B25),N(J25)&lt;N(B25)),"Approval dated before PR; ","")&amp;IF(AND(ISNUMBER(P25),ISNUMBER(J25),N(P25)&lt;N(J25)),"PO dated before approval; ","")&amp;IF(AND(ISNUMBER(AY25),ISNUMBER(AS25),N(AY25)&lt;N(AS25)),"Close before in-house start; ","")&amp;IF(AND(AY25&lt;&gt;"",AS25=""),"In-house start date missing; ","")&amp;IF(AND(AY25&lt;&gt;"",AT25=""),"Qty received missing; ","")&amp;IF(AND(AY25&lt;&gt;"",BF25=""),"QC status missing; ","")&amp;IF(N(AT25)&gt;N(Q25)*1.05,"Received &gt; ordered +5%; ","")&amp;IF(AND(N(AI25)&gt;0,AE25=""),"Payment terms missing; ","")&amp;IF(N(AI25)&gt;N(AD25)+1,"Overpaid vs PO; ","")&amp;IF(AND(N(AK25)&gt;0,AY25&lt;&gt;"",AO25=""),"Payment due date missing; ","")="","OK",IF(AND(A25&lt;&gt;"",OR(B25="",C25="",E25="",F25="",H25="")),"PR info missing; ","")&amp;IF(AND(K25="Approved",OR(J25="",I25="")),"Approval ref/date missing; ","")&amp;IF(AND(O25&lt;&gt;"",K25&lt;&gt;"Approved"),"PO without approval; ","")&amp;IF(AND(O25&lt;&gt;"",OR(P25="",M25="",Q25="",S25="",T25="")),"PO details missing; ","")&amp;IF(AND(O25&lt;&gt;"",AR25=""),"Committed date missing; ","")&amp;IF(AND(ISNUMBER(J25),ISNUMBER(B25),N(J25)&lt;N(B25)),"Approval dated before PR; ","")&amp;IF(AND(ISNUMBER(P25),ISNUMBER(J25),N(P25)&lt;N(J25)),"PO dated before approval; ","")&amp;IF(AND(ISNUMBER(AY25),ISNUMBER(AS25),N(AY25)&lt;N(AS25)),"Close before in-house start; ","")&amp;IF(AND(AY25&lt;&gt;"",AS25=""),"In-house start date missing; ","")&amp;IF(AND(AY25&lt;&gt;"",AT25=""),"Qty received missing; ","")&amp;IF(AND(AY25&lt;&gt;"",BF25=""),"QC status missing; ","")&amp;IF(N(AT25)&gt;N(Q25)*1.05,"Received &gt; ordered +5%; ","")&amp;IF(AND(N(AI25)&gt;0,AE25=""),"Payment terms missing; ","")&amp;IF(N(AI25)&gt;N(AD25)+1,"Overpaid vs PO; ","")&amp;IF(AND(N(AK25)&gt;0,AY25&lt;&gt;"",AO25=""),"Payment due date missing; ","")))</f>
        <v>OK</v>
      </c>
      <c r="BK25" s="76" t="str">
        <f aca="false">IF(A25="","",IF(N(AP25)&gt;0,"Pay supplier: "&amp;N(AP25)&amp;" days overdue; ","")&amp;IF(AND(O25&lt;&gt;"",AY25="",N(BD25)&gt;0),"Expedite delivery: "&amp;N(BD25)&amp;" days late; ","")&amp;IF(AND(BI25="Awaiting Approval",ISNUMBER(B25),Settings!$B$4-N(B25)&gt;Settings!$B$19),"Get approval: PR waiting "&amp;(Settings!$B$4-N(B25))&amp;" days; ","")&amp;IF(AND(BI25="Approved - PO Pending",ISNUMBER(J25),Settings!$B$4-N(J25)&gt;Settings!$B$20),"Issue PO: approved "&amp;(Settings!$B$4-N(J25))&amp;" days ago; ","")&amp;IF(AND(OR(BI25="Awaiting Approval",BI25="Approved - PO Pending"),N(AB25)&gt;Settings!$B$7),"Negotiate price: "&amp;TEXT(AB25,"0%")&amp;" above budget; ","")&amp;IF(LEFT(AX25,12)="Short Closed","Short closed: claim balance / credit note"&amp;IF(N(AL25)&gt;0," BDT "&amp;TEXT(AL25,"#,##0"),"")&amp;"; ","")&amp;IF(BF25="Rejected","QC rejected: return / replace; ","")&amp;IF(AND(O25&lt;&gt;"",AY25="",N(AL25)&gt;0,N(BD25)&gt;0),"Advance at risk: BDT "&amp;TEXT(AL25,"#,##0")&amp;" paid, goods late; ","")&amp;IF(AND(BJ25&lt;&gt;"",BJ25&lt;&gt;"OK"),"Fix data entry (see Data Check); ",""))</f>
        <v/>
      </c>
      <c r="BL25" s="73" t="str">
        <f aca="false">IF(BK25="","",IF(OR(N(AP25)&gt;30,AND(AY25="",N(BD25)&gt;15),BF25="Rejected",AND(LEFT(AX25,12)="Short Closed",N(AL25)&gt;0),AND(O25&lt;&gt;"",AY25="",N(AL25)&gt;0,N(BD25)&gt;0)),"High",IF(OR(N(AP25)&gt;0,AND(AY25="",N(BD25)&gt;7),LEFT(AX25,12)="Short Closed",AND(BI25="Awaiting Approval",ISNUMBER(B25),Settings!$B$4-N(B25)&gt;2*Settings!$B$19),AND(BI25="Approved - PO Pending",ISNUMBER(J25),Settings!$B$4-N(J25)&gt;2*Settings!$B$20)),"Medium","Low")))</f>
        <v/>
      </c>
      <c r="BM25" s="77" t="str">
        <f aca="false">IF(BL25="","",IF(BL25="High",1,IF(BL25="Medium",2,3))*10000+ROW())</f>
        <v/>
      </c>
      <c r="BN25" s="62"/>
    </row>
    <row r="26" customFormat="false" ht="18" hidden="false" customHeight="true" outlineLevel="0" collapsed="false">
      <c r="A26" s="60" t="s">
        <v>321</v>
      </c>
      <c r="B26" s="61" t="n">
        <v>46235</v>
      </c>
      <c r="C26" s="62" t="s">
        <v>288</v>
      </c>
      <c r="D26" s="62" t="s">
        <v>289</v>
      </c>
      <c r="E26" s="62" t="s">
        <v>322</v>
      </c>
      <c r="F26" s="62" t="s">
        <v>308</v>
      </c>
      <c r="G26" s="62" t="s">
        <v>323</v>
      </c>
      <c r="H26" s="60" t="s">
        <v>45</v>
      </c>
      <c r="I26" s="60" t="s">
        <v>324</v>
      </c>
      <c r="J26" s="61" t="n">
        <v>46243</v>
      </c>
      <c r="K26" s="60" t="s">
        <v>159</v>
      </c>
      <c r="L26" s="60" t="s">
        <v>311</v>
      </c>
      <c r="M26" s="62" t="s">
        <v>312</v>
      </c>
      <c r="N26" s="60" t="s">
        <v>189</v>
      </c>
      <c r="O26" s="60" t="s">
        <v>325</v>
      </c>
      <c r="P26" s="61" t="n">
        <v>46248</v>
      </c>
      <c r="Q26" s="63" t="n">
        <v>3</v>
      </c>
      <c r="R26" s="60" t="s">
        <v>314</v>
      </c>
      <c r="S26" s="64" t="n">
        <v>53430.12</v>
      </c>
      <c r="T26" s="60" t="s">
        <v>218</v>
      </c>
      <c r="U26" s="65" t="n">
        <f aca="false">IF(AND(T26="",S26=""),"",IF(T26="",1,IFERROR(INDEX(Settings!$B$12:$B$16,MATCH(T26,Settings!$A$12:$A$16,0)),1)))</f>
        <v>17</v>
      </c>
      <c r="V26" s="64" t="n">
        <v>905443.9</v>
      </c>
      <c r="W26" s="66" t="n">
        <f aca="false">IF(OR(Q26="",S26=""),"",Q26*S26*U26)</f>
        <v>2724936.12</v>
      </c>
      <c r="X26" s="65" t="n">
        <f aca="false">IF(OR(W26="",N(Q26)=0),"",W26/Q26)</f>
        <v>908312.04</v>
      </c>
      <c r="Y26" s="65" t="str">
        <f aca="false">IF(OR(X26="",P26="",E26=""),"",IF(_xlfn.MAXIFS($P$6:$P$205,$E$6:$E$205,E26,$P$6:$P$205,"&lt;"&amp;P26,$X$6:$X$205,"&gt;0")=0,"",IFERROR(AVERAGEIFS($X$6:$X$205,$E$6:$E$205,E26,$P$6:$P$205,_xlfn.MAXIFS($P$6:$P$205,$E$6:$E$205,E26,$P$6:$P$205,"&lt;"&amp;P26,$X$6:$X$205,"&gt;0"),$X$6:$X$205,"&gt;0"),"")))</f>
        <v/>
      </c>
      <c r="Z26" s="67" t="str">
        <f aca="false">IF(OR(Y26="",X26=""),"",X26/Y26-1)</f>
        <v/>
      </c>
      <c r="AA26" s="68" t="n">
        <f aca="false">IF(OR(W26="",V26=""),"",W26-Q26*V26)</f>
        <v>8604.41999999993</v>
      </c>
      <c r="AB26" s="69" t="n">
        <f aca="false">IF(AA26="","",IF(N(V26)*N(Q26)=0,"",AA26/(Q26*V26)))</f>
        <v>0.00316766174028007</v>
      </c>
      <c r="AC26" s="70" t="n">
        <v>0.12</v>
      </c>
      <c r="AD26" s="66" t="n">
        <f aca="false">IF(W26="","",W26*(1+N(AC26)))</f>
        <v>3051928.4544</v>
      </c>
      <c r="AE26" s="62" t="s">
        <v>315</v>
      </c>
      <c r="AF26" s="71" t="n">
        <v>1525964.23</v>
      </c>
      <c r="AG26" s="71"/>
      <c r="AH26" s="71"/>
      <c r="AI26" s="66" t="n">
        <f aca="false">IF(A26="","",N(AF26)+N(AG26)+N(AH26))</f>
        <v>1525964.23</v>
      </c>
      <c r="AJ26" s="72" t="n">
        <f aca="false">IF(AD26="","",IF(N(AD26)=0,"",AI26/AD26))</f>
        <v>0.500000000917453</v>
      </c>
      <c r="AK26" s="66" t="n">
        <f aca="false">IF(AD26="","",IF(AD26-AI26&lt;1,0,ROUND(AD26-AI26,2)))</f>
        <v>1525964.22</v>
      </c>
      <c r="AL26" s="66" t="n">
        <f aca="false">IF(OR(O26="",AD26=""),"",MAX(0,ROUND(N(AI26)-(AD26-N(AW26)),0)))</f>
        <v>0</v>
      </c>
      <c r="AM26" s="73" t="str">
        <f aca="false">IF(A26="","",IF(O26="","No PO Yet",IF(AI26=0,"Not Paid",IF(N(AJ26)&gt;=0.999,"Fully Paid",IF(N(AG26)+N(AH26)&gt;0,"Partially Paid","Initial / Advance Paid")))))</f>
        <v>Initial / Advance Paid</v>
      </c>
      <c r="AN26" s="61" t="n">
        <v>46251</v>
      </c>
      <c r="AO26" s="61" t="n">
        <v>46326</v>
      </c>
      <c r="AP26" s="74" t="n">
        <f aca="false">IF(AK26="","",IF(OR(N(AK26)=0,AO26=""),"",MAX(0,Settings!$B$4-AO26)))</f>
        <v>0</v>
      </c>
      <c r="AQ26" s="73" t="str">
        <f aca="false">IF(AK26="","",IF(N(AK26)&lt;=0,"",IF(AO26="","No Due Date",IF(Settings!$B$4&lt;=AO26,"Not Yet Due",IF(Settings!$B$4-AO26&lt;=30,"1-30 Days",IF(Settings!$B$4-AO26&lt;=60,"31-60 Days",IF(Settings!$B$4-AO26&lt;=90,"61-90 Days","90+ Days")))))))</f>
        <v>Not Yet Due</v>
      </c>
      <c r="AR26" s="61" t="n">
        <v>46287</v>
      </c>
      <c r="AS26" s="61" t="n">
        <v>46295</v>
      </c>
      <c r="AT26" s="63" t="n">
        <v>3</v>
      </c>
      <c r="AU26" s="72" t="n">
        <f aca="false">IF(Q26="","",IF(N(Q26)=0,"",N(AT26)/Q26))</f>
        <v>1</v>
      </c>
      <c r="AV26" s="75" t="n">
        <f aca="false">IF(OR(A26="",O26="",Q26=""),"",MAX(0,Q26-N(AT26)))</f>
        <v>0</v>
      </c>
      <c r="AW26" s="66" t="n">
        <f aca="false">IF(OR(AV26="",W26=""),"",IF(N(Q26)=0,0,AV26/Q26*AD26))</f>
        <v>0</v>
      </c>
      <c r="AX26" s="76" t="str">
        <f aca="false">IF(A26="","",IF(O26="","No PO Yet",IF(Q26="","Order Qty Missing",IF(N(AT26)&gt;=Q26,IF(N(AT26)&gt;Q26,"All In-house (+"&amp;TEXT(N(AT26)-Q26,"#,##0")&amp;" "&amp;R26&amp;" excess)","All In-house"),IF(AY26&lt;&gt;"","Short Closed - "&amp;TEXT(AV26,"#,##0")&amp;" "&amp;R26&amp;" not received",IF(N(AT26)=0,"Not Started - "&amp;TEXT(AV26,"#,##0")&amp;" "&amp;R26&amp;" pending","Pending "&amp;TEXT(AV26,"#,##0")&amp;" "&amp;R26&amp;" ("&amp;TEXT(AU26,"0%")&amp;" received)"))))))</f>
        <v>All In-house</v>
      </c>
      <c r="AY26" s="61" t="n">
        <v>46296</v>
      </c>
      <c r="AZ26" s="77" t="n">
        <f aca="false">IF(OR(B26="",J26=""),"",J26-B26)</f>
        <v>8</v>
      </c>
      <c r="BA26" s="77" t="n">
        <f aca="false">IF(OR(J26="",P26=""),"",P26-J26)</f>
        <v>5</v>
      </c>
      <c r="BB26" s="77" t="n">
        <f aca="false">IF(OR(P26="",AY26=""),"",AY26-P26)</f>
        <v>48</v>
      </c>
      <c r="BC26" s="77" t="n">
        <f aca="false">IF(OR(B26="",AY26=""),"",AY26-B26)</f>
        <v>61</v>
      </c>
      <c r="BD26" s="74" t="n">
        <f aca="false">IF(OR(AR26="",O26=""),"",MAX(0,IF(AY26="",Settings!$B$4,AY26)-AR26))</f>
        <v>9</v>
      </c>
      <c r="BE26" s="73" t="str">
        <f aca="false">IF(OR(AY26="",AR26=""),"",IF(AND(AY26&lt;=AR26,N(AU26)&gt;=Settings!$B$6),"OTIF","Not OTIF"))</f>
        <v>Not OTIF</v>
      </c>
      <c r="BF26" s="60" t="s">
        <v>159</v>
      </c>
      <c r="BG26" s="62"/>
      <c r="BH26" s="78"/>
      <c r="BI26" s="76" t="str">
        <f aca="false">IF(A26="","",IF(K26="Rejected","Rejected",IF(K26&lt;&gt;"Approved","Awaiting Approval",IF(O26="","Approved - PO Pending",IF(AY26&lt;&gt;"",IF(N(AJ26)&gt;=0.999,"Closed","In-house Closed - Payment Due"),IF(AS26&lt;&gt;"","Receiving In-house","PO Issued - Awaiting Delivery"))))))</f>
        <v>In-house Closed - Payment Due</v>
      </c>
      <c r="BJ26" s="76" t="str">
        <f aca="false">IF(A26="","",IF(IF(AND(A26&lt;&gt;"",OR(B26="",C26="",E26="",F26="",H26="")),"PR info missing; ","")&amp;IF(AND(K26="Approved",OR(J26="",I26="")),"Approval ref/date missing; ","")&amp;IF(AND(O26&lt;&gt;"",K26&lt;&gt;"Approved"),"PO without approval; ","")&amp;IF(AND(O26&lt;&gt;"",OR(P26="",M26="",Q26="",S26="",T26="")),"PO details missing; ","")&amp;IF(AND(O26&lt;&gt;"",AR26=""),"Committed date missing; ","")&amp;IF(AND(ISNUMBER(J26),ISNUMBER(B26),N(J26)&lt;N(B26)),"Approval dated before PR; ","")&amp;IF(AND(ISNUMBER(P26),ISNUMBER(J26),N(P26)&lt;N(J26)),"PO dated before approval; ","")&amp;IF(AND(ISNUMBER(AY26),ISNUMBER(AS26),N(AY26)&lt;N(AS26)),"Close before in-house start; ","")&amp;IF(AND(AY26&lt;&gt;"",AS26=""),"In-house start date missing; ","")&amp;IF(AND(AY26&lt;&gt;"",AT26=""),"Qty received missing; ","")&amp;IF(AND(AY26&lt;&gt;"",BF26=""),"QC status missing; ","")&amp;IF(N(AT26)&gt;N(Q26)*1.05,"Received &gt; ordered +5%; ","")&amp;IF(AND(N(AI26)&gt;0,AE26=""),"Payment terms missing; ","")&amp;IF(N(AI26)&gt;N(AD26)+1,"Overpaid vs PO; ","")&amp;IF(AND(N(AK26)&gt;0,AY26&lt;&gt;"",AO26=""),"Payment due date missing; ","")="","OK",IF(AND(A26&lt;&gt;"",OR(B26="",C26="",E26="",F26="",H26="")),"PR info missing; ","")&amp;IF(AND(K26="Approved",OR(J26="",I26="")),"Approval ref/date missing; ","")&amp;IF(AND(O26&lt;&gt;"",K26&lt;&gt;"Approved"),"PO without approval; ","")&amp;IF(AND(O26&lt;&gt;"",OR(P26="",M26="",Q26="",S26="",T26="")),"PO details missing; ","")&amp;IF(AND(O26&lt;&gt;"",AR26=""),"Committed date missing; ","")&amp;IF(AND(ISNUMBER(J26),ISNUMBER(B26),N(J26)&lt;N(B26)),"Approval dated before PR; ","")&amp;IF(AND(ISNUMBER(P26),ISNUMBER(J26),N(P26)&lt;N(J26)),"PO dated before approval; ","")&amp;IF(AND(ISNUMBER(AY26),ISNUMBER(AS26),N(AY26)&lt;N(AS26)),"Close before in-house start; ","")&amp;IF(AND(AY26&lt;&gt;"",AS26=""),"In-house start date missing; ","")&amp;IF(AND(AY26&lt;&gt;"",AT26=""),"Qty received missing; ","")&amp;IF(AND(AY26&lt;&gt;"",BF26=""),"QC status missing; ","")&amp;IF(N(AT26)&gt;N(Q26)*1.05,"Received &gt; ordered +5%; ","")&amp;IF(AND(N(AI26)&gt;0,AE26=""),"Payment terms missing; ","")&amp;IF(N(AI26)&gt;N(AD26)+1,"Overpaid vs PO; ","")&amp;IF(AND(N(AK26)&gt;0,AY26&lt;&gt;"",AO26=""),"Payment due date missing; ","")))</f>
        <v>OK</v>
      </c>
      <c r="BK26" s="76" t="str">
        <f aca="false">IF(A26="","",IF(N(AP26)&gt;0,"Pay supplier: "&amp;N(AP26)&amp;" days overdue; ","")&amp;IF(AND(O26&lt;&gt;"",AY26="",N(BD26)&gt;0),"Expedite delivery: "&amp;N(BD26)&amp;" days late; ","")&amp;IF(AND(BI26="Awaiting Approval",ISNUMBER(B26),Settings!$B$4-N(B26)&gt;Settings!$B$19),"Get approval: PR waiting "&amp;(Settings!$B$4-N(B26))&amp;" days; ","")&amp;IF(AND(BI26="Approved - PO Pending",ISNUMBER(J26),Settings!$B$4-N(J26)&gt;Settings!$B$20),"Issue PO: approved "&amp;(Settings!$B$4-N(J26))&amp;" days ago; ","")&amp;IF(AND(OR(BI26="Awaiting Approval",BI26="Approved - PO Pending"),N(AB26)&gt;Settings!$B$7),"Negotiate price: "&amp;TEXT(AB26,"0%")&amp;" above budget; ","")&amp;IF(LEFT(AX26,12)="Short Closed","Short closed: claim balance / credit note"&amp;IF(N(AL26)&gt;0," BDT "&amp;TEXT(AL26,"#,##0"),"")&amp;"; ","")&amp;IF(BF26="Rejected","QC rejected: return / replace; ","")&amp;IF(AND(O26&lt;&gt;"",AY26="",N(AL26)&gt;0,N(BD26)&gt;0),"Advance at risk: BDT "&amp;TEXT(AL26,"#,##0")&amp;" paid, goods late; ","")&amp;IF(AND(BJ26&lt;&gt;"",BJ26&lt;&gt;"OK"),"Fix data entry (see Data Check); ",""))</f>
        <v/>
      </c>
      <c r="BL26" s="73" t="str">
        <f aca="false">IF(BK26="","",IF(OR(N(AP26)&gt;30,AND(AY26="",N(BD26)&gt;15),BF26="Rejected",AND(LEFT(AX26,12)="Short Closed",N(AL26)&gt;0),AND(O26&lt;&gt;"",AY26="",N(AL26)&gt;0,N(BD26)&gt;0)),"High",IF(OR(N(AP26)&gt;0,AND(AY26="",N(BD26)&gt;7),LEFT(AX26,12)="Short Closed",AND(BI26="Awaiting Approval",ISNUMBER(B26),Settings!$B$4-N(B26)&gt;2*Settings!$B$19),AND(BI26="Approved - PO Pending",ISNUMBER(J26),Settings!$B$4-N(J26)&gt;2*Settings!$B$20)),"Medium","Low")))</f>
        <v/>
      </c>
      <c r="BM26" s="77" t="str">
        <f aca="false">IF(BL26="","",IF(BL26="High",1,IF(BL26="Medium",2,3))*10000+ROW())</f>
        <v/>
      </c>
      <c r="BN26" s="62"/>
    </row>
    <row r="27" customFormat="false" ht="18" hidden="false" customHeight="true" outlineLevel="0" collapsed="false">
      <c r="A27" s="60" t="s">
        <v>326</v>
      </c>
      <c r="B27" s="61" t="n">
        <v>46238</v>
      </c>
      <c r="C27" s="62" t="s">
        <v>288</v>
      </c>
      <c r="D27" s="62" t="s">
        <v>289</v>
      </c>
      <c r="E27" s="62" t="s">
        <v>327</v>
      </c>
      <c r="F27" s="62" t="s">
        <v>308</v>
      </c>
      <c r="G27" s="62" t="s">
        <v>328</v>
      </c>
      <c r="H27" s="60" t="s">
        <v>45</v>
      </c>
      <c r="I27" s="60" t="s">
        <v>329</v>
      </c>
      <c r="J27" s="61" t="n">
        <v>46244</v>
      </c>
      <c r="K27" s="60" t="s">
        <v>159</v>
      </c>
      <c r="L27" s="60" t="s">
        <v>311</v>
      </c>
      <c r="M27" s="62" t="s">
        <v>294</v>
      </c>
      <c r="N27" s="60" t="s">
        <v>162</v>
      </c>
      <c r="O27" s="60" t="s">
        <v>330</v>
      </c>
      <c r="P27" s="61" t="n">
        <v>46246</v>
      </c>
      <c r="Q27" s="63" t="n">
        <v>1</v>
      </c>
      <c r="R27" s="60" t="s">
        <v>314</v>
      </c>
      <c r="S27" s="64" t="n">
        <v>1495361</v>
      </c>
      <c r="T27" s="60" t="s">
        <v>180</v>
      </c>
      <c r="U27" s="65" t="n">
        <f aca="false">IF(AND(T27="",S27=""),"",IF(T27="",1,IFERROR(INDEX(Settings!$B$12:$B$16,MATCH(T27,Settings!$A$12:$A$16,0)),1)))</f>
        <v>1</v>
      </c>
      <c r="V27" s="64" t="n">
        <v>1474015.39</v>
      </c>
      <c r="W27" s="66" t="n">
        <f aca="false">IF(OR(Q27="",S27=""),"",Q27*S27*U27)</f>
        <v>1495361</v>
      </c>
      <c r="X27" s="65" t="n">
        <f aca="false">IF(OR(W27="",N(Q27)=0),"",W27/Q27)</f>
        <v>1495361</v>
      </c>
      <c r="Y27" s="65" t="str">
        <f aca="false">IF(OR(X27="",P27="",E27=""),"",IF(_xlfn.MAXIFS($P$6:$P$205,$E$6:$E$205,E27,$P$6:$P$205,"&lt;"&amp;P27,$X$6:$X$205,"&gt;0")=0,"",IFERROR(AVERAGEIFS($X$6:$X$205,$E$6:$E$205,E27,$P$6:$P$205,_xlfn.MAXIFS($P$6:$P$205,$E$6:$E$205,E27,$P$6:$P$205,"&lt;"&amp;P27,$X$6:$X$205,"&gt;0"),$X$6:$X$205,"&gt;0"),"")))</f>
        <v/>
      </c>
      <c r="Z27" s="67" t="str">
        <f aca="false">IF(OR(Y27="",X27=""),"",X27/Y27-1)</f>
        <v/>
      </c>
      <c r="AA27" s="68" t="n">
        <f aca="false">IF(OR(W27="",V27=""),"",W27-Q27*V27)</f>
        <v>21345.6100000001</v>
      </c>
      <c r="AB27" s="69" t="n">
        <f aca="false">IF(AA27="","",IF(N(V27)*N(Q27)=0,"",AA27/(Q27*V27)))</f>
        <v>0.0144812667118761</v>
      </c>
      <c r="AC27" s="70" t="n">
        <v>0.075</v>
      </c>
      <c r="AD27" s="66" t="n">
        <f aca="false">IF(W27="","",W27*(1+N(AC27)))</f>
        <v>1607513.075</v>
      </c>
      <c r="AE27" s="62" t="s">
        <v>315</v>
      </c>
      <c r="AF27" s="71" t="n">
        <v>803756.54</v>
      </c>
      <c r="AG27" s="71"/>
      <c r="AH27" s="71" t="n">
        <v>803756.54</v>
      </c>
      <c r="AI27" s="66" t="n">
        <f aca="false">IF(A27="","",N(AF27)+N(AG27)+N(AH27))</f>
        <v>1607513.08</v>
      </c>
      <c r="AJ27" s="72" t="n">
        <f aca="false">IF(AD27="","",IF(N(AD27)=0,"",AI27/AD27))</f>
        <v>1.00000000311039</v>
      </c>
      <c r="AK27" s="66" t="n">
        <f aca="false">IF(AD27="","",IF(AD27-AI27&lt;1,0,ROUND(AD27-AI27,2)))</f>
        <v>0</v>
      </c>
      <c r="AL27" s="66" t="n">
        <f aca="false">IF(OR(O27="",AD27=""),"",MAX(0,ROUND(N(AI27)-(AD27-N(AW27)),0)))</f>
        <v>0</v>
      </c>
      <c r="AM27" s="73" t="str">
        <f aca="false">IF(A27="","",IF(O27="","No PO Yet",IF(AI27=0,"Not Paid",IF(N(AJ27)&gt;=0.999,"Fully Paid",IF(N(AG27)+N(AH27)&gt;0,"Partially Paid","Initial / Advance Paid")))))</f>
        <v>Fully Paid</v>
      </c>
      <c r="AN27" s="61" t="n">
        <v>46291</v>
      </c>
      <c r="AO27" s="61"/>
      <c r="AP27" s="74" t="str">
        <f aca="false">IF(AK27="","",IF(OR(N(AK27)=0,AO27=""),"",MAX(0,Settings!$B$4-AO27)))</f>
        <v/>
      </c>
      <c r="AQ27" s="73" t="str">
        <f aca="false">IF(AK27="","",IF(N(AK27)&lt;=0,"",IF(AO27="","No Due Date",IF(Settings!$B$4&lt;=AO27,"Not Yet Due",IF(Settings!$B$4-AO27&lt;=30,"1-30 Days",IF(Settings!$B$4-AO27&lt;=60,"31-60 Days",IF(Settings!$B$4-AO27&lt;=90,"61-90 Days","90+ Days")))))))</f>
        <v/>
      </c>
      <c r="AR27" s="61" t="n">
        <v>46258</v>
      </c>
      <c r="AS27" s="61" t="n">
        <v>46261</v>
      </c>
      <c r="AT27" s="63" t="n">
        <v>1</v>
      </c>
      <c r="AU27" s="72" t="n">
        <f aca="false">IF(Q27="","",IF(N(Q27)=0,"",N(AT27)/Q27))</f>
        <v>1</v>
      </c>
      <c r="AV27" s="75" t="n">
        <f aca="false">IF(OR(A27="",O27="",Q27=""),"",MAX(0,Q27-N(AT27)))</f>
        <v>0</v>
      </c>
      <c r="AW27" s="66" t="n">
        <f aca="false">IF(OR(AV27="",W27=""),"",IF(N(Q27)=0,0,AV27/Q27*AD27))</f>
        <v>0</v>
      </c>
      <c r="AX27" s="76" t="str">
        <f aca="false">IF(A27="","",IF(O27="","No PO Yet",IF(Q27="","Order Qty Missing",IF(N(AT27)&gt;=Q27,IF(N(AT27)&gt;Q27,"All In-house (+"&amp;TEXT(N(AT27)-Q27,"#,##0")&amp;" "&amp;R27&amp;" excess)","All In-house"),IF(AY27&lt;&gt;"","Short Closed - "&amp;TEXT(AV27,"#,##0")&amp;" "&amp;R27&amp;" not received",IF(N(AT27)=0,"Not Started - "&amp;TEXT(AV27,"#,##0")&amp;" "&amp;R27&amp;" pending","Pending "&amp;TEXT(AV27,"#,##0")&amp;" "&amp;R27&amp;" ("&amp;TEXT(AU27,"0%")&amp;" received)"))))))</f>
        <v>All In-house</v>
      </c>
      <c r="AY27" s="61" t="n">
        <v>46261</v>
      </c>
      <c r="AZ27" s="77" t="n">
        <f aca="false">IF(OR(B27="",J27=""),"",J27-B27)</f>
        <v>6</v>
      </c>
      <c r="BA27" s="77" t="n">
        <f aca="false">IF(OR(J27="",P27=""),"",P27-J27)</f>
        <v>2</v>
      </c>
      <c r="BB27" s="77" t="n">
        <f aca="false">IF(OR(P27="",AY27=""),"",AY27-P27)</f>
        <v>15</v>
      </c>
      <c r="BC27" s="77" t="n">
        <f aca="false">IF(OR(B27="",AY27=""),"",AY27-B27)</f>
        <v>23</v>
      </c>
      <c r="BD27" s="74" t="n">
        <f aca="false">IF(OR(AR27="",O27=""),"",MAX(0,IF(AY27="",Settings!$B$4,AY27)-AR27))</f>
        <v>3</v>
      </c>
      <c r="BE27" s="73" t="str">
        <f aca="false">IF(OR(AY27="",AR27=""),"",IF(AND(AY27&lt;=AR27,N(AU27)&gt;=Settings!$B$6),"OTIF","Not OTIF"))</f>
        <v>Not OTIF</v>
      </c>
      <c r="BF27" s="60" t="s">
        <v>159</v>
      </c>
      <c r="BG27" s="62"/>
      <c r="BH27" s="78"/>
      <c r="BI27" s="76" t="str">
        <f aca="false">IF(A27="","",IF(K27="Rejected","Rejected",IF(K27&lt;&gt;"Approved","Awaiting Approval",IF(O27="","Approved - PO Pending",IF(AY27&lt;&gt;"",IF(N(AJ27)&gt;=0.999,"Closed","In-house Closed - Payment Due"),IF(AS27&lt;&gt;"","Receiving In-house","PO Issued - Awaiting Delivery"))))))</f>
        <v>Closed</v>
      </c>
      <c r="BJ27" s="76" t="str">
        <f aca="false">IF(A27="","",IF(IF(AND(A27&lt;&gt;"",OR(B27="",C27="",E27="",F27="",H27="")),"PR info missing; ","")&amp;IF(AND(K27="Approved",OR(J27="",I27="")),"Approval ref/date missing; ","")&amp;IF(AND(O27&lt;&gt;"",K27&lt;&gt;"Approved"),"PO without approval; ","")&amp;IF(AND(O27&lt;&gt;"",OR(P27="",M27="",Q27="",S27="",T27="")),"PO details missing; ","")&amp;IF(AND(O27&lt;&gt;"",AR27=""),"Committed date missing; ","")&amp;IF(AND(ISNUMBER(J27),ISNUMBER(B27),N(J27)&lt;N(B27)),"Approval dated before PR; ","")&amp;IF(AND(ISNUMBER(P27),ISNUMBER(J27),N(P27)&lt;N(J27)),"PO dated before approval; ","")&amp;IF(AND(ISNUMBER(AY27),ISNUMBER(AS27),N(AY27)&lt;N(AS27)),"Close before in-house start; ","")&amp;IF(AND(AY27&lt;&gt;"",AS27=""),"In-house start date missing; ","")&amp;IF(AND(AY27&lt;&gt;"",AT27=""),"Qty received missing; ","")&amp;IF(AND(AY27&lt;&gt;"",BF27=""),"QC status missing; ","")&amp;IF(N(AT27)&gt;N(Q27)*1.05,"Received &gt; ordered +5%; ","")&amp;IF(AND(N(AI27)&gt;0,AE27=""),"Payment terms missing; ","")&amp;IF(N(AI27)&gt;N(AD27)+1,"Overpaid vs PO; ","")&amp;IF(AND(N(AK27)&gt;0,AY27&lt;&gt;"",AO27=""),"Payment due date missing; ","")="","OK",IF(AND(A27&lt;&gt;"",OR(B27="",C27="",E27="",F27="",H27="")),"PR info missing; ","")&amp;IF(AND(K27="Approved",OR(J27="",I27="")),"Approval ref/date missing; ","")&amp;IF(AND(O27&lt;&gt;"",K27&lt;&gt;"Approved"),"PO without approval; ","")&amp;IF(AND(O27&lt;&gt;"",OR(P27="",M27="",Q27="",S27="",T27="")),"PO details missing; ","")&amp;IF(AND(O27&lt;&gt;"",AR27=""),"Committed date missing; ","")&amp;IF(AND(ISNUMBER(J27),ISNUMBER(B27),N(J27)&lt;N(B27)),"Approval dated before PR; ","")&amp;IF(AND(ISNUMBER(P27),ISNUMBER(J27),N(P27)&lt;N(J27)),"PO dated before approval; ","")&amp;IF(AND(ISNUMBER(AY27),ISNUMBER(AS27),N(AY27)&lt;N(AS27)),"Close before in-house start; ","")&amp;IF(AND(AY27&lt;&gt;"",AS27=""),"In-house start date missing; ","")&amp;IF(AND(AY27&lt;&gt;"",AT27=""),"Qty received missing; ","")&amp;IF(AND(AY27&lt;&gt;"",BF27=""),"QC status missing; ","")&amp;IF(N(AT27)&gt;N(Q27)*1.05,"Received &gt; ordered +5%; ","")&amp;IF(AND(N(AI27)&gt;0,AE27=""),"Payment terms missing; ","")&amp;IF(N(AI27)&gt;N(AD27)+1,"Overpaid vs PO; ","")&amp;IF(AND(N(AK27)&gt;0,AY27&lt;&gt;"",AO27=""),"Payment due date missing; ","")))</f>
        <v>OK</v>
      </c>
      <c r="BK27" s="76" t="str">
        <f aca="false">IF(A27="","",IF(N(AP27)&gt;0,"Pay supplier: "&amp;N(AP27)&amp;" days overdue; ","")&amp;IF(AND(O27&lt;&gt;"",AY27="",N(BD27)&gt;0),"Expedite delivery: "&amp;N(BD27)&amp;" days late; ","")&amp;IF(AND(BI27="Awaiting Approval",ISNUMBER(B27),Settings!$B$4-N(B27)&gt;Settings!$B$19),"Get approval: PR waiting "&amp;(Settings!$B$4-N(B27))&amp;" days; ","")&amp;IF(AND(BI27="Approved - PO Pending",ISNUMBER(J27),Settings!$B$4-N(J27)&gt;Settings!$B$20),"Issue PO: approved "&amp;(Settings!$B$4-N(J27))&amp;" days ago; ","")&amp;IF(AND(OR(BI27="Awaiting Approval",BI27="Approved - PO Pending"),N(AB27)&gt;Settings!$B$7),"Negotiate price: "&amp;TEXT(AB27,"0%")&amp;" above budget; ","")&amp;IF(LEFT(AX27,12)="Short Closed","Short closed: claim balance / credit note"&amp;IF(N(AL27)&gt;0," BDT "&amp;TEXT(AL27,"#,##0"),"")&amp;"; ","")&amp;IF(BF27="Rejected","QC rejected: return / replace; ","")&amp;IF(AND(O27&lt;&gt;"",AY27="",N(AL27)&gt;0,N(BD27)&gt;0),"Advance at risk: BDT "&amp;TEXT(AL27,"#,##0")&amp;" paid, goods late; ","")&amp;IF(AND(BJ27&lt;&gt;"",BJ27&lt;&gt;"OK"),"Fix data entry (see Data Check); ",""))</f>
        <v/>
      </c>
      <c r="BL27" s="73" t="str">
        <f aca="false">IF(BK27="","",IF(OR(N(AP27)&gt;30,AND(AY27="",N(BD27)&gt;15),BF27="Rejected",AND(LEFT(AX27,12)="Short Closed",N(AL27)&gt;0),AND(O27&lt;&gt;"",AY27="",N(AL27)&gt;0,N(BD27)&gt;0)),"High",IF(OR(N(AP27)&gt;0,AND(AY27="",N(BD27)&gt;7),LEFT(AX27,12)="Short Closed",AND(BI27="Awaiting Approval",ISNUMBER(B27),Settings!$B$4-N(B27)&gt;2*Settings!$B$19),AND(BI27="Approved - PO Pending",ISNUMBER(J27),Settings!$B$4-N(J27)&gt;2*Settings!$B$20)),"Medium","Low")))</f>
        <v/>
      </c>
      <c r="BM27" s="77" t="str">
        <f aca="false">IF(BL27="","",IF(BL27="High",1,IF(BL27="Medium",2,3))*10000+ROW())</f>
        <v/>
      </c>
      <c r="BN27" s="62"/>
    </row>
    <row r="28" customFormat="false" ht="18" hidden="false" customHeight="true" outlineLevel="0" collapsed="false">
      <c r="A28" s="60" t="s">
        <v>331</v>
      </c>
      <c r="B28" s="61" t="n">
        <v>46243</v>
      </c>
      <c r="C28" s="62" t="s">
        <v>332</v>
      </c>
      <c r="D28" s="62" t="s">
        <v>333</v>
      </c>
      <c r="E28" s="62" t="s">
        <v>334</v>
      </c>
      <c r="F28" s="62" t="s">
        <v>335</v>
      </c>
      <c r="G28" s="62" t="s">
        <v>336</v>
      </c>
      <c r="H28" s="60" t="s">
        <v>45</v>
      </c>
      <c r="I28" s="60" t="s">
        <v>337</v>
      </c>
      <c r="J28" s="61" t="n">
        <v>46248</v>
      </c>
      <c r="K28" s="60" t="s">
        <v>159</v>
      </c>
      <c r="L28" s="60" t="s">
        <v>311</v>
      </c>
      <c r="M28" s="62" t="s">
        <v>338</v>
      </c>
      <c r="N28" s="60" t="s">
        <v>162</v>
      </c>
      <c r="O28" s="60" t="s">
        <v>339</v>
      </c>
      <c r="P28" s="61" t="n">
        <v>46250</v>
      </c>
      <c r="Q28" s="63" t="n">
        <v>7</v>
      </c>
      <c r="R28" s="60" t="s">
        <v>314</v>
      </c>
      <c r="S28" s="64" t="n">
        <v>103649</v>
      </c>
      <c r="T28" s="60" t="s">
        <v>180</v>
      </c>
      <c r="U28" s="65" t="n">
        <f aca="false">IF(AND(T28="",S28=""),"",IF(T28="",1,IFERROR(INDEX(Settings!$B$12:$B$16,MATCH(T28,Settings!$A$12:$A$16,0)),1)))</f>
        <v>1</v>
      </c>
      <c r="V28" s="64" t="n">
        <v>95683.92</v>
      </c>
      <c r="W28" s="66" t="n">
        <f aca="false">IF(OR(Q28="",S28=""),"",Q28*S28*U28)</f>
        <v>725543</v>
      </c>
      <c r="X28" s="65" t="n">
        <f aca="false">IF(OR(W28="",N(Q28)=0),"",W28/Q28)</f>
        <v>103649</v>
      </c>
      <c r="Y28" s="65" t="str">
        <f aca="false">IF(OR(X28="",P28="",E28=""),"",IF(_xlfn.MAXIFS($P$6:$P$205,$E$6:$E$205,E28,$P$6:$P$205,"&lt;"&amp;P28,$X$6:$X$205,"&gt;0")=0,"",IFERROR(AVERAGEIFS($X$6:$X$205,$E$6:$E$205,E28,$P$6:$P$205,_xlfn.MAXIFS($P$6:$P$205,$E$6:$E$205,E28,$P$6:$P$205,"&lt;"&amp;P28,$X$6:$X$205,"&gt;0"),$X$6:$X$205,"&gt;0"),"")))</f>
        <v/>
      </c>
      <c r="Z28" s="67" t="str">
        <f aca="false">IF(OR(Y28="",X28=""),"",X28/Y28-1)</f>
        <v/>
      </c>
      <c r="AA28" s="68" t="n">
        <f aca="false">IF(OR(W28="",V28=""),"",W28-Q28*V28)</f>
        <v>55755.5600000001</v>
      </c>
      <c r="AB28" s="69" t="n">
        <f aca="false">IF(AA28="","",IF(N(V28)*N(Q28)=0,"",AA28/(Q28*V28)))</f>
        <v>0.0832436630940707</v>
      </c>
      <c r="AC28" s="70" t="n">
        <v>0.05</v>
      </c>
      <c r="AD28" s="66" t="n">
        <f aca="false">IF(W28="","",W28*(1+N(AC28)))</f>
        <v>761820.15</v>
      </c>
      <c r="AE28" s="62" t="s">
        <v>315</v>
      </c>
      <c r="AF28" s="71" t="n">
        <v>380910.08</v>
      </c>
      <c r="AG28" s="71"/>
      <c r="AH28" s="71"/>
      <c r="AI28" s="66" t="n">
        <f aca="false">IF(A28="","",N(AF28)+N(AG28)+N(AH28))</f>
        <v>380910.08</v>
      </c>
      <c r="AJ28" s="72" t="n">
        <f aca="false">IF(AD28="","",IF(N(AD28)=0,"",AI28/AD28))</f>
        <v>0.500000006563229</v>
      </c>
      <c r="AK28" s="66" t="n">
        <f aca="false">IF(AD28="","",IF(AD28-AI28&lt;1,0,ROUND(AD28-AI28,2)))</f>
        <v>380910.07</v>
      </c>
      <c r="AL28" s="66" t="n">
        <f aca="false">IF(OR(O28="",AD28=""),"",MAX(0,ROUND(N(AI28)-(AD28-N(AW28)),0)))</f>
        <v>0</v>
      </c>
      <c r="AM28" s="73" t="str">
        <f aca="false">IF(A28="","",IF(O28="","No PO Yet",IF(AI28=0,"Not Paid",IF(N(AJ28)&gt;=0.999,"Fully Paid",IF(N(AG28)+N(AH28)&gt;0,"Partially Paid","Initial / Advance Paid")))))</f>
        <v>Initial / Advance Paid</v>
      </c>
      <c r="AN28" s="61" t="n">
        <v>46253</v>
      </c>
      <c r="AO28" s="61" t="n">
        <v>46291</v>
      </c>
      <c r="AP28" s="74" t="n">
        <f aca="false">IF(AK28="","",IF(OR(N(AK28)=0,AO28=""),"",MAX(0,Settings!$B$4-AO28)))</f>
        <v>19</v>
      </c>
      <c r="AQ28" s="73" t="str">
        <f aca="false">IF(AK28="","",IF(N(AK28)&lt;=0,"",IF(AO28="","No Due Date",IF(Settings!$B$4&lt;=AO28,"Not Yet Due",IF(Settings!$B$4-AO28&lt;=30,"1-30 Days",IF(Settings!$B$4-AO28&lt;=60,"31-60 Days",IF(Settings!$B$4-AO28&lt;=90,"61-90 Days","90+ Days")))))))</f>
        <v>1-30 Days</v>
      </c>
      <c r="AR28" s="61" t="n">
        <v>46263</v>
      </c>
      <c r="AS28" s="61" t="n">
        <v>46261</v>
      </c>
      <c r="AT28" s="63" t="n">
        <v>7</v>
      </c>
      <c r="AU28" s="72" t="n">
        <f aca="false">IF(Q28="","",IF(N(Q28)=0,"",N(AT28)/Q28))</f>
        <v>1</v>
      </c>
      <c r="AV28" s="75" t="n">
        <f aca="false">IF(OR(A28="",O28="",Q28=""),"",MAX(0,Q28-N(AT28)))</f>
        <v>0</v>
      </c>
      <c r="AW28" s="66" t="n">
        <f aca="false">IF(OR(AV28="",W28=""),"",IF(N(Q28)=0,0,AV28/Q28*AD28))</f>
        <v>0</v>
      </c>
      <c r="AX28" s="76" t="str">
        <f aca="false">IF(A28="","",IF(O28="","No PO Yet",IF(Q28="","Order Qty Missing",IF(N(AT28)&gt;=Q28,IF(N(AT28)&gt;Q28,"All In-house (+"&amp;TEXT(N(AT28)-Q28,"#,##0")&amp;" "&amp;R28&amp;" excess)","All In-house"),IF(AY28&lt;&gt;"","Short Closed - "&amp;TEXT(AV28,"#,##0")&amp;" "&amp;R28&amp;" not received",IF(N(AT28)=0,"Not Started - "&amp;TEXT(AV28,"#,##0")&amp;" "&amp;R28&amp;" pending","Pending "&amp;TEXT(AV28,"#,##0")&amp;" "&amp;R28&amp;" ("&amp;TEXT(AU28,"0%")&amp;" received)"))))))</f>
        <v>All In-house</v>
      </c>
      <c r="AY28" s="61" t="n">
        <v>46261</v>
      </c>
      <c r="AZ28" s="77" t="n">
        <f aca="false">IF(OR(B28="",J28=""),"",J28-B28)</f>
        <v>5</v>
      </c>
      <c r="BA28" s="77" t="n">
        <f aca="false">IF(OR(J28="",P28=""),"",P28-J28)</f>
        <v>2</v>
      </c>
      <c r="BB28" s="77" t="n">
        <f aca="false">IF(OR(P28="",AY28=""),"",AY28-P28)</f>
        <v>11</v>
      </c>
      <c r="BC28" s="77" t="n">
        <f aca="false">IF(OR(B28="",AY28=""),"",AY28-B28)</f>
        <v>18</v>
      </c>
      <c r="BD28" s="74" t="n">
        <f aca="false">IF(OR(AR28="",O28=""),"",MAX(0,IF(AY28="",Settings!$B$4,AY28)-AR28))</f>
        <v>0</v>
      </c>
      <c r="BE28" s="73" t="str">
        <f aca="false">IF(OR(AY28="",AR28=""),"",IF(AND(AY28&lt;=AR28,N(AU28)&gt;=Settings!$B$6),"OTIF","Not OTIF"))</f>
        <v>OTIF</v>
      </c>
      <c r="BF28" s="60" t="s">
        <v>159</v>
      </c>
      <c r="BG28" s="62"/>
      <c r="BH28" s="78"/>
      <c r="BI28" s="76" t="str">
        <f aca="false">IF(A28="","",IF(K28="Rejected","Rejected",IF(K28&lt;&gt;"Approved","Awaiting Approval",IF(O28="","Approved - PO Pending",IF(AY28&lt;&gt;"",IF(N(AJ28)&gt;=0.999,"Closed","In-house Closed - Payment Due"),IF(AS28&lt;&gt;"","Receiving In-house","PO Issued - Awaiting Delivery"))))))</f>
        <v>In-house Closed - Payment Due</v>
      </c>
      <c r="BJ28" s="76" t="str">
        <f aca="false">IF(A28="","",IF(IF(AND(A28&lt;&gt;"",OR(B28="",C28="",E28="",F28="",H28="")),"PR info missing; ","")&amp;IF(AND(K28="Approved",OR(J28="",I28="")),"Approval ref/date missing; ","")&amp;IF(AND(O28&lt;&gt;"",K28&lt;&gt;"Approved"),"PO without approval; ","")&amp;IF(AND(O28&lt;&gt;"",OR(P28="",M28="",Q28="",S28="",T28="")),"PO details missing; ","")&amp;IF(AND(O28&lt;&gt;"",AR28=""),"Committed date missing; ","")&amp;IF(AND(ISNUMBER(J28),ISNUMBER(B28),N(J28)&lt;N(B28)),"Approval dated before PR; ","")&amp;IF(AND(ISNUMBER(P28),ISNUMBER(J28),N(P28)&lt;N(J28)),"PO dated before approval; ","")&amp;IF(AND(ISNUMBER(AY28),ISNUMBER(AS28),N(AY28)&lt;N(AS28)),"Close before in-house start; ","")&amp;IF(AND(AY28&lt;&gt;"",AS28=""),"In-house start date missing; ","")&amp;IF(AND(AY28&lt;&gt;"",AT28=""),"Qty received missing; ","")&amp;IF(AND(AY28&lt;&gt;"",BF28=""),"QC status missing; ","")&amp;IF(N(AT28)&gt;N(Q28)*1.05,"Received &gt; ordered +5%; ","")&amp;IF(AND(N(AI28)&gt;0,AE28=""),"Payment terms missing; ","")&amp;IF(N(AI28)&gt;N(AD28)+1,"Overpaid vs PO; ","")&amp;IF(AND(N(AK28)&gt;0,AY28&lt;&gt;"",AO28=""),"Payment due date missing; ","")="","OK",IF(AND(A28&lt;&gt;"",OR(B28="",C28="",E28="",F28="",H28="")),"PR info missing; ","")&amp;IF(AND(K28="Approved",OR(J28="",I28="")),"Approval ref/date missing; ","")&amp;IF(AND(O28&lt;&gt;"",K28&lt;&gt;"Approved"),"PO without approval; ","")&amp;IF(AND(O28&lt;&gt;"",OR(P28="",M28="",Q28="",S28="",T28="")),"PO details missing; ","")&amp;IF(AND(O28&lt;&gt;"",AR28=""),"Committed date missing; ","")&amp;IF(AND(ISNUMBER(J28),ISNUMBER(B28),N(J28)&lt;N(B28)),"Approval dated before PR; ","")&amp;IF(AND(ISNUMBER(P28),ISNUMBER(J28),N(P28)&lt;N(J28)),"PO dated before approval; ","")&amp;IF(AND(ISNUMBER(AY28),ISNUMBER(AS28),N(AY28)&lt;N(AS28)),"Close before in-house start; ","")&amp;IF(AND(AY28&lt;&gt;"",AS28=""),"In-house start date missing; ","")&amp;IF(AND(AY28&lt;&gt;"",AT28=""),"Qty received missing; ","")&amp;IF(AND(AY28&lt;&gt;"",BF28=""),"QC status missing; ","")&amp;IF(N(AT28)&gt;N(Q28)*1.05,"Received &gt; ordered +5%; ","")&amp;IF(AND(N(AI28)&gt;0,AE28=""),"Payment terms missing; ","")&amp;IF(N(AI28)&gt;N(AD28)+1,"Overpaid vs PO; ","")&amp;IF(AND(N(AK28)&gt;0,AY28&lt;&gt;"",AO28=""),"Payment due date missing; ","")))</f>
        <v>OK</v>
      </c>
      <c r="BK28" s="76" t="str">
        <f aca="false">IF(A28="","",IF(N(AP28)&gt;0,"Pay supplier: "&amp;N(AP28)&amp;" days overdue; ","")&amp;IF(AND(O28&lt;&gt;"",AY28="",N(BD28)&gt;0),"Expedite delivery: "&amp;N(BD28)&amp;" days late; ","")&amp;IF(AND(BI28="Awaiting Approval",ISNUMBER(B28),Settings!$B$4-N(B28)&gt;Settings!$B$19),"Get approval: PR waiting "&amp;(Settings!$B$4-N(B28))&amp;" days; ","")&amp;IF(AND(BI28="Approved - PO Pending",ISNUMBER(J28),Settings!$B$4-N(J28)&gt;Settings!$B$20),"Issue PO: approved "&amp;(Settings!$B$4-N(J28))&amp;" days ago; ","")&amp;IF(AND(OR(BI28="Awaiting Approval",BI28="Approved - PO Pending"),N(AB28)&gt;Settings!$B$7),"Negotiate price: "&amp;TEXT(AB28,"0%")&amp;" above budget; ","")&amp;IF(LEFT(AX28,12)="Short Closed","Short closed: claim balance / credit note"&amp;IF(N(AL28)&gt;0," BDT "&amp;TEXT(AL28,"#,##0"),"")&amp;"; ","")&amp;IF(BF28="Rejected","QC rejected: return / replace; ","")&amp;IF(AND(O28&lt;&gt;"",AY28="",N(AL28)&gt;0,N(BD28)&gt;0),"Advance at risk: BDT "&amp;TEXT(AL28,"#,##0")&amp;" paid, goods late; ","")&amp;IF(AND(BJ28&lt;&gt;"",BJ28&lt;&gt;"OK"),"Fix data entry (see Data Check); ",""))</f>
        <v>Pay supplier: 19 days overdue; </v>
      </c>
      <c r="BL28" s="73" t="str">
        <f aca="false">IF(BK28="","",IF(OR(N(AP28)&gt;30,AND(AY28="",N(BD28)&gt;15),BF28="Rejected",AND(LEFT(AX28,12)="Short Closed",N(AL28)&gt;0),AND(O28&lt;&gt;"",AY28="",N(AL28)&gt;0,N(BD28)&gt;0)),"High",IF(OR(N(AP28)&gt;0,AND(AY28="",N(BD28)&gt;7),LEFT(AX28,12)="Short Closed",AND(BI28="Awaiting Approval",ISNUMBER(B28),Settings!$B$4-N(B28)&gt;2*Settings!$B$19),AND(BI28="Approved - PO Pending",ISNUMBER(J28),Settings!$B$4-N(J28)&gt;2*Settings!$B$20)),"Medium","Low")))</f>
        <v>Medium</v>
      </c>
      <c r="BM28" s="77" t="n">
        <f aca="false">IF(BL28="","",IF(BL28="High",1,IF(BL28="Medium",2,3))*10000+ROW())</f>
        <v>20028</v>
      </c>
      <c r="BN28" s="62" t="s">
        <v>205</v>
      </c>
    </row>
    <row r="29" customFormat="false" ht="18" hidden="false" customHeight="true" outlineLevel="0" collapsed="false">
      <c r="A29" s="60" t="s">
        <v>340</v>
      </c>
      <c r="B29" s="61" t="n">
        <v>46245</v>
      </c>
      <c r="C29" s="62" t="s">
        <v>153</v>
      </c>
      <c r="D29" s="62" t="s">
        <v>154</v>
      </c>
      <c r="E29" s="62" t="s">
        <v>176</v>
      </c>
      <c r="F29" s="62" t="s">
        <v>156</v>
      </c>
      <c r="G29" s="62" t="s">
        <v>177</v>
      </c>
      <c r="H29" s="60" t="s">
        <v>43</v>
      </c>
      <c r="I29" s="60" t="s">
        <v>341</v>
      </c>
      <c r="J29" s="61" t="n">
        <v>46247</v>
      </c>
      <c r="K29" s="60" t="s">
        <v>159</v>
      </c>
      <c r="L29" s="60" t="s">
        <v>160</v>
      </c>
      <c r="M29" s="62" t="s">
        <v>161</v>
      </c>
      <c r="N29" s="60" t="s">
        <v>162</v>
      </c>
      <c r="O29" s="60" t="s">
        <v>342</v>
      </c>
      <c r="P29" s="61" t="n">
        <v>46251</v>
      </c>
      <c r="Q29" s="63" t="n">
        <v>11300</v>
      </c>
      <c r="R29" s="60" t="s">
        <v>164</v>
      </c>
      <c r="S29" s="64" t="n">
        <v>98.03</v>
      </c>
      <c r="T29" s="60" t="s">
        <v>180</v>
      </c>
      <c r="U29" s="65" t="n">
        <f aca="false">IF(AND(T29="",S29=""),"",IF(T29="",1,IFERROR(INDEX(Settings!$B$12:$B$16,MATCH(T29,Settings!$A$12:$A$16,0)),1)))</f>
        <v>1</v>
      </c>
      <c r="V29" s="64" t="n">
        <v>95.03</v>
      </c>
      <c r="W29" s="66" t="n">
        <f aca="false">IF(OR(Q29="",S29=""),"",Q29*S29*U29)</f>
        <v>1107739</v>
      </c>
      <c r="X29" s="65" t="n">
        <f aca="false">IF(OR(W29="",N(Q29)=0),"",W29/Q29)</f>
        <v>98.03</v>
      </c>
      <c r="Y29" s="65" t="n">
        <f aca="false">IF(OR(X29="",P29="",E29=""),"",IF(_xlfn.MAXIFS($P$6:$P$205,$E$6:$E$205,E29,$P$6:$P$205,"&lt;"&amp;P29,$X$6:$X$205,"&gt;0")=0,"",IFERROR(AVERAGEIFS($X$6:$X$205,$E$6:$E$205,E29,$P$6:$P$205,_xlfn.MAXIFS($P$6:$P$205,$E$6:$E$205,E29,$P$6:$P$205,"&lt;"&amp;P29,$X$6:$X$205,"&gt;0"),$X$6:$X$205,"&gt;0"),"")))</f>
        <v>97</v>
      </c>
      <c r="Z29" s="67" t="n">
        <f aca="false">IF(OR(Y29="",X29=""),"",X29/Y29-1)</f>
        <v>0.0106185567010308</v>
      </c>
      <c r="AA29" s="68" t="n">
        <f aca="false">IF(OR(W29="",V29=""),"",W29-Q29*V29)</f>
        <v>33900</v>
      </c>
      <c r="AB29" s="69" t="n">
        <f aca="false">IF(AA29="","",IF(N(V29)*N(Q29)=0,"",AA29/(Q29*V29)))</f>
        <v>0.031568978217405</v>
      </c>
      <c r="AC29" s="70" t="n">
        <v>0.05</v>
      </c>
      <c r="AD29" s="66" t="n">
        <f aca="false">IF(W29="","",W29*(1+N(AC29)))</f>
        <v>1163125.95</v>
      </c>
      <c r="AE29" s="62" t="s">
        <v>166</v>
      </c>
      <c r="AF29" s="71" t="n">
        <v>348937.78</v>
      </c>
      <c r="AG29" s="71"/>
      <c r="AH29" s="71"/>
      <c r="AI29" s="66" t="n">
        <f aca="false">IF(A29="","",N(AF29)+N(AG29)+N(AH29))</f>
        <v>348937.78</v>
      </c>
      <c r="AJ29" s="72" t="n">
        <f aca="false">IF(AD29="","",IF(N(AD29)=0,"",AI29/AD29))</f>
        <v>0.299999995701239</v>
      </c>
      <c r="AK29" s="66" t="n">
        <f aca="false">IF(AD29="","",IF(AD29-AI29&lt;1,0,ROUND(AD29-AI29,2)))</f>
        <v>814188.17</v>
      </c>
      <c r="AL29" s="66" t="n">
        <f aca="false">IF(OR(O29="",AD29=""),"",MAX(0,ROUND(N(AI29)-(AD29-N(AW29)),0)))</f>
        <v>0</v>
      </c>
      <c r="AM29" s="73" t="str">
        <f aca="false">IF(A29="","",IF(O29="","No PO Yet",IF(AI29=0,"Not Paid",IF(N(AJ29)&gt;=0.999,"Fully Paid",IF(N(AG29)+N(AH29)&gt;0,"Partially Paid","Initial / Advance Paid")))))</f>
        <v>Initial / Advance Paid</v>
      </c>
      <c r="AN29" s="61" t="n">
        <v>46253</v>
      </c>
      <c r="AO29" s="61" t="n">
        <v>46288</v>
      </c>
      <c r="AP29" s="74" t="n">
        <f aca="false">IF(AK29="","",IF(OR(N(AK29)=0,AO29=""),"",MAX(0,Settings!$B$4-AO29)))</f>
        <v>22</v>
      </c>
      <c r="AQ29" s="73" t="str">
        <f aca="false">IF(AK29="","",IF(N(AK29)&lt;=0,"",IF(AO29="","No Due Date",IF(Settings!$B$4&lt;=AO29,"Not Yet Due",IF(Settings!$B$4-AO29&lt;=30,"1-30 Days",IF(Settings!$B$4-AO29&lt;=60,"31-60 Days",IF(Settings!$B$4-AO29&lt;=90,"61-90 Days","90+ Days")))))))</f>
        <v>1-30 Days</v>
      </c>
      <c r="AR29" s="61" t="n">
        <v>46269</v>
      </c>
      <c r="AS29" s="61" t="n">
        <v>46272</v>
      </c>
      <c r="AT29" s="63" t="n">
        <v>11300</v>
      </c>
      <c r="AU29" s="72" t="n">
        <f aca="false">IF(Q29="","",IF(N(Q29)=0,"",N(AT29)/Q29))</f>
        <v>1</v>
      </c>
      <c r="AV29" s="75" t="n">
        <f aca="false">IF(OR(A29="",O29="",Q29=""),"",MAX(0,Q29-N(AT29)))</f>
        <v>0</v>
      </c>
      <c r="AW29" s="66" t="n">
        <f aca="false">IF(OR(AV29="",W29=""),"",IF(N(Q29)=0,0,AV29/Q29*AD29))</f>
        <v>0</v>
      </c>
      <c r="AX29" s="76" t="str">
        <f aca="false">IF(A29="","",IF(O29="","No PO Yet",IF(Q29="","Order Qty Missing",IF(N(AT29)&gt;=Q29,IF(N(AT29)&gt;Q29,"All In-house (+"&amp;TEXT(N(AT29)-Q29,"#,##0")&amp;" "&amp;R29&amp;" excess)","All In-house"),IF(AY29&lt;&gt;"","Short Closed - "&amp;TEXT(AV29,"#,##0")&amp;" "&amp;R29&amp;" not received",IF(N(AT29)=0,"Not Started - "&amp;TEXT(AV29,"#,##0")&amp;" "&amp;R29&amp;" pending","Pending "&amp;TEXT(AV29,"#,##0")&amp;" "&amp;R29&amp;" ("&amp;TEXT(AU29,"0%")&amp;" received)"))))))</f>
        <v>All In-house</v>
      </c>
      <c r="AY29" s="61" t="n">
        <v>46273</v>
      </c>
      <c r="AZ29" s="77" t="n">
        <f aca="false">IF(OR(B29="",J29=""),"",J29-B29)</f>
        <v>2</v>
      </c>
      <c r="BA29" s="77" t="n">
        <f aca="false">IF(OR(J29="",P29=""),"",P29-J29)</f>
        <v>4</v>
      </c>
      <c r="BB29" s="77" t="n">
        <f aca="false">IF(OR(P29="",AY29=""),"",AY29-P29)</f>
        <v>22</v>
      </c>
      <c r="BC29" s="77" t="n">
        <f aca="false">IF(OR(B29="",AY29=""),"",AY29-B29)</f>
        <v>28</v>
      </c>
      <c r="BD29" s="74" t="n">
        <f aca="false">IF(OR(AR29="",O29=""),"",MAX(0,IF(AY29="",Settings!$B$4,AY29)-AR29))</f>
        <v>4</v>
      </c>
      <c r="BE29" s="73" t="str">
        <f aca="false">IF(OR(AY29="",AR29=""),"",IF(AND(AY29&lt;=AR29,N(AU29)&gt;=Settings!$B$6),"OTIF","Not OTIF"))</f>
        <v>Not OTIF</v>
      </c>
      <c r="BF29" s="60" t="s">
        <v>61</v>
      </c>
      <c r="BG29" s="62"/>
      <c r="BH29" s="78"/>
      <c r="BI29" s="76" t="str">
        <f aca="false">IF(A29="","",IF(K29="Rejected","Rejected",IF(K29&lt;&gt;"Approved","Awaiting Approval",IF(O29="","Approved - PO Pending",IF(AY29&lt;&gt;"",IF(N(AJ29)&gt;=0.999,"Closed","In-house Closed - Payment Due"),IF(AS29&lt;&gt;"","Receiving In-house","PO Issued - Awaiting Delivery"))))))</f>
        <v>In-house Closed - Payment Due</v>
      </c>
      <c r="BJ29" s="76" t="str">
        <f aca="false">IF(A29="","",IF(IF(AND(A29&lt;&gt;"",OR(B29="",C29="",E29="",F29="",H29="")),"PR info missing; ","")&amp;IF(AND(K29="Approved",OR(J29="",I29="")),"Approval ref/date missing; ","")&amp;IF(AND(O29&lt;&gt;"",K29&lt;&gt;"Approved"),"PO without approval; ","")&amp;IF(AND(O29&lt;&gt;"",OR(P29="",M29="",Q29="",S29="",T29="")),"PO details missing; ","")&amp;IF(AND(O29&lt;&gt;"",AR29=""),"Committed date missing; ","")&amp;IF(AND(ISNUMBER(J29),ISNUMBER(B29),N(J29)&lt;N(B29)),"Approval dated before PR; ","")&amp;IF(AND(ISNUMBER(P29),ISNUMBER(J29),N(P29)&lt;N(J29)),"PO dated before approval; ","")&amp;IF(AND(ISNUMBER(AY29),ISNUMBER(AS29),N(AY29)&lt;N(AS29)),"Close before in-house start; ","")&amp;IF(AND(AY29&lt;&gt;"",AS29=""),"In-house start date missing; ","")&amp;IF(AND(AY29&lt;&gt;"",AT29=""),"Qty received missing; ","")&amp;IF(AND(AY29&lt;&gt;"",BF29=""),"QC status missing; ","")&amp;IF(N(AT29)&gt;N(Q29)*1.05,"Received &gt; ordered +5%; ","")&amp;IF(AND(N(AI29)&gt;0,AE29=""),"Payment terms missing; ","")&amp;IF(N(AI29)&gt;N(AD29)+1,"Overpaid vs PO; ","")&amp;IF(AND(N(AK29)&gt;0,AY29&lt;&gt;"",AO29=""),"Payment due date missing; ","")="","OK",IF(AND(A29&lt;&gt;"",OR(B29="",C29="",E29="",F29="",H29="")),"PR info missing; ","")&amp;IF(AND(K29="Approved",OR(J29="",I29="")),"Approval ref/date missing; ","")&amp;IF(AND(O29&lt;&gt;"",K29&lt;&gt;"Approved"),"PO without approval; ","")&amp;IF(AND(O29&lt;&gt;"",OR(P29="",M29="",Q29="",S29="",T29="")),"PO details missing; ","")&amp;IF(AND(O29&lt;&gt;"",AR29=""),"Committed date missing; ","")&amp;IF(AND(ISNUMBER(J29),ISNUMBER(B29),N(J29)&lt;N(B29)),"Approval dated before PR; ","")&amp;IF(AND(ISNUMBER(P29),ISNUMBER(J29),N(P29)&lt;N(J29)),"PO dated before approval; ","")&amp;IF(AND(ISNUMBER(AY29),ISNUMBER(AS29),N(AY29)&lt;N(AS29)),"Close before in-house start; ","")&amp;IF(AND(AY29&lt;&gt;"",AS29=""),"In-house start date missing; ","")&amp;IF(AND(AY29&lt;&gt;"",AT29=""),"Qty received missing; ","")&amp;IF(AND(AY29&lt;&gt;"",BF29=""),"QC status missing; ","")&amp;IF(N(AT29)&gt;N(Q29)*1.05,"Received &gt; ordered +5%; ","")&amp;IF(AND(N(AI29)&gt;0,AE29=""),"Payment terms missing; ","")&amp;IF(N(AI29)&gt;N(AD29)+1,"Overpaid vs PO; ","")&amp;IF(AND(N(AK29)&gt;0,AY29&lt;&gt;"",AO29=""),"Payment due date missing; ","")))</f>
        <v>OK</v>
      </c>
      <c r="BK29" s="76" t="str">
        <f aca="false">IF(A29="","",IF(N(AP29)&gt;0,"Pay supplier: "&amp;N(AP29)&amp;" days overdue; ","")&amp;IF(AND(O29&lt;&gt;"",AY29="",N(BD29)&gt;0),"Expedite delivery: "&amp;N(BD29)&amp;" days late; ","")&amp;IF(AND(BI29="Awaiting Approval",ISNUMBER(B29),Settings!$B$4-N(B29)&gt;Settings!$B$19),"Get approval: PR waiting "&amp;(Settings!$B$4-N(B29))&amp;" days; ","")&amp;IF(AND(BI29="Approved - PO Pending",ISNUMBER(J29),Settings!$B$4-N(J29)&gt;Settings!$B$20),"Issue PO: approved "&amp;(Settings!$B$4-N(J29))&amp;" days ago; ","")&amp;IF(AND(OR(BI29="Awaiting Approval",BI29="Approved - PO Pending"),N(AB29)&gt;Settings!$B$7),"Negotiate price: "&amp;TEXT(AB29,"0%")&amp;" above budget; ","")&amp;IF(LEFT(AX29,12)="Short Closed","Short closed: claim balance / credit note"&amp;IF(N(AL29)&gt;0," BDT "&amp;TEXT(AL29,"#,##0"),"")&amp;"; ","")&amp;IF(BF29="Rejected","QC rejected: return / replace; ","")&amp;IF(AND(O29&lt;&gt;"",AY29="",N(AL29)&gt;0,N(BD29)&gt;0),"Advance at risk: BDT "&amp;TEXT(AL29,"#,##0")&amp;" paid, goods late; ","")&amp;IF(AND(BJ29&lt;&gt;"",BJ29&lt;&gt;"OK"),"Fix data entry (see Data Check); ",""))</f>
        <v>Pay supplier: 22 days overdue; QC rejected: return / replace; </v>
      </c>
      <c r="BL29" s="73" t="str">
        <f aca="false">IF(BK29="","",IF(OR(N(AP29)&gt;30,AND(AY29="",N(BD29)&gt;15),BF29="Rejected",AND(LEFT(AX29,12)="Short Closed",N(AL29)&gt;0),AND(O29&lt;&gt;"",AY29="",N(AL29)&gt;0,N(BD29)&gt;0)),"High",IF(OR(N(AP29)&gt;0,AND(AY29="",N(BD29)&gt;7),LEFT(AX29,12)="Short Closed",AND(BI29="Awaiting Approval",ISNUMBER(B29),Settings!$B$4-N(B29)&gt;2*Settings!$B$19),AND(BI29="Approved - PO Pending",ISNUMBER(J29),Settings!$B$4-N(J29)&gt;2*Settings!$B$20)),"Medium","Low")))</f>
        <v>High</v>
      </c>
      <c r="BM29" s="77" t="n">
        <f aca="false">IF(BL29="","",IF(BL29="High",1,IF(BL29="Medium",2,3))*10000+ROW())</f>
        <v>10029</v>
      </c>
      <c r="BN29" s="62"/>
    </row>
    <row r="30" customFormat="false" ht="18" hidden="false" customHeight="true" outlineLevel="0" collapsed="false">
      <c r="A30" s="60" t="s">
        <v>343</v>
      </c>
      <c r="B30" s="61" t="n">
        <v>46247</v>
      </c>
      <c r="C30" s="62" t="s">
        <v>298</v>
      </c>
      <c r="D30" s="62" t="s">
        <v>299</v>
      </c>
      <c r="E30" s="62" t="s">
        <v>300</v>
      </c>
      <c r="F30" s="62" t="s">
        <v>301</v>
      </c>
      <c r="G30" s="62" t="s">
        <v>302</v>
      </c>
      <c r="H30" s="60" t="s">
        <v>43</v>
      </c>
      <c r="I30" s="60" t="s">
        <v>344</v>
      </c>
      <c r="J30" s="61" t="n">
        <v>46251</v>
      </c>
      <c r="K30" s="60" t="s">
        <v>159</v>
      </c>
      <c r="L30" s="60" t="s">
        <v>160</v>
      </c>
      <c r="M30" s="62" t="s">
        <v>294</v>
      </c>
      <c r="N30" s="60" t="s">
        <v>162</v>
      </c>
      <c r="O30" s="60" t="s">
        <v>345</v>
      </c>
      <c r="P30" s="61" t="n">
        <v>46252</v>
      </c>
      <c r="Q30" s="63" t="n">
        <v>200</v>
      </c>
      <c r="R30" s="60" t="s">
        <v>296</v>
      </c>
      <c r="S30" s="64" t="n">
        <v>913</v>
      </c>
      <c r="T30" s="60" t="s">
        <v>180</v>
      </c>
      <c r="U30" s="65" t="n">
        <f aca="false">IF(AND(T30="",S30=""),"",IF(T30="",1,IFERROR(INDEX(Settings!$B$12:$B$16,MATCH(T30,Settings!$A$12:$A$16,0)),1)))</f>
        <v>1</v>
      </c>
      <c r="V30" s="64" t="n">
        <v>928.43</v>
      </c>
      <c r="W30" s="66" t="n">
        <f aca="false">IF(OR(Q30="",S30=""),"",Q30*S30*U30)</f>
        <v>182600</v>
      </c>
      <c r="X30" s="65" t="n">
        <f aca="false">IF(OR(W30="",N(Q30)=0),"",W30/Q30)</f>
        <v>913</v>
      </c>
      <c r="Y30" s="65" t="n">
        <f aca="false">IF(OR(X30="",P30="",E30=""),"",IF(_xlfn.MAXIFS($P$6:$P$205,$E$6:$E$205,E30,$P$6:$P$205,"&lt;"&amp;P30,$X$6:$X$205,"&gt;0")=0,"",IFERROR(AVERAGEIFS($X$6:$X$205,$E$6:$E$205,E30,$P$6:$P$205,_xlfn.MAXIFS($P$6:$P$205,$E$6:$E$205,E30,$P$6:$P$205,"&lt;"&amp;P30,$X$6:$X$205,"&gt;0"),$X$6:$X$205,"&gt;0"),"")))</f>
        <v>999</v>
      </c>
      <c r="Z30" s="67" t="n">
        <f aca="false">IF(OR(Y30="",X30=""),"",X30/Y30-1)</f>
        <v>-0.086086086086086</v>
      </c>
      <c r="AA30" s="68" t="n">
        <f aca="false">IF(OR(W30="",V30=""),"",W30-Q30*V30)</f>
        <v>-3086</v>
      </c>
      <c r="AB30" s="69" t="n">
        <f aca="false">IF(AA30="","",IF(N(V30)*N(Q30)=0,"",AA30/(Q30*V30)))</f>
        <v>-0.0166194543476622</v>
      </c>
      <c r="AC30" s="70" t="n">
        <v>0.075</v>
      </c>
      <c r="AD30" s="66" t="n">
        <f aca="false">IF(W30="","",W30*(1+N(AC30)))</f>
        <v>196295</v>
      </c>
      <c r="AE30" s="62" t="s">
        <v>181</v>
      </c>
      <c r="AF30" s="71"/>
      <c r="AG30" s="71"/>
      <c r="AH30" s="71" t="n">
        <v>196295</v>
      </c>
      <c r="AI30" s="66" t="n">
        <f aca="false">IF(A30="","",N(AF30)+N(AG30)+N(AH30))</f>
        <v>196295</v>
      </c>
      <c r="AJ30" s="72" t="n">
        <f aca="false">IF(AD30="","",IF(N(AD30)=0,"",AI30/AD30))</f>
        <v>1</v>
      </c>
      <c r="AK30" s="66" t="n">
        <f aca="false">IF(AD30="","",IF(AD30-AI30&lt;1,0,ROUND(AD30-AI30,2)))</f>
        <v>0</v>
      </c>
      <c r="AL30" s="66" t="n">
        <f aca="false">IF(OR(O30="",AD30=""),"",MAX(0,ROUND(N(AI30)-(AD30-N(AW30)),0)))</f>
        <v>0</v>
      </c>
      <c r="AM30" s="73" t="str">
        <f aca="false">IF(A30="","",IF(O30="","No PO Yet",IF(AI30=0,"Not Paid",IF(N(AJ30)&gt;=0.999,"Fully Paid",IF(N(AG30)+N(AH30)&gt;0,"Partially Paid","Initial / Advance Paid")))))</f>
        <v>Fully Paid</v>
      </c>
      <c r="AN30" s="61" t="n">
        <v>46302</v>
      </c>
      <c r="AO30" s="61"/>
      <c r="AP30" s="74" t="str">
        <f aca="false">IF(AK30="","",IF(OR(N(AK30)=0,AO30=""),"",MAX(0,Settings!$B$4-AO30)))</f>
        <v/>
      </c>
      <c r="AQ30" s="73" t="str">
        <f aca="false">IF(AK30="","",IF(N(AK30)&lt;=0,"",IF(AO30="","No Due Date",IF(Settings!$B$4&lt;=AO30,"Not Yet Due",IF(Settings!$B$4-AO30&lt;=30,"1-30 Days",IF(Settings!$B$4-AO30&lt;=60,"31-60 Days",IF(Settings!$B$4-AO30&lt;=90,"61-90 Days","90+ Days")))))))</f>
        <v/>
      </c>
      <c r="AR30" s="61" t="n">
        <v>46272</v>
      </c>
      <c r="AS30" s="61" t="n">
        <v>46272</v>
      </c>
      <c r="AT30" s="63" t="n">
        <v>200</v>
      </c>
      <c r="AU30" s="72" t="n">
        <f aca="false">IF(Q30="","",IF(N(Q30)=0,"",N(AT30)/Q30))</f>
        <v>1</v>
      </c>
      <c r="AV30" s="75" t="n">
        <f aca="false">IF(OR(A30="",O30="",Q30=""),"",MAX(0,Q30-N(AT30)))</f>
        <v>0</v>
      </c>
      <c r="AW30" s="66" t="n">
        <f aca="false">IF(OR(AV30="",W30=""),"",IF(N(Q30)=0,0,AV30/Q30*AD30))</f>
        <v>0</v>
      </c>
      <c r="AX30" s="76" t="str">
        <f aca="false">IF(A30="","",IF(O30="","No PO Yet",IF(Q30="","Order Qty Missing",IF(N(AT30)&gt;=Q30,IF(N(AT30)&gt;Q30,"All In-house (+"&amp;TEXT(N(AT30)-Q30,"#,##0")&amp;" "&amp;R30&amp;" excess)","All In-house"),IF(AY30&lt;&gt;"","Short Closed - "&amp;TEXT(AV30,"#,##0")&amp;" "&amp;R30&amp;" not received",IF(N(AT30)=0,"Not Started - "&amp;TEXT(AV30,"#,##0")&amp;" "&amp;R30&amp;" pending","Pending "&amp;TEXT(AV30,"#,##0")&amp;" "&amp;R30&amp;" ("&amp;TEXT(AU30,"0%")&amp;" received)"))))))</f>
        <v>All In-house</v>
      </c>
      <c r="AY30" s="61" t="n">
        <v>46272</v>
      </c>
      <c r="AZ30" s="77" t="n">
        <f aca="false">IF(OR(B30="",J30=""),"",J30-B30)</f>
        <v>4</v>
      </c>
      <c r="BA30" s="77" t="n">
        <f aca="false">IF(OR(J30="",P30=""),"",P30-J30)</f>
        <v>1</v>
      </c>
      <c r="BB30" s="77" t="n">
        <f aca="false">IF(OR(P30="",AY30=""),"",AY30-P30)</f>
        <v>20</v>
      </c>
      <c r="BC30" s="77" t="n">
        <f aca="false">IF(OR(B30="",AY30=""),"",AY30-B30)</f>
        <v>25</v>
      </c>
      <c r="BD30" s="74" t="n">
        <f aca="false">IF(OR(AR30="",O30=""),"",MAX(0,IF(AY30="",Settings!$B$4,AY30)-AR30))</f>
        <v>0</v>
      </c>
      <c r="BE30" s="73" t="str">
        <f aca="false">IF(OR(AY30="",AR30=""),"",IF(AND(AY30&lt;=AR30,N(AU30)&gt;=Settings!$B$6),"OTIF","Not OTIF"))</f>
        <v>OTIF</v>
      </c>
      <c r="BF30" s="60" t="s">
        <v>305</v>
      </c>
      <c r="BG30" s="62"/>
      <c r="BH30" s="78"/>
      <c r="BI30" s="76" t="str">
        <f aca="false">IF(A30="","",IF(K30="Rejected","Rejected",IF(K30&lt;&gt;"Approved","Awaiting Approval",IF(O30="","Approved - PO Pending",IF(AY30&lt;&gt;"",IF(N(AJ30)&gt;=0.999,"Closed","In-house Closed - Payment Due"),IF(AS30&lt;&gt;"","Receiving In-house","PO Issued - Awaiting Delivery"))))))</f>
        <v>Closed</v>
      </c>
      <c r="BJ30" s="76" t="str">
        <f aca="false">IF(A30="","",IF(IF(AND(A30&lt;&gt;"",OR(B30="",C30="",E30="",F30="",H30="")),"PR info missing; ","")&amp;IF(AND(K30="Approved",OR(J30="",I30="")),"Approval ref/date missing; ","")&amp;IF(AND(O30&lt;&gt;"",K30&lt;&gt;"Approved"),"PO without approval; ","")&amp;IF(AND(O30&lt;&gt;"",OR(P30="",M30="",Q30="",S30="",T30="")),"PO details missing; ","")&amp;IF(AND(O30&lt;&gt;"",AR30=""),"Committed date missing; ","")&amp;IF(AND(ISNUMBER(J30),ISNUMBER(B30),N(J30)&lt;N(B30)),"Approval dated before PR; ","")&amp;IF(AND(ISNUMBER(P30),ISNUMBER(J30),N(P30)&lt;N(J30)),"PO dated before approval; ","")&amp;IF(AND(ISNUMBER(AY30),ISNUMBER(AS30),N(AY30)&lt;N(AS30)),"Close before in-house start; ","")&amp;IF(AND(AY30&lt;&gt;"",AS30=""),"In-house start date missing; ","")&amp;IF(AND(AY30&lt;&gt;"",AT30=""),"Qty received missing; ","")&amp;IF(AND(AY30&lt;&gt;"",BF30=""),"QC status missing; ","")&amp;IF(N(AT30)&gt;N(Q30)*1.05,"Received &gt; ordered +5%; ","")&amp;IF(AND(N(AI30)&gt;0,AE30=""),"Payment terms missing; ","")&amp;IF(N(AI30)&gt;N(AD30)+1,"Overpaid vs PO; ","")&amp;IF(AND(N(AK30)&gt;0,AY30&lt;&gt;"",AO30=""),"Payment due date missing; ","")="","OK",IF(AND(A30&lt;&gt;"",OR(B30="",C30="",E30="",F30="",H30="")),"PR info missing; ","")&amp;IF(AND(K30="Approved",OR(J30="",I30="")),"Approval ref/date missing; ","")&amp;IF(AND(O30&lt;&gt;"",K30&lt;&gt;"Approved"),"PO without approval; ","")&amp;IF(AND(O30&lt;&gt;"",OR(P30="",M30="",Q30="",S30="",T30="")),"PO details missing; ","")&amp;IF(AND(O30&lt;&gt;"",AR30=""),"Committed date missing; ","")&amp;IF(AND(ISNUMBER(J30),ISNUMBER(B30),N(J30)&lt;N(B30)),"Approval dated before PR; ","")&amp;IF(AND(ISNUMBER(P30),ISNUMBER(J30),N(P30)&lt;N(J30)),"PO dated before approval; ","")&amp;IF(AND(ISNUMBER(AY30),ISNUMBER(AS30),N(AY30)&lt;N(AS30)),"Close before in-house start; ","")&amp;IF(AND(AY30&lt;&gt;"",AS30=""),"In-house start date missing; ","")&amp;IF(AND(AY30&lt;&gt;"",AT30=""),"Qty received missing; ","")&amp;IF(AND(AY30&lt;&gt;"",BF30=""),"QC status missing; ","")&amp;IF(N(AT30)&gt;N(Q30)*1.05,"Received &gt; ordered +5%; ","")&amp;IF(AND(N(AI30)&gt;0,AE30=""),"Payment terms missing; ","")&amp;IF(N(AI30)&gt;N(AD30)+1,"Overpaid vs PO; ","")&amp;IF(AND(N(AK30)&gt;0,AY30&lt;&gt;"",AO30=""),"Payment due date missing; ","")))</f>
        <v>OK</v>
      </c>
      <c r="BK30" s="76" t="str">
        <f aca="false">IF(A30="","",IF(N(AP30)&gt;0,"Pay supplier: "&amp;N(AP30)&amp;" days overdue; ","")&amp;IF(AND(O30&lt;&gt;"",AY30="",N(BD30)&gt;0),"Expedite delivery: "&amp;N(BD30)&amp;" days late; ","")&amp;IF(AND(BI30="Awaiting Approval",ISNUMBER(B30),Settings!$B$4-N(B30)&gt;Settings!$B$19),"Get approval: PR waiting "&amp;(Settings!$B$4-N(B30))&amp;" days; ","")&amp;IF(AND(BI30="Approved - PO Pending",ISNUMBER(J30),Settings!$B$4-N(J30)&gt;Settings!$B$20),"Issue PO: approved "&amp;(Settings!$B$4-N(J30))&amp;" days ago; ","")&amp;IF(AND(OR(BI30="Awaiting Approval",BI30="Approved - PO Pending"),N(AB30)&gt;Settings!$B$7),"Negotiate price: "&amp;TEXT(AB30,"0%")&amp;" above budget; ","")&amp;IF(LEFT(AX30,12)="Short Closed","Short closed: claim balance / credit note"&amp;IF(N(AL30)&gt;0," BDT "&amp;TEXT(AL30,"#,##0"),"")&amp;"; ","")&amp;IF(BF30="Rejected","QC rejected: return / replace; ","")&amp;IF(AND(O30&lt;&gt;"",AY30="",N(AL30)&gt;0,N(BD30)&gt;0),"Advance at risk: BDT "&amp;TEXT(AL30,"#,##0")&amp;" paid, goods late; ","")&amp;IF(AND(BJ30&lt;&gt;"",BJ30&lt;&gt;"OK"),"Fix data entry (see Data Check); ",""))</f>
        <v/>
      </c>
      <c r="BL30" s="73" t="str">
        <f aca="false">IF(BK30="","",IF(OR(N(AP30)&gt;30,AND(AY30="",N(BD30)&gt;15),BF30="Rejected",AND(LEFT(AX30,12)="Short Closed",N(AL30)&gt;0),AND(O30&lt;&gt;"",AY30="",N(AL30)&gt;0,N(BD30)&gt;0)),"High",IF(OR(N(AP30)&gt;0,AND(AY30="",N(BD30)&gt;7),LEFT(AX30,12)="Short Closed",AND(BI30="Awaiting Approval",ISNUMBER(B30),Settings!$B$4-N(B30)&gt;2*Settings!$B$19),AND(BI30="Approved - PO Pending",ISNUMBER(J30),Settings!$B$4-N(J30)&gt;2*Settings!$B$20)),"Medium","Low")))</f>
        <v/>
      </c>
      <c r="BM30" s="77" t="str">
        <f aca="false">IF(BL30="","",IF(BL30="High",1,IF(BL30="Medium",2,3))*10000+ROW())</f>
        <v/>
      </c>
      <c r="BN30" s="62"/>
    </row>
    <row r="31" customFormat="false" ht="39.75" hidden="false" customHeight="true" outlineLevel="0" collapsed="false">
      <c r="A31" s="60" t="s">
        <v>346</v>
      </c>
      <c r="B31" s="61" t="n">
        <v>46250</v>
      </c>
      <c r="C31" s="62" t="s">
        <v>235</v>
      </c>
      <c r="D31" s="62" t="s">
        <v>236</v>
      </c>
      <c r="E31" s="62" t="s">
        <v>253</v>
      </c>
      <c r="F31" s="62" t="s">
        <v>238</v>
      </c>
      <c r="G31" s="62" t="s">
        <v>254</v>
      </c>
      <c r="H31" s="60" t="s">
        <v>43</v>
      </c>
      <c r="I31" s="60" t="s">
        <v>347</v>
      </c>
      <c r="J31" s="61" t="n">
        <v>46252</v>
      </c>
      <c r="K31" s="60" t="s">
        <v>159</v>
      </c>
      <c r="L31" s="60" t="s">
        <v>172</v>
      </c>
      <c r="M31" s="62" t="s">
        <v>241</v>
      </c>
      <c r="N31" s="60" t="s">
        <v>162</v>
      </c>
      <c r="O31" s="60" t="s">
        <v>348</v>
      </c>
      <c r="P31" s="61" t="n">
        <v>46256</v>
      </c>
      <c r="Q31" s="63" t="n">
        <v>14100</v>
      </c>
      <c r="R31" s="60" t="s">
        <v>203</v>
      </c>
      <c r="S31" s="64" t="n">
        <v>15.01</v>
      </c>
      <c r="T31" s="60" t="s">
        <v>180</v>
      </c>
      <c r="U31" s="65" t="n">
        <f aca="false">IF(AND(T31="",S31=""),"",IF(T31="",1,IFERROR(INDEX(Settings!$B$12:$B$16,MATCH(T31,Settings!$A$12:$A$16,0)),1)))</f>
        <v>1</v>
      </c>
      <c r="V31" s="64" t="n">
        <v>14.39</v>
      </c>
      <c r="W31" s="66" t="n">
        <f aca="false">IF(OR(Q31="",S31=""),"",Q31*S31*U31)</f>
        <v>211641</v>
      </c>
      <c r="X31" s="65" t="n">
        <f aca="false">IF(OR(W31="",N(Q31)=0),"",W31/Q31)</f>
        <v>15.01</v>
      </c>
      <c r="Y31" s="65" t="n">
        <f aca="false">IF(OR(X31="",P31="",E31=""),"",IF(_xlfn.MAXIFS($P$6:$P$205,$E$6:$E$205,E31,$P$6:$P$205,"&lt;"&amp;P31,$X$6:$X$205,"&gt;0")=0,"",IFERROR(AVERAGEIFS($X$6:$X$205,$E$6:$E$205,E31,$P$6:$P$205,_xlfn.MAXIFS($P$6:$P$205,$E$6:$E$205,E31,$P$6:$P$205,"&lt;"&amp;P31,$X$6:$X$205,"&gt;0"),$X$6:$X$205,"&gt;0"),"")))</f>
        <v>15.15</v>
      </c>
      <c r="Z31" s="67" t="n">
        <f aca="false">IF(OR(Y31="",X31=""),"",X31/Y31-1)</f>
        <v>-0.00924092409240929</v>
      </c>
      <c r="AA31" s="68" t="n">
        <f aca="false">IF(OR(W31="",V31=""),"",W31-Q31*V31)</f>
        <v>8742</v>
      </c>
      <c r="AB31" s="69" t="n">
        <f aca="false">IF(AA31="","",IF(N(V31)*N(Q31)=0,"",AA31/(Q31*V31)))</f>
        <v>0.0430854760250174</v>
      </c>
      <c r="AC31" s="70" t="n">
        <v>0.05</v>
      </c>
      <c r="AD31" s="66" t="n">
        <f aca="false">IF(W31="","",W31*(1+N(AC31)))</f>
        <v>222223.05</v>
      </c>
      <c r="AE31" s="62" t="s">
        <v>174</v>
      </c>
      <c r="AF31" s="71" t="n">
        <v>222223.05</v>
      </c>
      <c r="AG31" s="71"/>
      <c r="AH31" s="71"/>
      <c r="AI31" s="66" t="n">
        <f aca="false">IF(A31="","",N(AF31)+N(AG31)+N(AH31))</f>
        <v>222223.05</v>
      </c>
      <c r="AJ31" s="72" t="n">
        <f aca="false">IF(AD31="","",IF(N(AD31)=0,"",AI31/AD31))</f>
        <v>1</v>
      </c>
      <c r="AK31" s="66" t="n">
        <f aca="false">IF(AD31="","",IF(AD31-AI31&lt;1,0,ROUND(AD31-AI31,2)))</f>
        <v>0</v>
      </c>
      <c r="AL31" s="66" t="n">
        <f aca="false">IF(OR(O31="",AD31=""),"",MAX(0,ROUND(N(AI31)-(AD31-N(AW31)),0)))</f>
        <v>0</v>
      </c>
      <c r="AM31" s="73" t="str">
        <f aca="false">IF(A31="","",IF(O31="","No PO Yet",IF(AI31=0,"Not Paid",IF(N(AJ31)&gt;=0.999,"Fully Paid",IF(N(AG31)+N(AH31)&gt;0,"Partially Paid","Initial / Advance Paid")))))</f>
        <v>Fully Paid</v>
      </c>
      <c r="AN31" s="61" t="n">
        <v>46257</v>
      </c>
      <c r="AO31" s="61"/>
      <c r="AP31" s="74" t="str">
        <f aca="false">IF(AK31="","",IF(OR(N(AK31)=0,AO31=""),"",MAX(0,Settings!$B$4-AO31)))</f>
        <v/>
      </c>
      <c r="AQ31" s="73" t="str">
        <f aca="false">IF(AK31="","",IF(N(AK31)&lt;=0,"",IF(AO31="","No Due Date",IF(Settings!$B$4&lt;=AO31,"Not Yet Due",IF(Settings!$B$4-AO31&lt;=30,"1-30 Days",IF(Settings!$B$4-AO31&lt;=60,"31-60 Days",IF(Settings!$B$4-AO31&lt;=90,"61-90 Days","90+ Days")))))))</f>
        <v/>
      </c>
      <c r="AR31" s="61" t="n">
        <v>46280</v>
      </c>
      <c r="AS31" s="61" t="n">
        <v>46276</v>
      </c>
      <c r="AT31" s="63" t="n">
        <v>14100</v>
      </c>
      <c r="AU31" s="72" t="n">
        <f aca="false">IF(Q31="","",IF(N(Q31)=0,"",N(AT31)/Q31))</f>
        <v>1</v>
      </c>
      <c r="AV31" s="75" t="n">
        <f aca="false">IF(OR(A31="",O31="",Q31=""),"",MAX(0,Q31-N(AT31)))</f>
        <v>0</v>
      </c>
      <c r="AW31" s="66" t="n">
        <f aca="false">IF(OR(AV31="",W31=""),"",IF(N(Q31)=0,0,AV31/Q31*AD31))</f>
        <v>0</v>
      </c>
      <c r="AX31" s="76" t="str">
        <f aca="false">IF(A31="","",IF(O31="","No PO Yet",IF(Q31="","Order Qty Missing",IF(N(AT31)&gt;=Q31,IF(N(AT31)&gt;Q31,"All In-house (+"&amp;TEXT(N(AT31)-Q31,"#,##0")&amp;" "&amp;R31&amp;" excess)","All In-house"),IF(AY31&lt;&gt;"","Short Closed - "&amp;TEXT(AV31,"#,##0")&amp;" "&amp;R31&amp;" not received",IF(N(AT31)=0,"Not Started - "&amp;TEXT(AV31,"#,##0")&amp;" "&amp;R31&amp;" pending","Pending "&amp;TEXT(AV31,"#,##0")&amp;" "&amp;R31&amp;" ("&amp;TEXT(AU31,"0%")&amp;" received)"))))))</f>
        <v>All In-house</v>
      </c>
      <c r="AY31" s="61" t="n">
        <v>46277</v>
      </c>
      <c r="AZ31" s="77" t="n">
        <f aca="false">IF(OR(B31="",J31=""),"",J31-B31)</f>
        <v>2</v>
      </c>
      <c r="BA31" s="77" t="n">
        <f aca="false">IF(OR(J31="",P31=""),"",P31-J31)</f>
        <v>4</v>
      </c>
      <c r="BB31" s="77" t="n">
        <f aca="false">IF(OR(P31="",AY31=""),"",AY31-P31)</f>
        <v>21</v>
      </c>
      <c r="BC31" s="77" t="n">
        <f aca="false">IF(OR(B31="",AY31=""),"",AY31-B31)</f>
        <v>27</v>
      </c>
      <c r="BD31" s="74" t="n">
        <f aca="false">IF(OR(AR31="",O31=""),"",MAX(0,IF(AY31="",Settings!$B$4,AY31)-AR31))</f>
        <v>0</v>
      </c>
      <c r="BE31" s="73" t="str">
        <f aca="false">IF(OR(AY31="",AR31=""),"",IF(AND(AY31&lt;=AR31,N(AU31)&gt;=Settings!$B$6),"OTIF","Not OTIF"))</f>
        <v>OTIF</v>
      </c>
      <c r="BF31" s="60" t="s">
        <v>159</v>
      </c>
      <c r="BG31" s="62" t="s">
        <v>349</v>
      </c>
      <c r="BH31" s="78"/>
      <c r="BI31" s="76" t="str">
        <f aca="false">IF(A31="","",IF(K31="Rejected","Rejected",IF(K31&lt;&gt;"Approved","Awaiting Approval",IF(O31="","Approved - PO Pending",IF(AY31&lt;&gt;"",IF(N(AJ31)&gt;=0.999,"Closed","In-house Closed - Payment Due"),IF(AS31&lt;&gt;"","Receiving In-house","PO Issued - Awaiting Delivery"))))))</f>
        <v>Closed</v>
      </c>
      <c r="BJ31" s="76" t="str">
        <f aca="false">IF(A31="","",IF(IF(AND(A31&lt;&gt;"",OR(B31="",C31="",E31="",F31="",H31="")),"PR info missing; ","")&amp;IF(AND(K31="Approved",OR(J31="",I31="")),"Approval ref/date missing; ","")&amp;IF(AND(O31&lt;&gt;"",K31&lt;&gt;"Approved"),"PO without approval; ","")&amp;IF(AND(O31&lt;&gt;"",OR(P31="",M31="",Q31="",S31="",T31="")),"PO details missing; ","")&amp;IF(AND(O31&lt;&gt;"",AR31=""),"Committed date missing; ","")&amp;IF(AND(ISNUMBER(J31),ISNUMBER(B31),N(J31)&lt;N(B31)),"Approval dated before PR; ","")&amp;IF(AND(ISNUMBER(P31),ISNUMBER(J31),N(P31)&lt;N(J31)),"PO dated before approval; ","")&amp;IF(AND(ISNUMBER(AY31),ISNUMBER(AS31),N(AY31)&lt;N(AS31)),"Close before in-house start; ","")&amp;IF(AND(AY31&lt;&gt;"",AS31=""),"In-house start date missing; ","")&amp;IF(AND(AY31&lt;&gt;"",AT31=""),"Qty received missing; ","")&amp;IF(AND(AY31&lt;&gt;"",BF31=""),"QC status missing; ","")&amp;IF(N(AT31)&gt;N(Q31)*1.05,"Received &gt; ordered +5%; ","")&amp;IF(AND(N(AI31)&gt;0,AE31=""),"Payment terms missing; ","")&amp;IF(N(AI31)&gt;N(AD31)+1,"Overpaid vs PO; ","")&amp;IF(AND(N(AK31)&gt;0,AY31&lt;&gt;"",AO31=""),"Payment due date missing; ","")="","OK",IF(AND(A31&lt;&gt;"",OR(B31="",C31="",E31="",F31="",H31="")),"PR info missing; ","")&amp;IF(AND(K31="Approved",OR(J31="",I31="")),"Approval ref/date missing; ","")&amp;IF(AND(O31&lt;&gt;"",K31&lt;&gt;"Approved"),"PO without approval; ","")&amp;IF(AND(O31&lt;&gt;"",OR(P31="",M31="",Q31="",S31="",T31="")),"PO details missing; ","")&amp;IF(AND(O31&lt;&gt;"",AR31=""),"Committed date missing; ","")&amp;IF(AND(ISNUMBER(J31),ISNUMBER(B31),N(J31)&lt;N(B31)),"Approval dated before PR; ","")&amp;IF(AND(ISNUMBER(P31),ISNUMBER(J31),N(P31)&lt;N(J31)),"PO dated before approval; ","")&amp;IF(AND(ISNUMBER(AY31),ISNUMBER(AS31),N(AY31)&lt;N(AS31)),"Close before in-house start; ","")&amp;IF(AND(AY31&lt;&gt;"",AS31=""),"In-house start date missing; ","")&amp;IF(AND(AY31&lt;&gt;"",AT31=""),"Qty received missing; ","")&amp;IF(AND(AY31&lt;&gt;"",BF31=""),"QC status missing; ","")&amp;IF(N(AT31)&gt;N(Q31)*1.05,"Received &gt; ordered +5%; ","")&amp;IF(AND(N(AI31)&gt;0,AE31=""),"Payment terms missing; ","")&amp;IF(N(AI31)&gt;N(AD31)+1,"Overpaid vs PO; ","")&amp;IF(AND(N(AK31)&gt;0,AY31&lt;&gt;"",AO31=""),"Payment due date missing; ","")))</f>
        <v>OK</v>
      </c>
      <c r="BK31" s="76" t="str">
        <f aca="false">IF(A31="","",IF(N(AP31)&gt;0,"Pay supplier: "&amp;N(AP31)&amp;" days overdue; ","")&amp;IF(AND(O31&lt;&gt;"",AY31="",N(BD31)&gt;0),"Expedite delivery: "&amp;N(BD31)&amp;" days late; ","")&amp;IF(AND(BI31="Awaiting Approval",ISNUMBER(B31),Settings!$B$4-N(B31)&gt;Settings!$B$19),"Get approval: PR waiting "&amp;(Settings!$B$4-N(B31))&amp;" days; ","")&amp;IF(AND(BI31="Approved - PO Pending",ISNUMBER(J31),Settings!$B$4-N(J31)&gt;Settings!$B$20),"Issue PO: approved "&amp;(Settings!$B$4-N(J31))&amp;" days ago; ","")&amp;IF(AND(OR(BI31="Awaiting Approval",BI31="Approved - PO Pending"),N(AB31)&gt;Settings!$B$7),"Negotiate price: "&amp;TEXT(AB31,"0%")&amp;" above budget; ","")&amp;IF(LEFT(AX31,12)="Short Closed","Short closed: claim balance / credit note"&amp;IF(N(AL31)&gt;0," BDT "&amp;TEXT(AL31,"#,##0"),"")&amp;"; ","")&amp;IF(BF31="Rejected","QC rejected: return / replace; ","")&amp;IF(AND(O31&lt;&gt;"",AY31="",N(AL31)&gt;0,N(BD31)&gt;0),"Advance at risk: BDT "&amp;TEXT(AL31,"#,##0")&amp;" paid, goods late; ","")&amp;IF(AND(BJ31&lt;&gt;"",BJ31&lt;&gt;"OK"),"Fix data entry (see Data Check); ",""))</f>
        <v/>
      </c>
      <c r="BL31" s="73" t="str">
        <f aca="false">IF(BK31="","",IF(OR(N(AP31)&gt;30,AND(AY31="",N(BD31)&gt;15),BF31="Rejected",AND(LEFT(AX31,12)="Short Closed",N(AL31)&gt;0),AND(O31&lt;&gt;"",AY31="",N(AL31)&gt;0,N(BD31)&gt;0)),"High",IF(OR(N(AP31)&gt;0,AND(AY31="",N(BD31)&gt;7),LEFT(AX31,12)="Short Closed",AND(BI31="Awaiting Approval",ISNUMBER(B31),Settings!$B$4-N(B31)&gt;2*Settings!$B$19),AND(BI31="Approved - PO Pending",ISNUMBER(J31),Settings!$B$4-N(J31)&gt;2*Settings!$B$20)),"Medium","Low")))</f>
        <v/>
      </c>
      <c r="BM31" s="77" t="str">
        <f aca="false">IF(BL31="","",IF(BL31="High",1,IF(BL31="Medium",2,3))*10000+ROW())</f>
        <v/>
      </c>
      <c r="BN31" s="62"/>
    </row>
    <row r="32" customFormat="false" ht="18" hidden="false" customHeight="true" outlineLevel="0" collapsed="false">
      <c r="A32" s="60" t="s">
        <v>350</v>
      </c>
      <c r="B32" s="61" t="n">
        <v>46254</v>
      </c>
      <c r="C32" s="62" t="s">
        <v>288</v>
      </c>
      <c r="D32" s="62" t="s">
        <v>289</v>
      </c>
      <c r="E32" s="62" t="s">
        <v>290</v>
      </c>
      <c r="F32" s="62" t="s">
        <v>291</v>
      </c>
      <c r="G32" s="62" t="s">
        <v>292</v>
      </c>
      <c r="H32" s="60" t="s">
        <v>43</v>
      </c>
      <c r="I32" s="60" t="s">
        <v>351</v>
      </c>
      <c r="J32" s="61" t="n">
        <v>46255</v>
      </c>
      <c r="K32" s="60" t="s">
        <v>159</v>
      </c>
      <c r="L32" s="60" t="s">
        <v>160</v>
      </c>
      <c r="M32" s="62" t="s">
        <v>294</v>
      </c>
      <c r="N32" s="60" t="s">
        <v>162</v>
      </c>
      <c r="O32" s="60" t="s">
        <v>352</v>
      </c>
      <c r="P32" s="61" t="n">
        <v>46256</v>
      </c>
      <c r="Q32" s="63" t="n">
        <v>83</v>
      </c>
      <c r="R32" s="60" t="s">
        <v>296</v>
      </c>
      <c r="S32" s="64" t="n">
        <v>1856</v>
      </c>
      <c r="T32" s="60" t="s">
        <v>180</v>
      </c>
      <c r="U32" s="65" t="n">
        <f aca="false">IF(AND(T32="",S32=""),"",IF(T32="",1,IFERROR(INDEX(Settings!$B$12:$B$16,MATCH(T32,Settings!$A$12:$A$16,0)),1)))</f>
        <v>1</v>
      </c>
      <c r="V32" s="64" t="n">
        <v>1834.08</v>
      </c>
      <c r="W32" s="66" t="n">
        <f aca="false">IF(OR(Q32="",S32=""),"",Q32*S32*U32)</f>
        <v>154048</v>
      </c>
      <c r="X32" s="65" t="n">
        <f aca="false">IF(OR(W32="",N(Q32)=0),"",W32/Q32)</f>
        <v>1856</v>
      </c>
      <c r="Y32" s="65" t="n">
        <f aca="false">IF(OR(X32="",P32="",E32=""),"",IF(_xlfn.MAXIFS($P$6:$P$205,$E$6:$E$205,E32,$P$6:$P$205,"&lt;"&amp;P32,$X$6:$X$205,"&gt;0")=0,"",IFERROR(AVERAGEIFS($X$6:$X$205,$E$6:$E$205,E32,$P$6:$P$205,_xlfn.MAXIFS($P$6:$P$205,$E$6:$E$205,E32,$P$6:$P$205,"&lt;"&amp;P32,$X$6:$X$205,"&gt;0"),$X$6:$X$205,"&gt;0"),"")))</f>
        <v>1872</v>
      </c>
      <c r="Z32" s="67" t="n">
        <f aca="false">IF(OR(Y32="",X32=""),"",X32/Y32-1)</f>
        <v>-0.00854700854700852</v>
      </c>
      <c r="AA32" s="68" t="n">
        <f aca="false">IF(OR(W32="",V32=""),"",W32-Q32*V32)</f>
        <v>1819.36000000002</v>
      </c>
      <c r="AB32" s="69" t="n">
        <f aca="false">IF(AA32="","",IF(N(V32)*N(Q32)=0,"",AA32/(Q32*V32)))</f>
        <v>0.0119514961179448</v>
      </c>
      <c r="AC32" s="70" t="n">
        <v>0.075</v>
      </c>
      <c r="AD32" s="66" t="n">
        <f aca="false">IF(W32="","",W32*(1+N(AC32)))</f>
        <v>165601.6</v>
      </c>
      <c r="AE32" s="62" t="s">
        <v>166</v>
      </c>
      <c r="AF32" s="71" t="n">
        <v>49680.48</v>
      </c>
      <c r="AG32" s="71"/>
      <c r="AH32" s="71" t="n">
        <v>115921.12</v>
      </c>
      <c r="AI32" s="66" t="n">
        <f aca="false">IF(A32="","",N(AF32)+N(AG32)+N(AH32))</f>
        <v>165601.6</v>
      </c>
      <c r="AJ32" s="72" t="n">
        <f aca="false">IF(AD32="","",IF(N(AD32)=0,"",AI32/AD32))</f>
        <v>1</v>
      </c>
      <c r="AK32" s="66" t="n">
        <f aca="false">IF(AD32="","",IF(AD32-AI32&lt;1,0,ROUND(AD32-AI32,2)))</f>
        <v>0</v>
      </c>
      <c r="AL32" s="66" t="n">
        <f aca="false">IF(OR(O32="",AD32=""),"",MAX(0,ROUND(N(AI32)-(AD32-N(AW32)),0)))</f>
        <v>0</v>
      </c>
      <c r="AM32" s="73" t="str">
        <f aca="false">IF(A32="","",IF(O32="","No PO Yet",IF(AI32=0,"Not Paid",IF(N(AJ32)&gt;=0.999,"Fully Paid",IF(N(AG32)+N(AH32)&gt;0,"Partially Paid","Initial / Advance Paid")))))</f>
        <v>Fully Paid</v>
      </c>
      <c r="AN32" s="61" t="n">
        <v>46292</v>
      </c>
      <c r="AO32" s="61"/>
      <c r="AP32" s="74" t="str">
        <f aca="false">IF(AK32="","",IF(OR(N(AK32)=0,AO32=""),"",MAX(0,Settings!$B$4-AO32)))</f>
        <v/>
      </c>
      <c r="AQ32" s="73" t="str">
        <f aca="false">IF(AK32="","",IF(N(AK32)&lt;=0,"",IF(AO32="","No Due Date",IF(Settings!$B$4&lt;=AO32,"Not Yet Due",IF(Settings!$B$4-AO32&lt;=30,"1-30 Days",IF(Settings!$B$4-AO32&lt;=60,"31-60 Days",IF(Settings!$B$4-AO32&lt;=90,"61-90 Days","90+ Days")))))))</f>
        <v/>
      </c>
      <c r="AR32" s="61" t="n">
        <v>46271</v>
      </c>
      <c r="AS32" s="61" t="n">
        <v>46274</v>
      </c>
      <c r="AT32" s="63" t="n">
        <v>83</v>
      </c>
      <c r="AU32" s="72" t="n">
        <f aca="false">IF(Q32="","",IF(N(Q32)=0,"",N(AT32)/Q32))</f>
        <v>1</v>
      </c>
      <c r="AV32" s="75" t="n">
        <f aca="false">IF(OR(A32="",O32="",Q32=""),"",MAX(0,Q32-N(AT32)))</f>
        <v>0</v>
      </c>
      <c r="AW32" s="66" t="n">
        <f aca="false">IF(OR(AV32="",W32=""),"",IF(N(Q32)=0,0,AV32/Q32*AD32))</f>
        <v>0</v>
      </c>
      <c r="AX32" s="76" t="str">
        <f aca="false">IF(A32="","",IF(O32="","No PO Yet",IF(Q32="","Order Qty Missing",IF(N(AT32)&gt;=Q32,IF(N(AT32)&gt;Q32,"All In-house (+"&amp;TEXT(N(AT32)-Q32,"#,##0")&amp;" "&amp;R32&amp;" excess)","All In-house"),IF(AY32&lt;&gt;"","Short Closed - "&amp;TEXT(AV32,"#,##0")&amp;" "&amp;R32&amp;" not received",IF(N(AT32)=0,"Not Started - "&amp;TEXT(AV32,"#,##0")&amp;" "&amp;R32&amp;" pending","Pending "&amp;TEXT(AV32,"#,##0")&amp;" "&amp;R32&amp;" ("&amp;TEXT(AU32,"0%")&amp;" received)"))))))</f>
        <v>All In-house</v>
      </c>
      <c r="AY32" s="61" t="n">
        <v>46277</v>
      </c>
      <c r="AZ32" s="77" t="n">
        <f aca="false">IF(OR(B32="",J32=""),"",J32-B32)</f>
        <v>1</v>
      </c>
      <c r="BA32" s="77" t="n">
        <f aca="false">IF(OR(J32="",P32=""),"",P32-J32)</f>
        <v>1</v>
      </c>
      <c r="BB32" s="77" t="n">
        <f aca="false">IF(OR(P32="",AY32=""),"",AY32-P32)</f>
        <v>21</v>
      </c>
      <c r="BC32" s="77" t="n">
        <f aca="false">IF(OR(B32="",AY32=""),"",AY32-B32)</f>
        <v>23</v>
      </c>
      <c r="BD32" s="74" t="n">
        <f aca="false">IF(OR(AR32="",O32=""),"",MAX(0,IF(AY32="",Settings!$B$4,AY32)-AR32))</f>
        <v>6</v>
      </c>
      <c r="BE32" s="73" t="str">
        <f aca="false">IF(OR(AY32="",AR32=""),"",IF(AND(AY32&lt;=AR32,N(AU32)&gt;=Settings!$B$6),"OTIF","Not OTIF"))</f>
        <v>Not OTIF</v>
      </c>
      <c r="BF32" s="60" t="s">
        <v>159</v>
      </c>
      <c r="BG32" s="62"/>
      <c r="BH32" s="78"/>
      <c r="BI32" s="76" t="str">
        <f aca="false">IF(A32="","",IF(K32="Rejected","Rejected",IF(K32&lt;&gt;"Approved","Awaiting Approval",IF(O32="","Approved - PO Pending",IF(AY32&lt;&gt;"",IF(N(AJ32)&gt;=0.999,"Closed","In-house Closed - Payment Due"),IF(AS32&lt;&gt;"","Receiving In-house","PO Issued - Awaiting Delivery"))))))</f>
        <v>Closed</v>
      </c>
      <c r="BJ32" s="76" t="str">
        <f aca="false">IF(A32="","",IF(IF(AND(A32&lt;&gt;"",OR(B32="",C32="",E32="",F32="",H32="")),"PR info missing; ","")&amp;IF(AND(K32="Approved",OR(J32="",I32="")),"Approval ref/date missing; ","")&amp;IF(AND(O32&lt;&gt;"",K32&lt;&gt;"Approved"),"PO without approval; ","")&amp;IF(AND(O32&lt;&gt;"",OR(P32="",M32="",Q32="",S32="",T32="")),"PO details missing; ","")&amp;IF(AND(O32&lt;&gt;"",AR32=""),"Committed date missing; ","")&amp;IF(AND(ISNUMBER(J32),ISNUMBER(B32),N(J32)&lt;N(B32)),"Approval dated before PR; ","")&amp;IF(AND(ISNUMBER(P32),ISNUMBER(J32),N(P32)&lt;N(J32)),"PO dated before approval; ","")&amp;IF(AND(ISNUMBER(AY32),ISNUMBER(AS32),N(AY32)&lt;N(AS32)),"Close before in-house start; ","")&amp;IF(AND(AY32&lt;&gt;"",AS32=""),"In-house start date missing; ","")&amp;IF(AND(AY32&lt;&gt;"",AT32=""),"Qty received missing; ","")&amp;IF(AND(AY32&lt;&gt;"",BF32=""),"QC status missing; ","")&amp;IF(N(AT32)&gt;N(Q32)*1.05,"Received &gt; ordered +5%; ","")&amp;IF(AND(N(AI32)&gt;0,AE32=""),"Payment terms missing; ","")&amp;IF(N(AI32)&gt;N(AD32)+1,"Overpaid vs PO; ","")&amp;IF(AND(N(AK32)&gt;0,AY32&lt;&gt;"",AO32=""),"Payment due date missing; ","")="","OK",IF(AND(A32&lt;&gt;"",OR(B32="",C32="",E32="",F32="",H32="")),"PR info missing; ","")&amp;IF(AND(K32="Approved",OR(J32="",I32="")),"Approval ref/date missing; ","")&amp;IF(AND(O32&lt;&gt;"",K32&lt;&gt;"Approved"),"PO without approval; ","")&amp;IF(AND(O32&lt;&gt;"",OR(P32="",M32="",Q32="",S32="",T32="")),"PO details missing; ","")&amp;IF(AND(O32&lt;&gt;"",AR32=""),"Committed date missing; ","")&amp;IF(AND(ISNUMBER(J32),ISNUMBER(B32),N(J32)&lt;N(B32)),"Approval dated before PR; ","")&amp;IF(AND(ISNUMBER(P32),ISNUMBER(J32),N(P32)&lt;N(J32)),"PO dated before approval; ","")&amp;IF(AND(ISNUMBER(AY32),ISNUMBER(AS32),N(AY32)&lt;N(AS32)),"Close before in-house start; ","")&amp;IF(AND(AY32&lt;&gt;"",AS32=""),"In-house start date missing; ","")&amp;IF(AND(AY32&lt;&gt;"",AT32=""),"Qty received missing; ","")&amp;IF(AND(AY32&lt;&gt;"",BF32=""),"QC status missing; ","")&amp;IF(N(AT32)&gt;N(Q32)*1.05,"Received &gt; ordered +5%; ","")&amp;IF(AND(N(AI32)&gt;0,AE32=""),"Payment terms missing; ","")&amp;IF(N(AI32)&gt;N(AD32)+1,"Overpaid vs PO; ","")&amp;IF(AND(N(AK32)&gt;0,AY32&lt;&gt;"",AO32=""),"Payment due date missing; ","")))</f>
        <v>OK</v>
      </c>
      <c r="BK32" s="76" t="str">
        <f aca="false">IF(A32="","",IF(N(AP32)&gt;0,"Pay supplier: "&amp;N(AP32)&amp;" days overdue; ","")&amp;IF(AND(O32&lt;&gt;"",AY32="",N(BD32)&gt;0),"Expedite delivery: "&amp;N(BD32)&amp;" days late; ","")&amp;IF(AND(BI32="Awaiting Approval",ISNUMBER(B32),Settings!$B$4-N(B32)&gt;Settings!$B$19),"Get approval: PR waiting "&amp;(Settings!$B$4-N(B32))&amp;" days; ","")&amp;IF(AND(BI32="Approved - PO Pending",ISNUMBER(J32),Settings!$B$4-N(J32)&gt;Settings!$B$20),"Issue PO: approved "&amp;(Settings!$B$4-N(J32))&amp;" days ago; ","")&amp;IF(AND(OR(BI32="Awaiting Approval",BI32="Approved - PO Pending"),N(AB32)&gt;Settings!$B$7),"Negotiate price: "&amp;TEXT(AB32,"0%")&amp;" above budget; ","")&amp;IF(LEFT(AX32,12)="Short Closed","Short closed: claim balance / credit note"&amp;IF(N(AL32)&gt;0," BDT "&amp;TEXT(AL32,"#,##0"),"")&amp;"; ","")&amp;IF(BF32="Rejected","QC rejected: return / replace; ","")&amp;IF(AND(O32&lt;&gt;"",AY32="",N(AL32)&gt;0,N(BD32)&gt;0),"Advance at risk: BDT "&amp;TEXT(AL32,"#,##0")&amp;" paid, goods late; ","")&amp;IF(AND(BJ32&lt;&gt;"",BJ32&lt;&gt;"OK"),"Fix data entry (see Data Check); ",""))</f>
        <v/>
      </c>
      <c r="BL32" s="73" t="str">
        <f aca="false">IF(BK32="","",IF(OR(N(AP32)&gt;30,AND(AY32="",N(BD32)&gt;15),BF32="Rejected",AND(LEFT(AX32,12)="Short Closed",N(AL32)&gt;0),AND(O32&lt;&gt;"",AY32="",N(AL32)&gt;0,N(BD32)&gt;0)),"High",IF(OR(N(AP32)&gt;0,AND(AY32="",N(BD32)&gt;7),LEFT(AX32,12)="Short Closed",AND(BI32="Awaiting Approval",ISNUMBER(B32),Settings!$B$4-N(B32)&gt;2*Settings!$B$19),AND(BI32="Approved - PO Pending",ISNUMBER(J32),Settings!$B$4-N(J32)&gt;2*Settings!$B$20)),"Medium","Low")))</f>
        <v/>
      </c>
      <c r="BM32" s="77" t="str">
        <f aca="false">IF(BL32="","",IF(BL32="High",1,IF(BL32="Medium",2,3))*10000+ROW())</f>
        <v/>
      </c>
      <c r="BN32" s="62"/>
    </row>
    <row r="33" customFormat="false" ht="18" hidden="false" customHeight="true" outlineLevel="0" collapsed="false">
      <c r="A33" s="60" t="s">
        <v>353</v>
      </c>
      <c r="B33" s="61" t="n">
        <v>46256</v>
      </c>
      <c r="C33" s="62" t="s">
        <v>288</v>
      </c>
      <c r="D33" s="62" t="s">
        <v>289</v>
      </c>
      <c r="E33" s="62" t="s">
        <v>290</v>
      </c>
      <c r="F33" s="62" t="s">
        <v>291</v>
      </c>
      <c r="G33" s="62" t="s">
        <v>292</v>
      </c>
      <c r="H33" s="60" t="s">
        <v>43</v>
      </c>
      <c r="I33" s="60" t="s">
        <v>354</v>
      </c>
      <c r="J33" s="61" t="n">
        <v>46259</v>
      </c>
      <c r="K33" s="60" t="s">
        <v>61</v>
      </c>
      <c r="L33" s="60" t="s">
        <v>172</v>
      </c>
      <c r="M33" s="62" t="s">
        <v>294</v>
      </c>
      <c r="N33" s="60" t="s">
        <v>162</v>
      </c>
      <c r="O33" s="60"/>
      <c r="P33" s="61"/>
      <c r="Q33" s="63" t="n">
        <v>54</v>
      </c>
      <c r="R33" s="60" t="s">
        <v>296</v>
      </c>
      <c r="S33" s="64" t="n">
        <v>2012</v>
      </c>
      <c r="T33" s="60" t="s">
        <v>180</v>
      </c>
      <c r="U33" s="65" t="n">
        <f aca="false">IF(AND(T33="",S33=""),"",IF(T33="",1,IFERROR(INDEX(Settings!$B$12:$B$16,MATCH(T33,Settings!$A$12:$A$16,0)),1)))</f>
        <v>1</v>
      </c>
      <c r="V33" s="64" t="n">
        <v>1882.01</v>
      </c>
      <c r="W33" s="66" t="n">
        <f aca="false">IF(OR(Q33="",S33=""),"",Q33*S33*U33)</f>
        <v>108648</v>
      </c>
      <c r="X33" s="65" t="n">
        <f aca="false">IF(OR(W33="",N(Q33)=0),"",W33/Q33)</f>
        <v>2012</v>
      </c>
      <c r="Y33" s="65" t="str">
        <f aca="false">IF(OR(X33="",P33="",E33=""),"",IF(_xlfn.MAXIFS($P$6:$P$205,$E$6:$E$205,E33,$P$6:$P$205,"&lt;"&amp;P33,$X$6:$X$205,"&gt;0")=0,"",IFERROR(AVERAGEIFS($X$6:$X$205,$E$6:$E$205,E33,$P$6:$P$205,_xlfn.MAXIFS($P$6:$P$205,$E$6:$E$205,E33,$P$6:$P$205,"&lt;"&amp;P33,$X$6:$X$205,"&gt;0"),$X$6:$X$205,"&gt;0"),"")))</f>
        <v/>
      </c>
      <c r="Z33" s="67" t="str">
        <f aca="false">IF(OR(Y33="",X33=""),"",X33/Y33-1)</f>
        <v/>
      </c>
      <c r="AA33" s="68" t="n">
        <f aca="false">IF(OR(W33="",V33=""),"",W33-Q33*V33)</f>
        <v>7019.46000000001</v>
      </c>
      <c r="AB33" s="69" t="n">
        <f aca="false">IF(AA33="","",IF(N(V33)*N(Q33)=0,"",AA33/(Q33*V33)))</f>
        <v>0.0690697711489313</v>
      </c>
      <c r="AC33" s="70" t="n">
        <v>0.075</v>
      </c>
      <c r="AD33" s="66" t="n">
        <f aca="false">IF(W33="","",W33*(1+N(AC33)))</f>
        <v>116796.6</v>
      </c>
      <c r="AE33" s="62"/>
      <c r="AF33" s="71"/>
      <c r="AG33" s="71"/>
      <c r="AH33" s="71"/>
      <c r="AI33" s="66" t="n">
        <f aca="false">IF(A33="","",N(AF33)+N(AG33)+N(AH33))</f>
        <v>0</v>
      </c>
      <c r="AJ33" s="72" t="n">
        <f aca="false">IF(AD33="","",IF(N(AD33)=0,"",AI33/AD33))</f>
        <v>0</v>
      </c>
      <c r="AK33" s="66" t="n">
        <f aca="false">IF(AD33="","",IF(AD33-AI33&lt;1,0,ROUND(AD33-AI33,2)))</f>
        <v>116796.6</v>
      </c>
      <c r="AL33" s="66" t="str">
        <f aca="false">IF(OR(O33="",AD33=""),"",MAX(0,ROUND(N(AI33)-(AD33-N(AW33)),0)))</f>
        <v/>
      </c>
      <c r="AM33" s="73" t="str">
        <f aca="false">IF(A33="","",IF(O33="","No PO Yet",IF(AI33=0,"Not Paid",IF(N(AJ33)&gt;=0.999,"Fully Paid",IF(N(AG33)+N(AH33)&gt;0,"Partially Paid","Initial / Advance Paid")))))</f>
        <v>No PO Yet</v>
      </c>
      <c r="AN33" s="61"/>
      <c r="AO33" s="61"/>
      <c r="AP33" s="74" t="str">
        <f aca="false">IF(AK33="","",IF(OR(N(AK33)=0,AO33=""),"",MAX(0,Settings!$B$4-AO33)))</f>
        <v/>
      </c>
      <c r="AQ33" s="73" t="str">
        <f aca="false">IF(AK33="","",IF(N(AK33)&lt;=0,"",IF(AO33="","No Due Date",IF(Settings!$B$4&lt;=AO33,"Not Yet Due",IF(Settings!$B$4-AO33&lt;=30,"1-30 Days",IF(Settings!$B$4-AO33&lt;=60,"31-60 Days",IF(Settings!$B$4-AO33&lt;=90,"61-90 Days","90+ Days")))))))</f>
        <v>No Due Date</v>
      </c>
      <c r="AR33" s="61"/>
      <c r="AS33" s="61"/>
      <c r="AT33" s="63"/>
      <c r="AU33" s="72" t="n">
        <f aca="false">IF(Q33="","",IF(N(Q33)=0,"",N(AT33)/Q33))</f>
        <v>0</v>
      </c>
      <c r="AV33" s="75" t="str">
        <f aca="false">IF(OR(A33="",O33="",Q33=""),"",MAX(0,Q33-N(AT33)))</f>
        <v/>
      </c>
      <c r="AW33" s="66" t="str">
        <f aca="false">IF(OR(AV33="",W33=""),"",IF(N(Q33)=0,0,AV33/Q33*AD33))</f>
        <v/>
      </c>
      <c r="AX33" s="76" t="str">
        <f aca="false">IF(A33="","",IF(O33="","No PO Yet",IF(Q33="","Order Qty Missing",IF(N(AT33)&gt;=Q33,IF(N(AT33)&gt;Q33,"All In-house (+"&amp;TEXT(N(AT33)-Q33,"#,##0")&amp;" "&amp;R33&amp;" excess)","All In-house"),IF(AY33&lt;&gt;"","Short Closed - "&amp;TEXT(AV33,"#,##0")&amp;" "&amp;R33&amp;" not received",IF(N(AT33)=0,"Not Started - "&amp;TEXT(AV33,"#,##0")&amp;" "&amp;R33&amp;" pending","Pending "&amp;TEXT(AV33,"#,##0")&amp;" "&amp;R33&amp;" ("&amp;TEXT(AU33,"0%")&amp;" received)"))))))</f>
        <v>No PO Yet</v>
      </c>
      <c r="AY33" s="61"/>
      <c r="AZ33" s="77" t="n">
        <f aca="false">IF(OR(B33="",J33=""),"",J33-B33)</f>
        <v>3</v>
      </c>
      <c r="BA33" s="77" t="str">
        <f aca="false">IF(OR(J33="",P33=""),"",P33-J33)</f>
        <v/>
      </c>
      <c r="BB33" s="77" t="str">
        <f aca="false">IF(OR(P33="",AY33=""),"",AY33-P33)</f>
        <v/>
      </c>
      <c r="BC33" s="77" t="str">
        <f aca="false">IF(OR(B33="",AY33=""),"",AY33-B33)</f>
        <v/>
      </c>
      <c r="BD33" s="74" t="str">
        <f aca="false">IF(OR(AR33="",O33=""),"",MAX(0,IF(AY33="",Settings!$B$4,AY33)-AR33))</f>
        <v/>
      </c>
      <c r="BE33" s="73" t="str">
        <f aca="false">IF(OR(AY33="",AR33=""),"",IF(AND(AY33&lt;=AR33,N(AU33)&gt;=Settings!$B$6),"OTIF","Not OTIF"))</f>
        <v/>
      </c>
      <c r="BF33" s="60"/>
      <c r="BG33" s="62"/>
      <c r="BH33" s="78"/>
      <c r="BI33" s="76" t="str">
        <f aca="false">IF(A33="","",IF(K33="Rejected","Rejected",IF(K33&lt;&gt;"Approved","Awaiting Approval",IF(O33="","Approved - PO Pending",IF(AY33&lt;&gt;"",IF(N(AJ33)&gt;=0.999,"Closed","In-house Closed - Payment Due"),IF(AS33&lt;&gt;"","Receiving In-house","PO Issued - Awaiting Delivery"))))))</f>
        <v>Rejected</v>
      </c>
      <c r="BJ33" s="76" t="str">
        <f aca="false">IF(A33="","",IF(IF(AND(A33&lt;&gt;"",OR(B33="",C33="",E33="",F33="",H33="")),"PR info missing; ","")&amp;IF(AND(K33="Approved",OR(J33="",I33="")),"Approval ref/date missing; ","")&amp;IF(AND(O33&lt;&gt;"",K33&lt;&gt;"Approved"),"PO without approval; ","")&amp;IF(AND(O33&lt;&gt;"",OR(P33="",M33="",Q33="",S33="",T33="")),"PO details missing; ","")&amp;IF(AND(O33&lt;&gt;"",AR33=""),"Committed date missing; ","")&amp;IF(AND(ISNUMBER(J33),ISNUMBER(B33),N(J33)&lt;N(B33)),"Approval dated before PR; ","")&amp;IF(AND(ISNUMBER(P33),ISNUMBER(J33),N(P33)&lt;N(J33)),"PO dated before approval; ","")&amp;IF(AND(ISNUMBER(AY33),ISNUMBER(AS33),N(AY33)&lt;N(AS33)),"Close before in-house start; ","")&amp;IF(AND(AY33&lt;&gt;"",AS33=""),"In-house start date missing; ","")&amp;IF(AND(AY33&lt;&gt;"",AT33=""),"Qty received missing; ","")&amp;IF(AND(AY33&lt;&gt;"",BF33=""),"QC status missing; ","")&amp;IF(N(AT33)&gt;N(Q33)*1.05,"Received &gt; ordered +5%; ","")&amp;IF(AND(N(AI33)&gt;0,AE33=""),"Payment terms missing; ","")&amp;IF(N(AI33)&gt;N(AD33)+1,"Overpaid vs PO; ","")&amp;IF(AND(N(AK33)&gt;0,AY33&lt;&gt;"",AO33=""),"Payment due date missing; ","")="","OK",IF(AND(A33&lt;&gt;"",OR(B33="",C33="",E33="",F33="",H33="")),"PR info missing; ","")&amp;IF(AND(K33="Approved",OR(J33="",I33="")),"Approval ref/date missing; ","")&amp;IF(AND(O33&lt;&gt;"",K33&lt;&gt;"Approved"),"PO without approval; ","")&amp;IF(AND(O33&lt;&gt;"",OR(P33="",M33="",Q33="",S33="",T33="")),"PO details missing; ","")&amp;IF(AND(O33&lt;&gt;"",AR33=""),"Committed date missing; ","")&amp;IF(AND(ISNUMBER(J33),ISNUMBER(B33),N(J33)&lt;N(B33)),"Approval dated before PR; ","")&amp;IF(AND(ISNUMBER(P33),ISNUMBER(J33),N(P33)&lt;N(J33)),"PO dated before approval; ","")&amp;IF(AND(ISNUMBER(AY33),ISNUMBER(AS33),N(AY33)&lt;N(AS33)),"Close before in-house start; ","")&amp;IF(AND(AY33&lt;&gt;"",AS33=""),"In-house start date missing; ","")&amp;IF(AND(AY33&lt;&gt;"",AT33=""),"Qty received missing; ","")&amp;IF(AND(AY33&lt;&gt;"",BF33=""),"QC status missing; ","")&amp;IF(N(AT33)&gt;N(Q33)*1.05,"Received &gt; ordered +5%; ","")&amp;IF(AND(N(AI33)&gt;0,AE33=""),"Payment terms missing; ","")&amp;IF(N(AI33)&gt;N(AD33)+1,"Overpaid vs PO; ","")&amp;IF(AND(N(AK33)&gt;0,AY33&lt;&gt;"",AO33=""),"Payment due date missing; ","")))</f>
        <v>OK</v>
      </c>
      <c r="BK33" s="76" t="str">
        <f aca="false">IF(A33="","",IF(N(AP33)&gt;0,"Pay supplier: "&amp;N(AP33)&amp;" days overdue; ","")&amp;IF(AND(O33&lt;&gt;"",AY33="",N(BD33)&gt;0),"Expedite delivery: "&amp;N(BD33)&amp;" days late; ","")&amp;IF(AND(BI33="Awaiting Approval",ISNUMBER(B33),Settings!$B$4-N(B33)&gt;Settings!$B$19),"Get approval: PR waiting "&amp;(Settings!$B$4-N(B33))&amp;" days; ","")&amp;IF(AND(BI33="Approved - PO Pending",ISNUMBER(J33),Settings!$B$4-N(J33)&gt;Settings!$B$20),"Issue PO: approved "&amp;(Settings!$B$4-N(J33))&amp;" days ago; ","")&amp;IF(AND(OR(BI33="Awaiting Approval",BI33="Approved - PO Pending"),N(AB33)&gt;Settings!$B$7),"Negotiate price: "&amp;TEXT(AB33,"0%")&amp;" above budget; ","")&amp;IF(LEFT(AX33,12)="Short Closed","Short closed: claim balance / credit note"&amp;IF(N(AL33)&gt;0," BDT "&amp;TEXT(AL33,"#,##0"),"")&amp;"; ","")&amp;IF(BF33="Rejected","QC rejected: return / replace; ","")&amp;IF(AND(O33&lt;&gt;"",AY33="",N(AL33)&gt;0,N(BD33)&gt;0),"Advance at risk: BDT "&amp;TEXT(AL33,"#,##0")&amp;" paid, goods late; ","")&amp;IF(AND(BJ33&lt;&gt;"",BJ33&lt;&gt;"OK"),"Fix data entry (see Data Check); ",""))</f>
        <v/>
      </c>
      <c r="BL33" s="73" t="str">
        <f aca="false">IF(BK33="","",IF(OR(N(AP33)&gt;30,AND(AY33="",N(BD33)&gt;15),BF33="Rejected",AND(LEFT(AX33,12)="Short Closed",N(AL33)&gt;0),AND(O33&lt;&gt;"",AY33="",N(AL33)&gt;0,N(BD33)&gt;0)),"High",IF(OR(N(AP33)&gt;0,AND(AY33="",N(BD33)&gt;7),LEFT(AX33,12)="Short Closed",AND(BI33="Awaiting Approval",ISNUMBER(B33),Settings!$B$4-N(B33)&gt;2*Settings!$B$19),AND(BI33="Approved - PO Pending",ISNUMBER(J33),Settings!$B$4-N(J33)&gt;2*Settings!$B$20)),"Medium","Low")))</f>
        <v/>
      </c>
      <c r="BM33" s="77" t="str">
        <f aca="false">IF(BL33="","",IF(BL33="High",1,IF(BL33="Medium",2,3))*10000+ROW())</f>
        <v/>
      </c>
      <c r="BN33" s="62"/>
    </row>
    <row r="34" customFormat="false" ht="18" hidden="false" customHeight="true" outlineLevel="0" collapsed="false">
      <c r="A34" s="60" t="s">
        <v>355</v>
      </c>
      <c r="B34" s="61" t="n">
        <v>46259</v>
      </c>
      <c r="C34" s="62" t="s">
        <v>153</v>
      </c>
      <c r="D34" s="62" t="s">
        <v>154</v>
      </c>
      <c r="E34" s="62" t="s">
        <v>184</v>
      </c>
      <c r="F34" s="62" t="s">
        <v>185</v>
      </c>
      <c r="G34" s="62" t="s">
        <v>186</v>
      </c>
      <c r="H34" s="60" t="s">
        <v>43</v>
      </c>
      <c r="I34" s="60" t="s">
        <v>356</v>
      </c>
      <c r="J34" s="61" t="n">
        <v>46261</v>
      </c>
      <c r="K34" s="60" t="s">
        <v>159</v>
      </c>
      <c r="L34" s="60" t="s">
        <v>160</v>
      </c>
      <c r="M34" s="62" t="s">
        <v>188</v>
      </c>
      <c r="N34" s="60" t="s">
        <v>189</v>
      </c>
      <c r="O34" s="60" t="s">
        <v>357</v>
      </c>
      <c r="P34" s="61" t="n">
        <v>46263</v>
      </c>
      <c r="Q34" s="63" t="n">
        <v>5200</v>
      </c>
      <c r="R34" s="60" t="s">
        <v>191</v>
      </c>
      <c r="S34" s="64" t="n">
        <v>3.04</v>
      </c>
      <c r="T34" s="60" t="s">
        <v>165</v>
      </c>
      <c r="U34" s="65" t="n">
        <f aca="false">IF(AND(T34="",S34=""),"",IF(T34="",1,IFERROR(INDEX(Settings!$B$12:$B$16,MATCH(T34,Settings!$A$12:$A$16,0)),1)))</f>
        <v>122</v>
      </c>
      <c r="V34" s="64" t="n">
        <v>387.41</v>
      </c>
      <c r="W34" s="66" t="n">
        <f aca="false">IF(OR(Q34="",S34=""),"",Q34*S34*U34)</f>
        <v>1928576</v>
      </c>
      <c r="X34" s="65" t="n">
        <f aca="false">IF(OR(W34="",N(Q34)=0),"",W34/Q34)</f>
        <v>370.88</v>
      </c>
      <c r="Y34" s="65" t="n">
        <f aca="false">IF(OR(X34="",P34="",E34=""),"",IF(_xlfn.MAXIFS($P$6:$P$205,$E$6:$E$205,E34,$P$6:$P$205,"&lt;"&amp;P34,$X$6:$X$205,"&gt;0")=0,"",IFERROR(AVERAGEIFS($X$6:$X$205,$E$6:$E$205,E34,$P$6:$P$205,_xlfn.MAXIFS($P$6:$P$205,$E$6:$E$205,E34,$P$6:$P$205,"&lt;"&amp;P34,$X$6:$X$205,"&gt;0"),$X$6:$X$205,"&gt;0"),"")))</f>
        <v>379.42</v>
      </c>
      <c r="Z34" s="67" t="n">
        <f aca="false">IF(OR(Y34="",X34=""),"",X34/Y34-1)</f>
        <v>-0.0225080385852091</v>
      </c>
      <c r="AA34" s="68" t="n">
        <f aca="false">IF(OR(W34="",V34=""),"",W34-Q34*V34)</f>
        <v>-85956.0000000002</v>
      </c>
      <c r="AB34" s="69" t="n">
        <f aca="false">IF(AA34="","",IF(N(V34)*N(Q34)=0,"",AA34/(Q34*V34)))</f>
        <v>-0.0426679744973027</v>
      </c>
      <c r="AC34" s="70" t="n">
        <v>0.15</v>
      </c>
      <c r="AD34" s="66" t="n">
        <f aca="false">IF(W34="","",W34*(1+N(AC34)))</f>
        <v>2217862.4</v>
      </c>
      <c r="AE34" s="62" t="s">
        <v>192</v>
      </c>
      <c r="AF34" s="71"/>
      <c r="AG34" s="71"/>
      <c r="AH34" s="71" t="n">
        <v>2217862.4</v>
      </c>
      <c r="AI34" s="66" t="n">
        <f aca="false">IF(A34="","",N(AF34)+N(AG34)+N(AH34))</f>
        <v>2217862.4</v>
      </c>
      <c r="AJ34" s="72" t="n">
        <f aca="false">IF(AD34="","",IF(N(AD34)=0,"",AI34/AD34))</f>
        <v>1</v>
      </c>
      <c r="AK34" s="66" t="n">
        <f aca="false">IF(AD34="","",IF(AD34-AI34&lt;1,0,ROUND(AD34-AI34,2)))</f>
        <v>0</v>
      </c>
      <c r="AL34" s="66" t="n">
        <f aca="false">IF(OR(O34="",AD34=""),"",MAX(0,ROUND(N(AI34)-(AD34-N(AW34)),0)))</f>
        <v>2217862</v>
      </c>
      <c r="AM34" s="73" t="str">
        <f aca="false">IF(A34="","",IF(O34="","No PO Yet",IF(AI34=0,"Not Paid",IF(N(AJ34)&gt;=0.999,"Fully Paid",IF(N(AG34)+N(AH34)&gt;0,"Partially Paid","Initial / Advance Paid")))))</f>
        <v>Fully Paid</v>
      </c>
      <c r="AN34" s="61" t="n">
        <v>46301</v>
      </c>
      <c r="AO34" s="61"/>
      <c r="AP34" s="74" t="str">
        <f aca="false">IF(AK34="","",IF(OR(N(AK34)=0,AO34=""),"",MAX(0,Settings!$B$4-AO34)))</f>
        <v/>
      </c>
      <c r="AQ34" s="73" t="str">
        <f aca="false">IF(AK34="","",IF(N(AK34)&lt;=0,"",IF(AO34="","No Due Date",IF(Settings!$B$4&lt;=AO34,"Not Yet Due",IF(Settings!$B$4-AO34&lt;=30,"1-30 Days",IF(Settings!$B$4-AO34&lt;=60,"31-60 Days",IF(Settings!$B$4-AO34&lt;=90,"61-90 Days","90+ Days")))))))</f>
        <v/>
      </c>
      <c r="AR34" s="61" t="n">
        <v>46311</v>
      </c>
      <c r="AS34" s="61"/>
      <c r="AT34" s="63"/>
      <c r="AU34" s="72" t="n">
        <f aca="false">IF(Q34="","",IF(N(Q34)=0,"",N(AT34)/Q34))</f>
        <v>0</v>
      </c>
      <c r="AV34" s="75" t="n">
        <f aca="false">IF(OR(A34="",O34="",Q34=""),"",MAX(0,Q34-N(AT34)))</f>
        <v>5200</v>
      </c>
      <c r="AW34" s="66" t="n">
        <f aca="false">IF(OR(AV34="",W34=""),"",IF(N(Q34)=0,0,AV34/Q34*AD34))</f>
        <v>2217862.4</v>
      </c>
      <c r="AX34" s="76" t="str">
        <f aca="false">IF(A34="","",IF(O34="","No PO Yet",IF(Q34="","Order Qty Missing",IF(N(AT34)&gt;=Q34,IF(N(AT34)&gt;Q34,"All In-house (+"&amp;TEXT(N(AT34)-Q34,"#,##0")&amp;" "&amp;R34&amp;" excess)","All In-house"),IF(AY34&lt;&gt;"","Short Closed - "&amp;TEXT(AV34,"#,##0")&amp;" "&amp;R34&amp;" not received",IF(N(AT34)=0,"Not Started - "&amp;TEXT(AV34,"#,##0")&amp;" "&amp;R34&amp;" pending","Pending "&amp;TEXT(AV34,"#,##0")&amp;" "&amp;R34&amp;" ("&amp;TEXT(AU34,"0%")&amp;" received)"))))))</f>
        <v>Not Started - 5,200 meter pending</v>
      </c>
      <c r="AY34" s="61"/>
      <c r="AZ34" s="77" t="n">
        <f aca="false">IF(OR(B34="",J34=""),"",J34-B34)</f>
        <v>2</v>
      </c>
      <c r="BA34" s="77" t="n">
        <f aca="false">IF(OR(J34="",P34=""),"",P34-J34)</f>
        <v>2</v>
      </c>
      <c r="BB34" s="77" t="str">
        <f aca="false">IF(OR(P34="",AY34=""),"",AY34-P34)</f>
        <v/>
      </c>
      <c r="BC34" s="77" t="str">
        <f aca="false">IF(OR(B34="",AY34=""),"",AY34-B34)</f>
        <v/>
      </c>
      <c r="BD34" s="74" t="n">
        <f aca="false">IF(OR(AR34="",O34=""),"",MAX(0,IF(AY34="",Settings!$B$4,AY34)-AR34))</f>
        <v>0</v>
      </c>
      <c r="BE34" s="73" t="str">
        <f aca="false">IF(OR(AY34="",AR34=""),"",IF(AND(AY34&lt;=AR34,N(AU34)&gt;=Settings!$B$6),"OTIF","Not OTIF"))</f>
        <v/>
      </c>
      <c r="BF34" s="60"/>
      <c r="BG34" s="62"/>
      <c r="BH34" s="78"/>
      <c r="BI34" s="76" t="str">
        <f aca="false">IF(A34="","",IF(K34="Rejected","Rejected",IF(K34&lt;&gt;"Approved","Awaiting Approval",IF(O34="","Approved - PO Pending",IF(AY34&lt;&gt;"",IF(N(AJ34)&gt;=0.999,"Closed","In-house Closed - Payment Due"),IF(AS34&lt;&gt;"","Receiving In-house","PO Issued - Awaiting Delivery"))))))</f>
        <v>PO Issued - Awaiting Delivery</v>
      </c>
      <c r="BJ34" s="76" t="str">
        <f aca="false">IF(A34="","",IF(IF(AND(A34&lt;&gt;"",OR(B34="",C34="",E34="",F34="",H34="")),"PR info missing; ","")&amp;IF(AND(K34="Approved",OR(J34="",I34="")),"Approval ref/date missing; ","")&amp;IF(AND(O34&lt;&gt;"",K34&lt;&gt;"Approved"),"PO without approval; ","")&amp;IF(AND(O34&lt;&gt;"",OR(P34="",M34="",Q34="",S34="",T34="")),"PO details missing; ","")&amp;IF(AND(O34&lt;&gt;"",AR34=""),"Committed date missing; ","")&amp;IF(AND(ISNUMBER(J34),ISNUMBER(B34),N(J34)&lt;N(B34)),"Approval dated before PR; ","")&amp;IF(AND(ISNUMBER(P34),ISNUMBER(J34),N(P34)&lt;N(J34)),"PO dated before approval; ","")&amp;IF(AND(ISNUMBER(AY34),ISNUMBER(AS34),N(AY34)&lt;N(AS34)),"Close before in-house start; ","")&amp;IF(AND(AY34&lt;&gt;"",AS34=""),"In-house start date missing; ","")&amp;IF(AND(AY34&lt;&gt;"",AT34=""),"Qty received missing; ","")&amp;IF(AND(AY34&lt;&gt;"",BF34=""),"QC status missing; ","")&amp;IF(N(AT34)&gt;N(Q34)*1.05,"Received &gt; ordered +5%; ","")&amp;IF(AND(N(AI34)&gt;0,AE34=""),"Payment terms missing; ","")&amp;IF(N(AI34)&gt;N(AD34)+1,"Overpaid vs PO; ","")&amp;IF(AND(N(AK34)&gt;0,AY34&lt;&gt;"",AO34=""),"Payment due date missing; ","")="","OK",IF(AND(A34&lt;&gt;"",OR(B34="",C34="",E34="",F34="",H34="")),"PR info missing; ","")&amp;IF(AND(K34="Approved",OR(J34="",I34="")),"Approval ref/date missing; ","")&amp;IF(AND(O34&lt;&gt;"",K34&lt;&gt;"Approved"),"PO without approval; ","")&amp;IF(AND(O34&lt;&gt;"",OR(P34="",M34="",Q34="",S34="",T34="")),"PO details missing; ","")&amp;IF(AND(O34&lt;&gt;"",AR34=""),"Committed date missing; ","")&amp;IF(AND(ISNUMBER(J34),ISNUMBER(B34),N(J34)&lt;N(B34)),"Approval dated before PR; ","")&amp;IF(AND(ISNUMBER(P34),ISNUMBER(J34),N(P34)&lt;N(J34)),"PO dated before approval; ","")&amp;IF(AND(ISNUMBER(AY34),ISNUMBER(AS34),N(AY34)&lt;N(AS34)),"Close before in-house start; ","")&amp;IF(AND(AY34&lt;&gt;"",AS34=""),"In-house start date missing; ","")&amp;IF(AND(AY34&lt;&gt;"",AT34=""),"Qty received missing; ","")&amp;IF(AND(AY34&lt;&gt;"",BF34=""),"QC status missing; ","")&amp;IF(N(AT34)&gt;N(Q34)*1.05,"Received &gt; ordered +5%; ","")&amp;IF(AND(N(AI34)&gt;0,AE34=""),"Payment terms missing; ","")&amp;IF(N(AI34)&gt;N(AD34)+1,"Overpaid vs PO; ","")&amp;IF(AND(N(AK34)&gt;0,AY34&lt;&gt;"",AO34=""),"Payment due date missing; ","")))</f>
        <v>OK</v>
      </c>
      <c r="BK34" s="76" t="str">
        <f aca="false">IF(A34="","",IF(N(AP34)&gt;0,"Pay supplier: "&amp;N(AP34)&amp;" days overdue; ","")&amp;IF(AND(O34&lt;&gt;"",AY34="",N(BD34)&gt;0),"Expedite delivery: "&amp;N(BD34)&amp;" days late; ","")&amp;IF(AND(BI34="Awaiting Approval",ISNUMBER(B34),Settings!$B$4-N(B34)&gt;Settings!$B$19),"Get approval: PR waiting "&amp;(Settings!$B$4-N(B34))&amp;" days; ","")&amp;IF(AND(BI34="Approved - PO Pending",ISNUMBER(J34),Settings!$B$4-N(J34)&gt;Settings!$B$20),"Issue PO: approved "&amp;(Settings!$B$4-N(J34))&amp;" days ago; ","")&amp;IF(AND(OR(BI34="Awaiting Approval",BI34="Approved - PO Pending"),N(AB34)&gt;Settings!$B$7),"Negotiate price: "&amp;TEXT(AB34,"0%")&amp;" above budget; ","")&amp;IF(LEFT(AX34,12)="Short Closed","Short closed: claim balance / credit note"&amp;IF(N(AL34)&gt;0," BDT "&amp;TEXT(AL34,"#,##0"),"")&amp;"; ","")&amp;IF(BF34="Rejected","QC rejected: return / replace; ","")&amp;IF(AND(O34&lt;&gt;"",AY34="",N(AL34)&gt;0,N(BD34)&gt;0),"Advance at risk: BDT "&amp;TEXT(AL34,"#,##0")&amp;" paid, goods late; ","")&amp;IF(AND(BJ34&lt;&gt;"",BJ34&lt;&gt;"OK"),"Fix data entry (see Data Check); ",""))</f>
        <v/>
      </c>
      <c r="BL34" s="73" t="str">
        <f aca="false">IF(BK34="","",IF(OR(N(AP34)&gt;30,AND(AY34="",N(BD34)&gt;15),BF34="Rejected",AND(LEFT(AX34,12)="Short Closed",N(AL34)&gt;0),AND(O34&lt;&gt;"",AY34="",N(AL34)&gt;0,N(BD34)&gt;0)),"High",IF(OR(N(AP34)&gt;0,AND(AY34="",N(BD34)&gt;7),LEFT(AX34,12)="Short Closed",AND(BI34="Awaiting Approval",ISNUMBER(B34),Settings!$B$4-N(B34)&gt;2*Settings!$B$19),AND(BI34="Approved - PO Pending",ISNUMBER(J34),Settings!$B$4-N(J34)&gt;2*Settings!$B$20)),"Medium","Low")))</f>
        <v/>
      </c>
      <c r="BM34" s="77" t="str">
        <f aca="false">IF(BL34="","",IF(BL34="High",1,IF(BL34="Medium",2,3))*10000+ROW())</f>
        <v/>
      </c>
      <c r="BN34" s="62"/>
    </row>
    <row r="35" customFormat="false" ht="18" hidden="false" customHeight="true" outlineLevel="0" collapsed="false">
      <c r="A35" s="60" t="s">
        <v>358</v>
      </c>
      <c r="B35" s="61" t="n">
        <v>46264</v>
      </c>
      <c r="C35" s="62" t="s">
        <v>298</v>
      </c>
      <c r="D35" s="62" t="s">
        <v>299</v>
      </c>
      <c r="E35" s="62" t="s">
        <v>300</v>
      </c>
      <c r="F35" s="62" t="s">
        <v>301</v>
      </c>
      <c r="G35" s="62" t="s">
        <v>302</v>
      </c>
      <c r="H35" s="60" t="s">
        <v>43</v>
      </c>
      <c r="I35" s="60" t="s">
        <v>359</v>
      </c>
      <c r="J35" s="61" t="n">
        <v>46267</v>
      </c>
      <c r="K35" s="60" t="s">
        <v>159</v>
      </c>
      <c r="L35" s="60" t="s">
        <v>172</v>
      </c>
      <c r="M35" s="62" t="s">
        <v>294</v>
      </c>
      <c r="N35" s="60" t="s">
        <v>162</v>
      </c>
      <c r="O35" s="60" t="s">
        <v>360</v>
      </c>
      <c r="P35" s="61" t="n">
        <v>46269</v>
      </c>
      <c r="Q35" s="63" t="n">
        <v>200</v>
      </c>
      <c r="R35" s="60" t="s">
        <v>296</v>
      </c>
      <c r="S35" s="64" t="n">
        <v>963</v>
      </c>
      <c r="T35" s="60" t="s">
        <v>180</v>
      </c>
      <c r="U35" s="65" t="n">
        <f aca="false">IF(AND(T35="",S35=""),"",IF(T35="",1,IFERROR(INDEX(Settings!$B$12:$B$16,MATCH(T35,Settings!$A$12:$A$16,0)),1)))</f>
        <v>1</v>
      </c>
      <c r="V35" s="64" t="n">
        <v>940.14</v>
      </c>
      <c r="W35" s="66" t="n">
        <f aca="false">IF(OR(Q35="",S35=""),"",Q35*S35*U35)</f>
        <v>192600</v>
      </c>
      <c r="X35" s="65" t="n">
        <f aca="false">IF(OR(W35="",N(Q35)=0),"",W35/Q35)</f>
        <v>963</v>
      </c>
      <c r="Y35" s="65" t="n">
        <f aca="false">IF(OR(X35="",P35="",E35=""),"",IF(_xlfn.MAXIFS($P$6:$P$205,$E$6:$E$205,E35,$P$6:$P$205,"&lt;"&amp;P35,$X$6:$X$205,"&gt;0")=0,"",IFERROR(AVERAGEIFS($X$6:$X$205,$E$6:$E$205,E35,$P$6:$P$205,_xlfn.MAXIFS($P$6:$P$205,$E$6:$E$205,E35,$P$6:$P$205,"&lt;"&amp;P35,$X$6:$X$205,"&gt;0"),$X$6:$X$205,"&gt;0"),"")))</f>
        <v>913</v>
      </c>
      <c r="Z35" s="67" t="n">
        <f aca="false">IF(OR(Y35="",X35=""),"",X35/Y35-1)</f>
        <v>0.0547645125958378</v>
      </c>
      <c r="AA35" s="68" t="n">
        <f aca="false">IF(OR(W35="",V35=""),"",W35-Q35*V35)</f>
        <v>4572</v>
      </c>
      <c r="AB35" s="69" t="n">
        <f aca="false">IF(AA35="","",IF(N(V35)*N(Q35)=0,"",AA35/(Q35*V35)))</f>
        <v>0.0243155274746314</v>
      </c>
      <c r="AC35" s="70" t="n">
        <v>0.075</v>
      </c>
      <c r="AD35" s="66" t="n">
        <f aca="false">IF(W35="","",W35*(1+N(AC35)))</f>
        <v>207045</v>
      </c>
      <c r="AE35" s="62" t="s">
        <v>166</v>
      </c>
      <c r="AF35" s="71" t="n">
        <v>62113.5</v>
      </c>
      <c r="AG35" s="71"/>
      <c r="AH35" s="71"/>
      <c r="AI35" s="66" t="n">
        <f aca="false">IF(A35="","",N(AF35)+N(AG35)+N(AH35))</f>
        <v>62113.5</v>
      </c>
      <c r="AJ35" s="72" t="n">
        <f aca="false">IF(AD35="","",IF(N(AD35)=0,"",AI35/AD35))</f>
        <v>0.3</v>
      </c>
      <c r="AK35" s="66" t="n">
        <f aca="false">IF(AD35="","",IF(AD35-AI35&lt;1,0,ROUND(AD35-AI35,2)))</f>
        <v>144931.5</v>
      </c>
      <c r="AL35" s="66" t="n">
        <f aca="false">IF(OR(O35="",AD35=""),"",MAX(0,ROUND(N(AI35)-(AD35-N(AW35)),0)))</f>
        <v>0</v>
      </c>
      <c r="AM35" s="73" t="str">
        <f aca="false">IF(A35="","",IF(O35="","No PO Yet",IF(AI35=0,"Not Paid",IF(N(AJ35)&gt;=0.999,"Fully Paid",IF(N(AG35)+N(AH35)&gt;0,"Partially Paid","Initial / Advance Paid")))))</f>
        <v>Initial / Advance Paid</v>
      </c>
      <c r="AN35" s="61" t="n">
        <v>46271</v>
      </c>
      <c r="AO35" s="61" t="n">
        <v>46298</v>
      </c>
      <c r="AP35" s="74" t="n">
        <f aca="false">IF(AK35="","",IF(OR(N(AK35)=0,AO35=""),"",MAX(0,Settings!$B$4-AO35)))</f>
        <v>12</v>
      </c>
      <c r="AQ35" s="73" t="str">
        <f aca="false">IF(AK35="","",IF(N(AK35)&lt;=0,"",IF(AO35="","No Due Date",IF(Settings!$B$4&lt;=AO35,"Not Yet Due",IF(Settings!$B$4-AO35&lt;=30,"1-30 Days",IF(Settings!$B$4-AO35&lt;=60,"31-60 Days",IF(Settings!$B$4-AO35&lt;=90,"61-90 Days","90+ Days")))))))</f>
        <v>1-30 Days</v>
      </c>
      <c r="AR35" s="61" t="n">
        <v>46285</v>
      </c>
      <c r="AS35" s="61" t="n">
        <v>46283</v>
      </c>
      <c r="AT35" s="63" t="n">
        <v>200</v>
      </c>
      <c r="AU35" s="72" t="n">
        <f aca="false">IF(Q35="","",IF(N(Q35)=0,"",N(AT35)/Q35))</f>
        <v>1</v>
      </c>
      <c r="AV35" s="75" t="n">
        <f aca="false">IF(OR(A35="",O35="",Q35=""),"",MAX(0,Q35-N(AT35)))</f>
        <v>0</v>
      </c>
      <c r="AW35" s="66" t="n">
        <f aca="false">IF(OR(AV35="",W35=""),"",IF(N(Q35)=0,0,AV35/Q35*AD35))</f>
        <v>0</v>
      </c>
      <c r="AX35" s="76" t="str">
        <f aca="false">IF(A35="","",IF(O35="","No PO Yet",IF(Q35="","Order Qty Missing",IF(N(AT35)&gt;=Q35,IF(N(AT35)&gt;Q35,"All In-house (+"&amp;TEXT(N(AT35)-Q35,"#,##0")&amp;" "&amp;R35&amp;" excess)","All In-house"),IF(AY35&lt;&gt;"","Short Closed - "&amp;TEXT(AV35,"#,##0")&amp;" "&amp;R35&amp;" not received",IF(N(AT35)=0,"Not Started - "&amp;TEXT(AV35,"#,##0")&amp;" "&amp;R35&amp;" pending","Pending "&amp;TEXT(AV35,"#,##0")&amp;" "&amp;R35&amp;" ("&amp;TEXT(AU35,"0%")&amp;" received)"))))))</f>
        <v>All In-house</v>
      </c>
      <c r="AY35" s="61" t="n">
        <v>46283</v>
      </c>
      <c r="AZ35" s="77" t="n">
        <f aca="false">IF(OR(B35="",J35=""),"",J35-B35)</f>
        <v>3</v>
      </c>
      <c r="BA35" s="77" t="n">
        <f aca="false">IF(OR(J35="",P35=""),"",P35-J35)</f>
        <v>2</v>
      </c>
      <c r="BB35" s="77" t="n">
        <f aca="false">IF(OR(P35="",AY35=""),"",AY35-P35)</f>
        <v>14</v>
      </c>
      <c r="BC35" s="77" t="n">
        <f aca="false">IF(OR(B35="",AY35=""),"",AY35-B35)</f>
        <v>19</v>
      </c>
      <c r="BD35" s="74" t="n">
        <f aca="false">IF(OR(AR35="",O35=""),"",MAX(0,IF(AY35="",Settings!$B$4,AY35)-AR35))</f>
        <v>0</v>
      </c>
      <c r="BE35" s="73" t="str">
        <f aca="false">IF(OR(AY35="",AR35=""),"",IF(AND(AY35&lt;=AR35,N(AU35)&gt;=Settings!$B$6),"OTIF","Not OTIF"))</f>
        <v>OTIF</v>
      </c>
      <c r="BF35" s="60" t="s">
        <v>159</v>
      </c>
      <c r="BG35" s="62"/>
      <c r="BH35" s="78"/>
      <c r="BI35" s="76" t="str">
        <f aca="false">IF(A35="","",IF(K35="Rejected","Rejected",IF(K35&lt;&gt;"Approved","Awaiting Approval",IF(O35="","Approved - PO Pending",IF(AY35&lt;&gt;"",IF(N(AJ35)&gt;=0.999,"Closed","In-house Closed - Payment Due"),IF(AS35&lt;&gt;"","Receiving In-house","PO Issued - Awaiting Delivery"))))))</f>
        <v>In-house Closed - Payment Due</v>
      </c>
      <c r="BJ35" s="76" t="str">
        <f aca="false">IF(A35="","",IF(IF(AND(A35&lt;&gt;"",OR(B35="",C35="",E35="",F35="",H35="")),"PR info missing; ","")&amp;IF(AND(K35="Approved",OR(J35="",I35="")),"Approval ref/date missing; ","")&amp;IF(AND(O35&lt;&gt;"",K35&lt;&gt;"Approved"),"PO without approval; ","")&amp;IF(AND(O35&lt;&gt;"",OR(P35="",M35="",Q35="",S35="",T35="")),"PO details missing; ","")&amp;IF(AND(O35&lt;&gt;"",AR35=""),"Committed date missing; ","")&amp;IF(AND(ISNUMBER(J35),ISNUMBER(B35),N(J35)&lt;N(B35)),"Approval dated before PR; ","")&amp;IF(AND(ISNUMBER(P35),ISNUMBER(J35),N(P35)&lt;N(J35)),"PO dated before approval; ","")&amp;IF(AND(ISNUMBER(AY35),ISNUMBER(AS35),N(AY35)&lt;N(AS35)),"Close before in-house start; ","")&amp;IF(AND(AY35&lt;&gt;"",AS35=""),"In-house start date missing; ","")&amp;IF(AND(AY35&lt;&gt;"",AT35=""),"Qty received missing; ","")&amp;IF(AND(AY35&lt;&gt;"",BF35=""),"QC status missing; ","")&amp;IF(N(AT35)&gt;N(Q35)*1.05,"Received &gt; ordered +5%; ","")&amp;IF(AND(N(AI35)&gt;0,AE35=""),"Payment terms missing; ","")&amp;IF(N(AI35)&gt;N(AD35)+1,"Overpaid vs PO; ","")&amp;IF(AND(N(AK35)&gt;0,AY35&lt;&gt;"",AO35=""),"Payment due date missing; ","")="","OK",IF(AND(A35&lt;&gt;"",OR(B35="",C35="",E35="",F35="",H35="")),"PR info missing; ","")&amp;IF(AND(K35="Approved",OR(J35="",I35="")),"Approval ref/date missing; ","")&amp;IF(AND(O35&lt;&gt;"",K35&lt;&gt;"Approved"),"PO without approval; ","")&amp;IF(AND(O35&lt;&gt;"",OR(P35="",M35="",Q35="",S35="",T35="")),"PO details missing; ","")&amp;IF(AND(O35&lt;&gt;"",AR35=""),"Committed date missing; ","")&amp;IF(AND(ISNUMBER(J35),ISNUMBER(B35),N(J35)&lt;N(B35)),"Approval dated before PR; ","")&amp;IF(AND(ISNUMBER(P35),ISNUMBER(J35),N(P35)&lt;N(J35)),"PO dated before approval; ","")&amp;IF(AND(ISNUMBER(AY35),ISNUMBER(AS35),N(AY35)&lt;N(AS35)),"Close before in-house start; ","")&amp;IF(AND(AY35&lt;&gt;"",AS35=""),"In-house start date missing; ","")&amp;IF(AND(AY35&lt;&gt;"",AT35=""),"Qty received missing; ","")&amp;IF(AND(AY35&lt;&gt;"",BF35=""),"QC status missing; ","")&amp;IF(N(AT35)&gt;N(Q35)*1.05,"Received &gt; ordered +5%; ","")&amp;IF(AND(N(AI35)&gt;0,AE35=""),"Payment terms missing; ","")&amp;IF(N(AI35)&gt;N(AD35)+1,"Overpaid vs PO; ","")&amp;IF(AND(N(AK35)&gt;0,AY35&lt;&gt;"",AO35=""),"Payment due date missing; ","")))</f>
        <v>OK</v>
      </c>
      <c r="BK35" s="76" t="str">
        <f aca="false">IF(A35="","",IF(N(AP35)&gt;0,"Pay supplier: "&amp;N(AP35)&amp;" days overdue; ","")&amp;IF(AND(O35&lt;&gt;"",AY35="",N(BD35)&gt;0),"Expedite delivery: "&amp;N(BD35)&amp;" days late; ","")&amp;IF(AND(BI35="Awaiting Approval",ISNUMBER(B35),Settings!$B$4-N(B35)&gt;Settings!$B$19),"Get approval: PR waiting "&amp;(Settings!$B$4-N(B35))&amp;" days; ","")&amp;IF(AND(BI35="Approved - PO Pending",ISNUMBER(J35),Settings!$B$4-N(J35)&gt;Settings!$B$20),"Issue PO: approved "&amp;(Settings!$B$4-N(J35))&amp;" days ago; ","")&amp;IF(AND(OR(BI35="Awaiting Approval",BI35="Approved - PO Pending"),N(AB35)&gt;Settings!$B$7),"Negotiate price: "&amp;TEXT(AB35,"0%")&amp;" above budget; ","")&amp;IF(LEFT(AX35,12)="Short Closed","Short closed: claim balance / credit note"&amp;IF(N(AL35)&gt;0," BDT "&amp;TEXT(AL35,"#,##0"),"")&amp;"; ","")&amp;IF(BF35="Rejected","QC rejected: return / replace; ","")&amp;IF(AND(O35&lt;&gt;"",AY35="",N(AL35)&gt;0,N(BD35)&gt;0),"Advance at risk: BDT "&amp;TEXT(AL35,"#,##0")&amp;" paid, goods late; ","")&amp;IF(AND(BJ35&lt;&gt;"",BJ35&lt;&gt;"OK"),"Fix data entry (see Data Check); ",""))</f>
        <v>Pay supplier: 12 days overdue; </v>
      </c>
      <c r="BL35" s="73" t="str">
        <f aca="false">IF(BK35="","",IF(OR(N(AP35)&gt;30,AND(AY35="",N(BD35)&gt;15),BF35="Rejected",AND(LEFT(AX35,12)="Short Closed",N(AL35)&gt;0),AND(O35&lt;&gt;"",AY35="",N(AL35)&gt;0,N(BD35)&gt;0)),"High",IF(OR(N(AP35)&gt;0,AND(AY35="",N(BD35)&gt;7),LEFT(AX35,12)="Short Closed",AND(BI35="Awaiting Approval",ISNUMBER(B35),Settings!$B$4-N(B35)&gt;2*Settings!$B$19),AND(BI35="Approved - PO Pending",ISNUMBER(J35),Settings!$B$4-N(J35)&gt;2*Settings!$B$20)),"Medium","Low")))</f>
        <v>Medium</v>
      </c>
      <c r="BM35" s="77" t="n">
        <f aca="false">IF(BL35="","",IF(BL35="High",1,IF(BL35="Medium",2,3))*10000+ROW())</f>
        <v>20035</v>
      </c>
      <c r="BN35" s="62"/>
    </row>
    <row r="36" customFormat="false" ht="39.75" hidden="false" customHeight="true" outlineLevel="0" collapsed="false">
      <c r="A36" s="60" t="s">
        <v>361</v>
      </c>
      <c r="B36" s="61" t="n">
        <v>46265</v>
      </c>
      <c r="C36" s="62" t="s">
        <v>195</v>
      </c>
      <c r="D36" s="62" t="s">
        <v>196</v>
      </c>
      <c r="E36" s="62" t="s">
        <v>221</v>
      </c>
      <c r="F36" s="62" t="s">
        <v>222</v>
      </c>
      <c r="G36" s="62" t="s">
        <v>223</v>
      </c>
      <c r="H36" s="60" t="s">
        <v>43</v>
      </c>
      <c r="I36" s="60" t="s">
        <v>362</v>
      </c>
      <c r="J36" s="61" t="n">
        <v>46268</v>
      </c>
      <c r="K36" s="60" t="s">
        <v>159</v>
      </c>
      <c r="L36" s="60" t="s">
        <v>160</v>
      </c>
      <c r="M36" s="62" t="s">
        <v>225</v>
      </c>
      <c r="N36" s="60" t="s">
        <v>162</v>
      </c>
      <c r="O36" s="60" t="s">
        <v>363</v>
      </c>
      <c r="P36" s="61" t="n">
        <v>46271</v>
      </c>
      <c r="Q36" s="63" t="n">
        <v>1300</v>
      </c>
      <c r="R36" s="60" t="s">
        <v>227</v>
      </c>
      <c r="S36" s="64" t="n">
        <v>438</v>
      </c>
      <c r="T36" s="60" t="s">
        <v>180</v>
      </c>
      <c r="U36" s="65" t="n">
        <f aca="false">IF(AND(T36="",S36=""),"",IF(T36="",1,IFERROR(INDEX(Settings!$B$12:$B$16,MATCH(T36,Settings!$A$12:$A$16,0)),1)))</f>
        <v>1</v>
      </c>
      <c r="V36" s="64" t="n">
        <v>408.86</v>
      </c>
      <c r="W36" s="66" t="n">
        <f aca="false">IF(OR(Q36="",S36=""),"",Q36*S36*U36)</f>
        <v>569400</v>
      </c>
      <c r="X36" s="65" t="n">
        <f aca="false">IF(OR(W36="",N(Q36)=0),"",W36/Q36)</f>
        <v>438</v>
      </c>
      <c r="Y36" s="65" t="n">
        <f aca="false">IF(OR(X36="",P36="",E36=""),"",IF(_xlfn.MAXIFS($P$6:$P$205,$E$6:$E$205,E36,$P$6:$P$205,"&lt;"&amp;P36,$X$6:$X$205,"&gt;0")=0,"",IFERROR(AVERAGEIFS($X$6:$X$205,$E$6:$E$205,E36,$P$6:$P$205,_xlfn.MAXIFS($P$6:$P$205,$E$6:$E$205,E36,$P$6:$P$205,"&lt;"&amp;P36,$X$6:$X$205,"&gt;0"),$X$6:$X$205,"&gt;0"),"")))</f>
        <v>431</v>
      </c>
      <c r="Z36" s="67" t="n">
        <f aca="false">IF(OR(Y36="",X36=""),"",X36/Y36-1)</f>
        <v>0.0162412993039442</v>
      </c>
      <c r="AA36" s="68" t="n">
        <f aca="false">IF(OR(W36="",V36=""),"",W36-Q36*V36)</f>
        <v>37882</v>
      </c>
      <c r="AB36" s="69" t="n">
        <f aca="false">IF(AA36="","",IF(N(V36)*N(Q36)=0,"",AA36/(Q36*V36)))</f>
        <v>0.0712713398229223</v>
      </c>
      <c r="AC36" s="70" t="n">
        <v>0.075</v>
      </c>
      <c r="AD36" s="66" t="n">
        <f aca="false">IF(W36="","",W36*(1+N(AC36)))</f>
        <v>612105</v>
      </c>
      <c r="AE36" s="62" t="s">
        <v>181</v>
      </c>
      <c r="AF36" s="71"/>
      <c r="AG36" s="71"/>
      <c r="AH36" s="71"/>
      <c r="AI36" s="66" t="n">
        <f aca="false">IF(A36="","",N(AF36)+N(AG36)+N(AH36))</f>
        <v>0</v>
      </c>
      <c r="AJ36" s="72" t="n">
        <f aca="false">IF(AD36="","",IF(N(AD36)=0,"",AI36/AD36))</f>
        <v>0</v>
      </c>
      <c r="AK36" s="66" t="n">
        <f aca="false">IF(AD36="","",IF(AD36-AI36&lt;1,0,ROUND(AD36-AI36,2)))</f>
        <v>612105</v>
      </c>
      <c r="AL36" s="66" t="n">
        <f aca="false">IF(OR(O36="",AD36=""),"",MAX(0,ROUND(N(AI36)-(AD36-N(AW36)),0)))</f>
        <v>0</v>
      </c>
      <c r="AM36" s="73" t="str">
        <f aca="false">IF(A36="","",IF(O36="","No PO Yet",IF(AI36=0,"Not Paid",IF(N(AJ36)&gt;=0.999,"Fully Paid",IF(N(AG36)+N(AH36)&gt;0,"Partially Paid","Initial / Advance Paid")))))</f>
        <v>Not Paid</v>
      </c>
      <c r="AN36" s="61"/>
      <c r="AO36" s="61" t="n">
        <v>46315</v>
      </c>
      <c r="AP36" s="74" t="n">
        <f aca="false">IF(AK36="","",IF(OR(N(AK36)=0,AO36=""),"",MAX(0,Settings!$B$4-AO36)))</f>
        <v>0</v>
      </c>
      <c r="AQ36" s="73" t="str">
        <f aca="false">IF(AK36="","",IF(N(AK36)&lt;=0,"",IF(AO36="","No Due Date",IF(Settings!$B$4&lt;=AO36,"Not Yet Due",IF(Settings!$B$4-AO36&lt;=30,"1-30 Days",IF(Settings!$B$4-AO36&lt;=60,"31-60 Days",IF(Settings!$B$4-AO36&lt;=90,"61-90 Days","90+ Days")))))))</f>
        <v>Not Yet Due</v>
      </c>
      <c r="AR36" s="61" t="n">
        <v>46290</v>
      </c>
      <c r="AS36" s="61" t="n">
        <v>46284</v>
      </c>
      <c r="AT36" s="63" t="n">
        <v>1266</v>
      </c>
      <c r="AU36" s="72" t="n">
        <f aca="false">IF(Q36="","",IF(N(Q36)=0,"",N(AT36)/Q36))</f>
        <v>0.973846153846154</v>
      </c>
      <c r="AV36" s="75" t="n">
        <f aca="false">IF(OR(A36="",O36="",Q36=""),"",MAX(0,Q36-N(AT36)))</f>
        <v>34</v>
      </c>
      <c r="AW36" s="66" t="n">
        <f aca="false">IF(OR(AV36="",W36=""),"",IF(N(Q36)=0,0,AV36/Q36*AD36))</f>
        <v>16008.9</v>
      </c>
      <c r="AX36" s="76" t="str">
        <f aca="false">IF(A36="","",IF(O36="","No PO Yet",IF(Q36="","Order Qty Missing",IF(N(AT36)&gt;=Q36,IF(N(AT36)&gt;Q36,"All In-house (+"&amp;TEXT(N(AT36)-Q36,"#,##0")&amp;" "&amp;R36&amp;" excess)","All In-house"),IF(AY36&lt;&gt;"","Short Closed - "&amp;TEXT(AV36,"#,##0")&amp;" "&amp;R36&amp;" not received",IF(N(AT36)=0,"Not Started - "&amp;TEXT(AV36,"#,##0")&amp;" "&amp;R36&amp;" pending","Pending "&amp;TEXT(AV36,"#,##0")&amp;" "&amp;R36&amp;" ("&amp;TEXT(AU36,"0%")&amp;" received)"))))))</f>
        <v>Short Closed - 34 kg not received</v>
      </c>
      <c r="AY36" s="61" t="n">
        <v>46285</v>
      </c>
      <c r="AZ36" s="77" t="n">
        <f aca="false">IF(OR(B36="",J36=""),"",J36-B36)</f>
        <v>3</v>
      </c>
      <c r="BA36" s="77" t="n">
        <f aca="false">IF(OR(J36="",P36=""),"",P36-J36)</f>
        <v>3</v>
      </c>
      <c r="BB36" s="77" t="n">
        <f aca="false">IF(OR(P36="",AY36=""),"",AY36-P36)</f>
        <v>14</v>
      </c>
      <c r="BC36" s="77" t="n">
        <f aca="false">IF(OR(B36="",AY36=""),"",AY36-B36)</f>
        <v>20</v>
      </c>
      <c r="BD36" s="74" t="n">
        <f aca="false">IF(OR(AR36="",O36=""),"",MAX(0,IF(AY36="",Settings!$B$4,AY36)-AR36))</f>
        <v>0</v>
      </c>
      <c r="BE36" s="73" t="str">
        <f aca="false">IF(OR(AY36="",AR36=""),"",IF(AND(AY36&lt;=AR36,N(AU36)&gt;=Settings!$B$6),"OTIF","Not OTIF"))</f>
        <v>Not OTIF</v>
      </c>
      <c r="BF36" s="60" t="s">
        <v>159</v>
      </c>
      <c r="BG36" s="62" t="s">
        <v>364</v>
      </c>
      <c r="BH36" s="78"/>
      <c r="BI36" s="76" t="str">
        <f aca="false">IF(A36="","",IF(K36="Rejected","Rejected",IF(K36&lt;&gt;"Approved","Awaiting Approval",IF(O36="","Approved - PO Pending",IF(AY36&lt;&gt;"",IF(N(AJ36)&gt;=0.999,"Closed","In-house Closed - Payment Due"),IF(AS36&lt;&gt;"","Receiving In-house","PO Issued - Awaiting Delivery"))))))</f>
        <v>In-house Closed - Payment Due</v>
      </c>
      <c r="BJ36" s="76" t="str">
        <f aca="false">IF(A36="","",IF(IF(AND(A36&lt;&gt;"",OR(B36="",C36="",E36="",F36="",H36="")),"PR info missing; ","")&amp;IF(AND(K36="Approved",OR(J36="",I36="")),"Approval ref/date missing; ","")&amp;IF(AND(O36&lt;&gt;"",K36&lt;&gt;"Approved"),"PO without approval; ","")&amp;IF(AND(O36&lt;&gt;"",OR(P36="",M36="",Q36="",S36="",T36="")),"PO details missing; ","")&amp;IF(AND(O36&lt;&gt;"",AR36=""),"Committed date missing; ","")&amp;IF(AND(ISNUMBER(J36),ISNUMBER(B36),N(J36)&lt;N(B36)),"Approval dated before PR; ","")&amp;IF(AND(ISNUMBER(P36),ISNUMBER(J36),N(P36)&lt;N(J36)),"PO dated before approval; ","")&amp;IF(AND(ISNUMBER(AY36),ISNUMBER(AS36),N(AY36)&lt;N(AS36)),"Close before in-house start; ","")&amp;IF(AND(AY36&lt;&gt;"",AS36=""),"In-house start date missing; ","")&amp;IF(AND(AY36&lt;&gt;"",AT36=""),"Qty received missing; ","")&amp;IF(AND(AY36&lt;&gt;"",BF36=""),"QC status missing; ","")&amp;IF(N(AT36)&gt;N(Q36)*1.05,"Received &gt; ordered +5%; ","")&amp;IF(AND(N(AI36)&gt;0,AE36=""),"Payment terms missing; ","")&amp;IF(N(AI36)&gt;N(AD36)+1,"Overpaid vs PO; ","")&amp;IF(AND(N(AK36)&gt;0,AY36&lt;&gt;"",AO36=""),"Payment due date missing; ","")="","OK",IF(AND(A36&lt;&gt;"",OR(B36="",C36="",E36="",F36="",H36="")),"PR info missing; ","")&amp;IF(AND(K36="Approved",OR(J36="",I36="")),"Approval ref/date missing; ","")&amp;IF(AND(O36&lt;&gt;"",K36&lt;&gt;"Approved"),"PO without approval; ","")&amp;IF(AND(O36&lt;&gt;"",OR(P36="",M36="",Q36="",S36="",T36="")),"PO details missing; ","")&amp;IF(AND(O36&lt;&gt;"",AR36=""),"Committed date missing; ","")&amp;IF(AND(ISNUMBER(J36),ISNUMBER(B36),N(J36)&lt;N(B36)),"Approval dated before PR; ","")&amp;IF(AND(ISNUMBER(P36),ISNUMBER(J36),N(P36)&lt;N(J36)),"PO dated before approval; ","")&amp;IF(AND(ISNUMBER(AY36),ISNUMBER(AS36),N(AY36)&lt;N(AS36)),"Close before in-house start; ","")&amp;IF(AND(AY36&lt;&gt;"",AS36=""),"In-house start date missing; ","")&amp;IF(AND(AY36&lt;&gt;"",AT36=""),"Qty received missing; ","")&amp;IF(AND(AY36&lt;&gt;"",BF36=""),"QC status missing; ","")&amp;IF(N(AT36)&gt;N(Q36)*1.05,"Received &gt; ordered +5%; ","")&amp;IF(AND(N(AI36)&gt;0,AE36=""),"Payment terms missing; ","")&amp;IF(N(AI36)&gt;N(AD36)+1,"Overpaid vs PO; ","")&amp;IF(AND(N(AK36)&gt;0,AY36&lt;&gt;"",AO36=""),"Payment due date missing; ","")))</f>
        <v>OK</v>
      </c>
      <c r="BK36" s="76" t="str">
        <f aca="false">IF(A36="","",IF(N(AP36)&gt;0,"Pay supplier: "&amp;N(AP36)&amp;" days overdue; ","")&amp;IF(AND(O36&lt;&gt;"",AY36="",N(BD36)&gt;0),"Expedite delivery: "&amp;N(BD36)&amp;" days late; ","")&amp;IF(AND(BI36="Awaiting Approval",ISNUMBER(B36),Settings!$B$4-N(B36)&gt;Settings!$B$19),"Get approval: PR waiting "&amp;(Settings!$B$4-N(B36))&amp;" days; ","")&amp;IF(AND(BI36="Approved - PO Pending",ISNUMBER(J36),Settings!$B$4-N(J36)&gt;Settings!$B$20),"Issue PO: approved "&amp;(Settings!$B$4-N(J36))&amp;" days ago; ","")&amp;IF(AND(OR(BI36="Awaiting Approval",BI36="Approved - PO Pending"),N(AB36)&gt;Settings!$B$7),"Negotiate price: "&amp;TEXT(AB36,"0%")&amp;" above budget; ","")&amp;IF(LEFT(AX36,12)="Short Closed","Short closed: claim balance / credit note"&amp;IF(N(AL36)&gt;0," BDT "&amp;TEXT(AL36,"#,##0"),"")&amp;"; ","")&amp;IF(BF36="Rejected","QC rejected: return / replace; ","")&amp;IF(AND(O36&lt;&gt;"",AY36="",N(AL36)&gt;0,N(BD36)&gt;0),"Advance at risk: BDT "&amp;TEXT(AL36,"#,##0")&amp;" paid, goods late; ","")&amp;IF(AND(BJ36&lt;&gt;"",BJ36&lt;&gt;"OK"),"Fix data entry (see Data Check); ",""))</f>
        <v>Short closed: claim balance / credit note; </v>
      </c>
      <c r="BL36" s="73" t="str">
        <f aca="false">IF(BK36="","",IF(OR(N(AP36)&gt;30,AND(AY36="",N(BD36)&gt;15),BF36="Rejected",AND(LEFT(AX36,12)="Short Closed",N(AL36)&gt;0),AND(O36&lt;&gt;"",AY36="",N(AL36)&gt;0,N(BD36)&gt;0)),"High",IF(OR(N(AP36)&gt;0,AND(AY36="",N(BD36)&gt;7),LEFT(AX36,12)="Short Closed",AND(BI36="Awaiting Approval",ISNUMBER(B36),Settings!$B$4-N(B36)&gt;2*Settings!$B$19),AND(BI36="Approved - PO Pending",ISNUMBER(J36),Settings!$B$4-N(J36)&gt;2*Settings!$B$20)),"Medium","Low")))</f>
        <v>Medium</v>
      </c>
      <c r="BM36" s="77" t="n">
        <f aca="false">IF(BL36="","",IF(BL36="High",1,IF(BL36="Medium",2,3))*10000+ROW())</f>
        <v>20036</v>
      </c>
      <c r="BN36" s="62"/>
    </row>
    <row r="37" customFormat="false" ht="39.75" hidden="false" customHeight="true" outlineLevel="0" collapsed="false">
      <c r="A37" s="60" t="s">
        <v>365</v>
      </c>
      <c r="B37" s="61" t="n">
        <v>46268</v>
      </c>
      <c r="C37" s="62" t="s">
        <v>195</v>
      </c>
      <c r="D37" s="62" t="s">
        <v>196</v>
      </c>
      <c r="E37" s="62" t="s">
        <v>207</v>
      </c>
      <c r="F37" s="62" t="s">
        <v>198</v>
      </c>
      <c r="G37" s="62" t="s">
        <v>208</v>
      </c>
      <c r="H37" s="60" t="s">
        <v>43</v>
      </c>
      <c r="I37" s="60" t="s">
        <v>366</v>
      </c>
      <c r="J37" s="61" t="n">
        <v>46270</v>
      </c>
      <c r="K37" s="60" t="s">
        <v>159</v>
      </c>
      <c r="L37" s="60" t="s">
        <v>160</v>
      </c>
      <c r="M37" s="62" t="s">
        <v>201</v>
      </c>
      <c r="N37" s="60" t="s">
        <v>162</v>
      </c>
      <c r="O37" s="60" t="s">
        <v>367</v>
      </c>
      <c r="P37" s="61" t="n">
        <v>46274</v>
      </c>
      <c r="Q37" s="63" t="n">
        <v>6600</v>
      </c>
      <c r="R37" s="60" t="s">
        <v>203</v>
      </c>
      <c r="S37" s="64" t="n">
        <v>124</v>
      </c>
      <c r="T37" s="60" t="s">
        <v>180</v>
      </c>
      <c r="U37" s="65" t="n">
        <f aca="false">IF(AND(T37="",S37=""),"",IF(T37="",1,IFERROR(INDEX(Settings!$B$12:$B$16,MATCH(T37,Settings!$A$12:$A$16,0)),1)))</f>
        <v>1</v>
      </c>
      <c r="V37" s="64" t="n">
        <v>120.22</v>
      </c>
      <c r="W37" s="66" t="n">
        <f aca="false">IF(OR(Q37="",S37=""),"",Q37*S37*U37)</f>
        <v>818400</v>
      </c>
      <c r="X37" s="65" t="n">
        <f aca="false">IF(OR(W37="",N(Q37)=0),"",W37/Q37)</f>
        <v>124</v>
      </c>
      <c r="Y37" s="65" t="n">
        <f aca="false">IF(OR(X37="",P37="",E37=""),"",IF(_xlfn.MAXIFS($P$6:$P$205,$E$6:$E$205,E37,$P$6:$P$205,"&lt;"&amp;P37,$X$6:$X$205,"&gt;0")=0,"",IFERROR(AVERAGEIFS($X$6:$X$205,$E$6:$E$205,E37,$P$6:$P$205,_xlfn.MAXIFS($P$6:$P$205,$E$6:$E$205,E37,$P$6:$P$205,"&lt;"&amp;P37,$X$6:$X$205,"&gt;0"),$X$6:$X$205,"&gt;0"),"")))</f>
        <v>125</v>
      </c>
      <c r="Z37" s="67" t="n">
        <f aca="false">IF(OR(Y37="",X37=""),"",X37/Y37-1)</f>
        <v>-0.00800000000000001</v>
      </c>
      <c r="AA37" s="68" t="n">
        <f aca="false">IF(OR(W37="",V37=""),"",W37-Q37*V37)</f>
        <v>24948</v>
      </c>
      <c r="AB37" s="69" t="n">
        <f aca="false">IF(AA37="","",IF(N(V37)*N(Q37)=0,"",AA37/(Q37*V37)))</f>
        <v>0.031442355681251</v>
      </c>
      <c r="AC37" s="70" t="n">
        <v>0.05</v>
      </c>
      <c r="AD37" s="66" t="n">
        <f aca="false">IF(W37="","",W37*(1+N(AC37)))</f>
        <v>859320</v>
      </c>
      <c r="AE37" s="62" t="s">
        <v>181</v>
      </c>
      <c r="AF37" s="71"/>
      <c r="AG37" s="71"/>
      <c r="AH37" s="71"/>
      <c r="AI37" s="66" t="n">
        <f aca="false">IF(A37="","",N(AF37)+N(AG37)+N(AH37))</f>
        <v>0</v>
      </c>
      <c r="AJ37" s="72" t="n">
        <f aca="false">IF(AD37="","",IF(N(AD37)=0,"",AI37/AD37))</f>
        <v>0</v>
      </c>
      <c r="AK37" s="66" t="n">
        <f aca="false">IF(AD37="","",IF(AD37-AI37&lt;1,0,ROUND(AD37-AI37,2)))</f>
        <v>859320</v>
      </c>
      <c r="AL37" s="66" t="n">
        <f aca="false">IF(OR(O37="",AD37=""),"",MAX(0,ROUND(N(AI37)-(AD37-N(AW37)),0)))</f>
        <v>0</v>
      </c>
      <c r="AM37" s="73" t="str">
        <f aca="false">IF(A37="","",IF(O37="","No PO Yet",IF(AI37=0,"Not Paid",IF(N(AJ37)&gt;=0.999,"Fully Paid",IF(N(AG37)+N(AH37)&gt;0,"Partially Paid","Initial / Advance Paid")))))</f>
        <v>Not Paid</v>
      </c>
      <c r="AN37" s="61"/>
      <c r="AO37" s="61" t="n">
        <v>46322</v>
      </c>
      <c r="AP37" s="74" t="n">
        <f aca="false">IF(AK37="","",IF(OR(N(AK37)=0,AO37=""),"",MAX(0,Settings!$B$4-AO37)))</f>
        <v>0</v>
      </c>
      <c r="AQ37" s="73" t="str">
        <f aca="false">IF(AK37="","",IF(N(AK37)&lt;=0,"",IF(AO37="","No Due Date",IF(Settings!$B$4&lt;=AO37,"Not Yet Due",IF(Settings!$B$4-AO37&lt;=30,"1-30 Days",IF(Settings!$B$4-AO37&lt;=60,"31-60 Days",IF(Settings!$B$4-AO37&lt;=90,"61-90 Days","90+ Days")))))))</f>
        <v>Not Yet Due</v>
      </c>
      <c r="AR37" s="61" t="n">
        <v>46292</v>
      </c>
      <c r="AS37" s="61" t="n">
        <v>46290</v>
      </c>
      <c r="AT37" s="63" t="n">
        <v>6433</v>
      </c>
      <c r="AU37" s="72" t="n">
        <f aca="false">IF(Q37="","",IF(N(Q37)=0,"",N(AT37)/Q37))</f>
        <v>0.97469696969697</v>
      </c>
      <c r="AV37" s="75" t="n">
        <f aca="false">IF(OR(A37="",O37="",Q37=""),"",MAX(0,Q37-N(AT37)))</f>
        <v>167</v>
      </c>
      <c r="AW37" s="66" t="n">
        <f aca="false">IF(OR(AV37="",W37=""),"",IF(N(Q37)=0,0,AV37/Q37*AD37))</f>
        <v>21743.4</v>
      </c>
      <c r="AX37" s="76" t="str">
        <f aca="false">IF(A37="","",IF(O37="","No PO Yet",IF(Q37="","Order Qty Missing",IF(N(AT37)&gt;=Q37,IF(N(AT37)&gt;Q37,"All In-house (+"&amp;TEXT(N(AT37)-Q37,"#,##0")&amp;" "&amp;R37&amp;" excess)","All In-house"),IF(AY37&lt;&gt;"","Short Closed - "&amp;TEXT(AV37,"#,##0")&amp;" "&amp;R37&amp;" not received",IF(N(AT37)=0,"Not Started - "&amp;TEXT(AV37,"#,##0")&amp;" "&amp;R37&amp;" pending","Pending "&amp;TEXT(AV37,"#,##0")&amp;" "&amp;R37&amp;" ("&amp;TEXT(AU37,"0%")&amp;" received)"))))))</f>
        <v>Short Closed - 167 pair not received</v>
      </c>
      <c r="AY37" s="61" t="n">
        <v>46292</v>
      </c>
      <c r="AZ37" s="77" t="n">
        <f aca="false">IF(OR(B37="",J37=""),"",J37-B37)</f>
        <v>2</v>
      </c>
      <c r="BA37" s="77" t="n">
        <f aca="false">IF(OR(J37="",P37=""),"",P37-J37)</f>
        <v>4</v>
      </c>
      <c r="BB37" s="77" t="n">
        <f aca="false">IF(OR(P37="",AY37=""),"",AY37-P37)</f>
        <v>18</v>
      </c>
      <c r="BC37" s="77" t="n">
        <f aca="false">IF(OR(B37="",AY37=""),"",AY37-B37)</f>
        <v>24</v>
      </c>
      <c r="BD37" s="74" t="n">
        <f aca="false">IF(OR(AR37="",O37=""),"",MAX(0,IF(AY37="",Settings!$B$4,AY37)-AR37))</f>
        <v>0</v>
      </c>
      <c r="BE37" s="73" t="str">
        <f aca="false">IF(OR(AY37="",AR37=""),"",IF(AND(AY37&lt;=AR37,N(AU37)&gt;=Settings!$B$6),"OTIF","Not OTIF"))</f>
        <v>Not OTIF</v>
      </c>
      <c r="BF37" s="60" t="s">
        <v>159</v>
      </c>
      <c r="BG37" s="62" t="s">
        <v>368</v>
      </c>
      <c r="BH37" s="78"/>
      <c r="BI37" s="76" t="str">
        <f aca="false">IF(A37="","",IF(K37="Rejected","Rejected",IF(K37&lt;&gt;"Approved","Awaiting Approval",IF(O37="","Approved - PO Pending",IF(AY37&lt;&gt;"",IF(N(AJ37)&gt;=0.999,"Closed","In-house Closed - Payment Due"),IF(AS37&lt;&gt;"","Receiving In-house","PO Issued - Awaiting Delivery"))))))</f>
        <v>In-house Closed - Payment Due</v>
      </c>
      <c r="BJ37" s="76" t="str">
        <f aca="false">IF(A37="","",IF(IF(AND(A37&lt;&gt;"",OR(B37="",C37="",E37="",F37="",H37="")),"PR info missing; ","")&amp;IF(AND(K37="Approved",OR(J37="",I37="")),"Approval ref/date missing; ","")&amp;IF(AND(O37&lt;&gt;"",K37&lt;&gt;"Approved"),"PO without approval; ","")&amp;IF(AND(O37&lt;&gt;"",OR(P37="",M37="",Q37="",S37="",T37="")),"PO details missing; ","")&amp;IF(AND(O37&lt;&gt;"",AR37=""),"Committed date missing; ","")&amp;IF(AND(ISNUMBER(J37),ISNUMBER(B37),N(J37)&lt;N(B37)),"Approval dated before PR; ","")&amp;IF(AND(ISNUMBER(P37),ISNUMBER(J37),N(P37)&lt;N(J37)),"PO dated before approval; ","")&amp;IF(AND(ISNUMBER(AY37),ISNUMBER(AS37),N(AY37)&lt;N(AS37)),"Close before in-house start; ","")&amp;IF(AND(AY37&lt;&gt;"",AS37=""),"In-house start date missing; ","")&amp;IF(AND(AY37&lt;&gt;"",AT37=""),"Qty received missing; ","")&amp;IF(AND(AY37&lt;&gt;"",BF37=""),"QC status missing; ","")&amp;IF(N(AT37)&gt;N(Q37)*1.05,"Received &gt; ordered +5%; ","")&amp;IF(AND(N(AI37)&gt;0,AE37=""),"Payment terms missing; ","")&amp;IF(N(AI37)&gt;N(AD37)+1,"Overpaid vs PO; ","")&amp;IF(AND(N(AK37)&gt;0,AY37&lt;&gt;"",AO37=""),"Payment due date missing; ","")="","OK",IF(AND(A37&lt;&gt;"",OR(B37="",C37="",E37="",F37="",H37="")),"PR info missing; ","")&amp;IF(AND(K37="Approved",OR(J37="",I37="")),"Approval ref/date missing; ","")&amp;IF(AND(O37&lt;&gt;"",K37&lt;&gt;"Approved"),"PO without approval; ","")&amp;IF(AND(O37&lt;&gt;"",OR(P37="",M37="",Q37="",S37="",T37="")),"PO details missing; ","")&amp;IF(AND(O37&lt;&gt;"",AR37=""),"Committed date missing; ","")&amp;IF(AND(ISNUMBER(J37),ISNUMBER(B37),N(J37)&lt;N(B37)),"Approval dated before PR; ","")&amp;IF(AND(ISNUMBER(P37),ISNUMBER(J37),N(P37)&lt;N(J37)),"PO dated before approval; ","")&amp;IF(AND(ISNUMBER(AY37),ISNUMBER(AS37),N(AY37)&lt;N(AS37)),"Close before in-house start; ","")&amp;IF(AND(AY37&lt;&gt;"",AS37=""),"In-house start date missing; ","")&amp;IF(AND(AY37&lt;&gt;"",AT37=""),"Qty received missing; ","")&amp;IF(AND(AY37&lt;&gt;"",BF37=""),"QC status missing; ","")&amp;IF(N(AT37)&gt;N(Q37)*1.05,"Received &gt; ordered +5%; ","")&amp;IF(AND(N(AI37)&gt;0,AE37=""),"Payment terms missing; ","")&amp;IF(N(AI37)&gt;N(AD37)+1,"Overpaid vs PO; ","")&amp;IF(AND(N(AK37)&gt;0,AY37&lt;&gt;"",AO37=""),"Payment due date missing; ","")))</f>
        <v>OK</v>
      </c>
      <c r="BK37" s="76" t="str">
        <f aca="false">IF(A37="","",IF(N(AP37)&gt;0,"Pay supplier: "&amp;N(AP37)&amp;" days overdue; ","")&amp;IF(AND(O37&lt;&gt;"",AY37="",N(BD37)&gt;0),"Expedite delivery: "&amp;N(BD37)&amp;" days late; ","")&amp;IF(AND(BI37="Awaiting Approval",ISNUMBER(B37),Settings!$B$4-N(B37)&gt;Settings!$B$19),"Get approval: PR waiting "&amp;(Settings!$B$4-N(B37))&amp;" days; ","")&amp;IF(AND(BI37="Approved - PO Pending",ISNUMBER(J37),Settings!$B$4-N(J37)&gt;Settings!$B$20),"Issue PO: approved "&amp;(Settings!$B$4-N(J37))&amp;" days ago; ","")&amp;IF(AND(OR(BI37="Awaiting Approval",BI37="Approved - PO Pending"),N(AB37)&gt;Settings!$B$7),"Negotiate price: "&amp;TEXT(AB37,"0%")&amp;" above budget; ","")&amp;IF(LEFT(AX37,12)="Short Closed","Short closed: claim balance / credit note"&amp;IF(N(AL37)&gt;0," BDT "&amp;TEXT(AL37,"#,##0"),"")&amp;"; ","")&amp;IF(BF37="Rejected","QC rejected: return / replace; ","")&amp;IF(AND(O37&lt;&gt;"",AY37="",N(AL37)&gt;0,N(BD37)&gt;0),"Advance at risk: BDT "&amp;TEXT(AL37,"#,##0")&amp;" paid, goods late; ","")&amp;IF(AND(BJ37&lt;&gt;"",BJ37&lt;&gt;"OK"),"Fix data entry (see Data Check); ",""))</f>
        <v>Short closed: claim balance / credit note; </v>
      </c>
      <c r="BL37" s="73" t="str">
        <f aca="false">IF(BK37="","",IF(OR(N(AP37)&gt;30,AND(AY37="",N(BD37)&gt;15),BF37="Rejected",AND(LEFT(AX37,12)="Short Closed",N(AL37)&gt;0),AND(O37&lt;&gt;"",AY37="",N(AL37)&gt;0,N(BD37)&gt;0)),"High",IF(OR(N(AP37)&gt;0,AND(AY37="",N(BD37)&gt;7),LEFT(AX37,12)="Short Closed",AND(BI37="Awaiting Approval",ISNUMBER(B37),Settings!$B$4-N(B37)&gt;2*Settings!$B$19),AND(BI37="Approved - PO Pending",ISNUMBER(J37),Settings!$B$4-N(J37)&gt;2*Settings!$B$20)),"Medium","Low")))</f>
        <v>Medium</v>
      </c>
      <c r="BM37" s="77" t="n">
        <f aca="false">IF(BL37="","",IF(BL37="High",1,IF(BL37="Medium",2,3))*10000+ROW())</f>
        <v>20037</v>
      </c>
      <c r="BN37" s="62" t="s">
        <v>205</v>
      </c>
    </row>
    <row r="38" customFormat="false" ht="39.75" hidden="false" customHeight="true" outlineLevel="0" collapsed="false">
      <c r="A38" s="60" t="s">
        <v>369</v>
      </c>
      <c r="B38" s="61" t="n">
        <v>46273</v>
      </c>
      <c r="C38" s="62" t="s">
        <v>153</v>
      </c>
      <c r="D38" s="62" t="s">
        <v>154</v>
      </c>
      <c r="E38" s="62" t="s">
        <v>155</v>
      </c>
      <c r="F38" s="62" t="s">
        <v>156</v>
      </c>
      <c r="G38" s="62" t="s">
        <v>157</v>
      </c>
      <c r="H38" s="60" t="s">
        <v>43</v>
      </c>
      <c r="I38" s="60" t="s">
        <v>370</v>
      </c>
      <c r="J38" s="61" t="n">
        <v>46277</v>
      </c>
      <c r="K38" s="60" t="s">
        <v>159</v>
      </c>
      <c r="L38" s="60" t="s">
        <v>172</v>
      </c>
      <c r="M38" s="62" t="s">
        <v>161</v>
      </c>
      <c r="N38" s="60" t="s">
        <v>162</v>
      </c>
      <c r="O38" s="60" t="s">
        <v>371</v>
      </c>
      <c r="P38" s="61" t="n">
        <v>46281</v>
      </c>
      <c r="Q38" s="63" t="n">
        <v>16300</v>
      </c>
      <c r="R38" s="60" t="s">
        <v>164</v>
      </c>
      <c r="S38" s="64" t="n">
        <v>2.4</v>
      </c>
      <c r="T38" s="60" t="s">
        <v>165</v>
      </c>
      <c r="U38" s="65" t="n">
        <f aca="false">IF(AND(T38="",S38=""),"",IF(T38="",1,IFERROR(INDEX(Settings!$B$12:$B$16,MATCH(T38,Settings!$A$12:$A$16,0)),1)))</f>
        <v>122</v>
      </c>
      <c r="V38" s="64" t="n">
        <v>281.36</v>
      </c>
      <c r="W38" s="66" t="n">
        <f aca="false">IF(OR(Q38="",S38=""),"",Q38*S38*U38)</f>
        <v>4772640</v>
      </c>
      <c r="X38" s="65" t="n">
        <f aca="false">IF(OR(W38="",N(Q38)=0),"",W38/Q38)</f>
        <v>292.8</v>
      </c>
      <c r="Y38" s="65" t="n">
        <f aca="false">IF(OR(X38="",P38="",E38=""),"",IF(_xlfn.MAXIFS($P$6:$P$205,$E$6:$E$205,E38,$P$6:$P$205,"&lt;"&amp;P38,$X$6:$X$205,"&gt;0")=0,"",IFERROR(AVERAGEIFS($X$6:$X$205,$E$6:$E$205,E38,$P$6:$P$205,_xlfn.MAXIFS($P$6:$P$205,$E$6:$E$205,E38,$P$6:$P$205,"&lt;"&amp;P38,$X$6:$X$205,"&gt;0"),$X$6:$X$205,"&gt;0"),"")))</f>
        <v>286.7</v>
      </c>
      <c r="Z38" s="67" t="n">
        <f aca="false">IF(OR(Y38="",X38=""),"",X38/Y38-1)</f>
        <v>0.021276595744681</v>
      </c>
      <c r="AA38" s="68" t="n">
        <f aca="false">IF(OR(W38="",V38=""),"",W38-Q38*V38)</f>
        <v>186472</v>
      </c>
      <c r="AB38" s="69" t="n">
        <f aca="false">IF(AA38="","",IF(N(V38)*N(Q38)=0,"",AA38/(Q38*V38)))</f>
        <v>0.040659653113449</v>
      </c>
      <c r="AC38" s="70" t="n">
        <v>0.05</v>
      </c>
      <c r="AD38" s="66" t="n">
        <f aca="false">IF(W38="","",W38*(1+N(AC38)))</f>
        <v>5011272</v>
      </c>
      <c r="AE38" s="62" t="s">
        <v>174</v>
      </c>
      <c r="AF38" s="71" t="n">
        <v>5011272</v>
      </c>
      <c r="AG38" s="71"/>
      <c r="AH38" s="71"/>
      <c r="AI38" s="66" t="n">
        <f aca="false">IF(A38="","",N(AF38)+N(AG38)+N(AH38))</f>
        <v>5011272</v>
      </c>
      <c r="AJ38" s="72" t="n">
        <f aca="false">IF(AD38="","",IF(N(AD38)=0,"",AI38/AD38))</f>
        <v>1</v>
      </c>
      <c r="AK38" s="66" t="n">
        <f aca="false">IF(AD38="","",IF(AD38-AI38&lt;1,0,ROUND(AD38-AI38,2)))</f>
        <v>0</v>
      </c>
      <c r="AL38" s="66" t="n">
        <f aca="false">IF(OR(O38="",AD38=""),"",MAX(0,ROUND(N(AI38)-(AD38-N(AW38)),0)))</f>
        <v>281308</v>
      </c>
      <c r="AM38" s="73" t="str">
        <f aca="false">IF(A38="","",IF(O38="","No PO Yet",IF(AI38=0,"Not Paid",IF(N(AJ38)&gt;=0.999,"Fully Paid",IF(N(AG38)+N(AH38)&gt;0,"Partially Paid","Initial / Advance Paid")))))</f>
        <v>Fully Paid</v>
      </c>
      <c r="AN38" s="61" t="n">
        <v>46282</v>
      </c>
      <c r="AO38" s="61"/>
      <c r="AP38" s="74" t="str">
        <f aca="false">IF(AK38="","",IF(OR(N(AK38)=0,AO38=""),"",MAX(0,Settings!$B$4-AO38)))</f>
        <v/>
      </c>
      <c r="AQ38" s="73" t="str">
        <f aca="false">IF(AK38="","",IF(N(AK38)&lt;=0,"",IF(AO38="","No Due Date",IF(Settings!$B$4&lt;=AO38,"Not Yet Due",IF(Settings!$B$4-AO38&lt;=30,"1-30 Days",IF(Settings!$B$4-AO38&lt;=60,"31-60 Days",IF(Settings!$B$4-AO38&lt;=90,"61-90 Days","90+ Days")))))))</f>
        <v/>
      </c>
      <c r="AR38" s="61" t="n">
        <v>46292</v>
      </c>
      <c r="AS38" s="61" t="n">
        <v>46295</v>
      </c>
      <c r="AT38" s="63" t="n">
        <v>15385</v>
      </c>
      <c r="AU38" s="72" t="n">
        <f aca="false">IF(Q38="","",IF(N(Q38)=0,"",N(AT38)/Q38))</f>
        <v>0.943865030674847</v>
      </c>
      <c r="AV38" s="75" t="n">
        <f aca="false">IF(OR(A38="",O38="",Q38=""),"",MAX(0,Q38-N(AT38)))</f>
        <v>915</v>
      </c>
      <c r="AW38" s="66" t="n">
        <f aca="false">IF(OR(AV38="",W38=""),"",IF(N(Q38)=0,0,AV38/Q38*AD38))</f>
        <v>281307.6</v>
      </c>
      <c r="AX38" s="76" t="str">
        <f aca="false">IF(A38="","",IF(O38="","No PO Yet",IF(Q38="","Order Qty Missing",IF(N(AT38)&gt;=Q38,IF(N(AT38)&gt;Q38,"All In-house (+"&amp;TEXT(N(AT38)-Q38,"#,##0")&amp;" "&amp;R38&amp;" excess)","All In-house"),IF(AY38&lt;&gt;"","Short Closed - "&amp;TEXT(AV38,"#,##0")&amp;" "&amp;R38&amp;" not received",IF(N(AT38)=0,"Not Started - "&amp;TEXT(AV38,"#,##0")&amp;" "&amp;R38&amp;" pending","Pending "&amp;TEXT(AV38,"#,##0")&amp;" "&amp;R38&amp;" ("&amp;TEXT(AU38,"0%")&amp;" received)"))))))</f>
        <v>Short Closed - 915 sqft not received</v>
      </c>
      <c r="AY38" s="61" t="n">
        <v>46298</v>
      </c>
      <c r="AZ38" s="77" t="n">
        <f aca="false">IF(OR(B38="",J38=""),"",J38-B38)</f>
        <v>4</v>
      </c>
      <c r="BA38" s="77" t="n">
        <f aca="false">IF(OR(J38="",P38=""),"",P38-J38)</f>
        <v>4</v>
      </c>
      <c r="BB38" s="77" t="n">
        <f aca="false">IF(OR(P38="",AY38=""),"",AY38-P38)</f>
        <v>17</v>
      </c>
      <c r="BC38" s="77" t="n">
        <f aca="false">IF(OR(B38="",AY38=""),"",AY38-B38)</f>
        <v>25</v>
      </c>
      <c r="BD38" s="74" t="n">
        <f aca="false">IF(OR(AR38="",O38=""),"",MAX(0,IF(AY38="",Settings!$B$4,AY38)-AR38))</f>
        <v>6</v>
      </c>
      <c r="BE38" s="73" t="str">
        <f aca="false">IF(OR(AY38="",AR38=""),"",IF(AND(AY38&lt;=AR38,N(AU38)&gt;=Settings!$B$6),"OTIF","Not OTIF"))</f>
        <v>Not OTIF</v>
      </c>
      <c r="BF38" s="60" t="s">
        <v>159</v>
      </c>
      <c r="BG38" s="62" t="s">
        <v>372</v>
      </c>
      <c r="BH38" s="78"/>
      <c r="BI38" s="76" t="str">
        <f aca="false">IF(A38="","",IF(K38="Rejected","Rejected",IF(K38&lt;&gt;"Approved","Awaiting Approval",IF(O38="","Approved - PO Pending",IF(AY38&lt;&gt;"",IF(N(AJ38)&gt;=0.999,"Closed","In-house Closed - Payment Due"),IF(AS38&lt;&gt;"","Receiving In-house","PO Issued - Awaiting Delivery"))))))</f>
        <v>Closed</v>
      </c>
      <c r="BJ38" s="76" t="str">
        <f aca="false">IF(A38="","",IF(IF(AND(A38&lt;&gt;"",OR(B38="",C38="",E38="",F38="",H38="")),"PR info missing; ","")&amp;IF(AND(K38="Approved",OR(J38="",I38="")),"Approval ref/date missing; ","")&amp;IF(AND(O38&lt;&gt;"",K38&lt;&gt;"Approved"),"PO without approval; ","")&amp;IF(AND(O38&lt;&gt;"",OR(P38="",M38="",Q38="",S38="",T38="")),"PO details missing; ","")&amp;IF(AND(O38&lt;&gt;"",AR38=""),"Committed date missing; ","")&amp;IF(AND(ISNUMBER(J38),ISNUMBER(B38),N(J38)&lt;N(B38)),"Approval dated before PR; ","")&amp;IF(AND(ISNUMBER(P38),ISNUMBER(J38),N(P38)&lt;N(J38)),"PO dated before approval; ","")&amp;IF(AND(ISNUMBER(AY38),ISNUMBER(AS38),N(AY38)&lt;N(AS38)),"Close before in-house start; ","")&amp;IF(AND(AY38&lt;&gt;"",AS38=""),"In-house start date missing; ","")&amp;IF(AND(AY38&lt;&gt;"",AT38=""),"Qty received missing; ","")&amp;IF(AND(AY38&lt;&gt;"",BF38=""),"QC status missing; ","")&amp;IF(N(AT38)&gt;N(Q38)*1.05,"Received &gt; ordered +5%; ","")&amp;IF(AND(N(AI38)&gt;0,AE38=""),"Payment terms missing; ","")&amp;IF(N(AI38)&gt;N(AD38)+1,"Overpaid vs PO; ","")&amp;IF(AND(N(AK38)&gt;0,AY38&lt;&gt;"",AO38=""),"Payment due date missing; ","")="","OK",IF(AND(A38&lt;&gt;"",OR(B38="",C38="",E38="",F38="",H38="")),"PR info missing; ","")&amp;IF(AND(K38="Approved",OR(J38="",I38="")),"Approval ref/date missing; ","")&amp;IF(AND(O38&lt;&gt;"",K38&lt;&gt;"Approved"),"PO without approval; ","")&amp;IF(AND(O38&lt;&gt;"",OR(P38="",M38="",Q38="",S38="",T38="")),"PO details missing; ","")&amp;IF(AND(O38&lt;&gt;"",AR38=""),"Committed date missing; ","")&amp;IF(AND(ISNUMBER(J38),ISNUMBER(B38),N(J38)&lt;N(B38)),"Approval dated before PR; ","")&amp;IF(AND(ISNUMBER(P38),ISNUMBER(J38),N(P38)&lt;N(J38)),"PO dated before approval; ","")&amp;IF(AND(ISNUMBER(AY38),ISNUMBER(AS38),N(AY38)&lt;N(AS38)),"Close before in-house start; ","")&amp;IF(AND(AY38&lt;&gt;"",AS38=""),"In-house start date missing; ","")&amp;IF(AND(AY38&lt;&gt;"",AT38=""),"Qty received missing; ","")&amp;IF(AND(AY38&lt;&gt;"",BF38=""),"QC status missing; ","")&amp;IF(N(AT38)&gt;N(Q38)*1.05,"Received &gt; ordered +5%; ","")&amp;IF(AND(N(AI38)&gt;0,AE38=""),"Payment terms missing; ","")&amp;IF(N(AI38)&gt;N(AD38)+1,"Overpaid vs PO; ","")&amp;IF(AND(N(AK38)&gt;0,AY38&lt;&gt;"",AO38=""),"Payment due date missing; ","")))</f>
        <v>OK</v>
      </c>
      <c r="BK38" s="76" t="str">
        <f aca="false">IF(A38="","",IF(N(AP38)&gt;0,"Pay supplier: "&amp;N(AP38)&amp;" days overdue; ","")&amp;IF(AND(O38&lt;&gt;"",AY38="",N(BD38)&gt;0),"Expedite delivery: "&amp;N(BD38)&amp;" days late; ","")&amp;IF(AND(BI38="Awaiting Approval",ISNUMBER(B38),Settings!$B$4-N(B38)&gt;Settings!$B$19),"Get approval: PR waiting "&amp;(Settings!$B$4-N(B38))&amp;" days; ","")&amp;IF(AND(BI38="Approved - PO Pending",ISNUMBER(J38),Settings!$B$4-N(J38)&gt;Settings!$B$20),"Issue PO: approved "&amp;(Settings!$B$4-N(J38))&amp;" days ago; ","")&amp;IF(AND(OR(BI38="Awaiting Approval",BI38="Approved - PO Pending"),N(AB38)&gt;Settings!$B$7),"Negotiate price: "&amp;TEXT(AB38,"0%")&amp;" above budget; ","")&amp;IF(LEFT(AX38,12)="Short Closed","Short closed: claim balance / credit note"&amp;IF(N(AL38)&gt;0," BDT "&amp;TEXT(AL38,"#,##0"),"")&amp;"; ","")&amp;IF(BF38="Rejected","QC rejected: return / replace; ","")&amp;IF(AND(O38&lt;&gt;"",AY38="",N(AL38)&gt;0,N(BD38)&gt;0),"Advance at risk: BDT "&amp;TEXT(AL38,"#,##0")&amp;" paid, goods late; ","")&amp;IF(AND(BJ38&lt;&gt;"",BJ38&lt;&gt;"OK"),"Fix data entry (see Data Check); ",""))</f>
        <v>Short closed: claim balance / credit note BDT 281,308; </v>
      </c>
      <c r="BL38" s="73" t="str">
        <f aca="false">IF(BK38="","",IF(OR(N(AP38)&gt;30,AND(AY38="",N(BD38)&gt;15),BF38="Rejected",AND(LEFT(AX38,12)="Short Closed",N(AL38)&gt;0),AND(O38&lt;&gt;"",AY38="",N(AL38)&gt;0,N(BD38)&gt;0)),"High",IF(OR(N(AP38)&gt;0,AND(AY38="",N(BD38)&gt;7),LEFT(AX38,12)="Short Closed",AND(BI38="Awaiting Approval",ISNUMBER(B38),Settings!$B$4-N(B38)&gt;2*Settings!$B$19),AND(BI38="Approved - PO Pending",ISNUMBER(J38),Settings!$B$4-N(J38)&gt;2*Settings!$B$20)),"Medium","Low")))</f>
        <v>High</v>
      </c>
      <c r="BM38" s="77" t="n">
        <f aca="false">IF(BL38="","",IF(BL38="High",1,IF(BL38="Medium",2,3))*10000+ROW())</f>
        <v>10038</v>
      </c>
      <c r="BN38" s="62"/>
    </row>
    <row r="39" customFormat="false" ht="18" hidden="false" customHeight="true" outlineLevel="0" collapsed="false">
      <c r="A39" s="60" t="s">
        <v>373</v>
      </c>
      <c r="B39" s="61" t="n">
        <v>46275</v>
      </c>
      <c r="C39" s="62" t="s">
        <v>195</v>
      </c>
      <c r="D39" s="62" t="s">
        <v>196</v>
      </c>
      <c r="E39" s="62" t="s">
        <v>221</v>
      </c>
      <c r="F39" s="62" t="s">
        <v>222</v>
      </c>
      <c r="G39" s="62" t="s">
        <v>223</v>
      </c>
      <c r="H39" s="60" t="s">
        <v>43</v>
      </c>
      <c r="I39" s="60" t="s">
        <v>374</v>
      </c>
      <c r="J39" s="61" t="n">
        <v>46277</v>
      </c>
      <c r="K39" s="60" t="s">
        <v>159</v>
      </c>
      <c r="L39" s="60" t="s">
        <v>160</v>
      </c>
      <c r="M39" s="62" t="s">
        <v>225</v>
      </c>
      <c r="N39" s="60" t="s">
        <v>162</v>
      </c>
      <c r="O39" s="60" t="s">
        <v>375</v>
      </c>
      <c r="P39" s="61" t="n">
        <v>46280</v>
      </c>
      <c r="Q39" s="63" t="n">
        <v>1200</v>
      </c>
      <c r="R39" s="60" t="s">
        <v>227</v>
      </c>
      <c r="S39" s="64" t="n">
        <v>437</v>
      </c>
      <c r="T39" s="60" t="s">
        <v>180</v>
      </c>
      <c r="U39" s="65" t="n">
        <f aca="false">IF(AND(T39="",S39=""),"",IF(T39="",1,IFERROR(INDEX(Settings!$B$12:$B$16,MATCH(T39,Settings!$A$12:$A$16,0)),1)))</f>
        <v>1</v>
      </c>
      <c r="V39" s="64" t="n">
        <v>415.09</v>
      </c>
      <c r="W39" s="66" t="n">
        <f aca="false">IF(OR(Q39="",S39=""),"",Q39*S39*U39)</f>
        <v>524400</v>
      </c>
      <c r="X39" s="65" t="n">
        <f aca="false">IF(OR(W39="",N(Q39)=0),"",W39/Q39)</f>
        <v>437</v>
      </c>
      <c r="Y39" s="65" t="n">
        <f aca="false">IF(OR(X39="",P39="",E39=""),"",IF(_xlfn.MAXIFS($P$6:$P$205,$E$6:$E$205,E39,$P$6:$P$205,"&lt;"&amp;P39,$X$6:$X$205,"&gt;0")=0,"",IFERROR(AVERAGEIFS($X$6:$X$205,$E$6:$E$205,E39,$P$6:$P$205,_xlfn.MAXIFS($P$6:$P$205,$E$6:$E$205,E39,$P$6:$P$205,"&lt;"&amp;P39,$X$6:$X$205,"&gt;0"),$X$6:$X$205,"&gt;0"),"")))</f>
        <v>438</v>
      </c>
      <c r="Z39" s="67" t="n">
        <f aca="false">IF(OR(Y39="",X39=""),"",X39/Y39-1)</f>
        <v>-0.00228310502283102</v>
      </c>
      <c r="AA39" s="68" t="n">
        <f aca="false">IF(OR(W39="",V39=""),"",W39-Q39*V39)</f>
        <v>26292.0000000001</v>
      </c>
      <c r="AB39" s="69" t="n">
        <f aca="false">IF(AA39="","",IF(N(V39)*N(Q39)=0,"",AA39/(Q39*V39)))</f>
        <v>0.0527837336481246</v>
      </c>
      <c r="AC39" s="70" t="n">
        <v>0.075</v>
      </c>
      <c r="AD39" s="66" t="n">
        <f aca="false">IF(W39="","",W39*(1+N(AC39)))</f>
        <v>563730</v>
      </c>
      <c r="AE39" s="62" t="s">
        <v>181</v>
      </c>
      <c r="AF39" s="71"/>
      <c r="AG39" s="71"/>
      <c r="AH39" s="71"/>
      <c r="AI39" s="66" t="n">
        <f aca="false">IF(A39="","",N(AF39)+N(AG39)+N(AH39))</f>
        <v>0</v>
      </c>
      <c r="AJ39" s="72" t="n">
        <f aca="false">IF(AD39="","",IF(N(AD39)=0,"",AI39/AD39))</f>
        <v>0</v>
      </c>
      <c r="AK39" s="66" t="n">
        <f aca="false">IF(AD39="","",IF(AD39-AI39&lt;1,0,ROUND(AD39-AI39,2)))</f>
        <v>563730</v>
      </c>
      <c r="AL39" s="66" t="n">
        <f aca="false">IF(OR(O39="",AD39=""),"",MAX(0,ROUND(N(AI39)-(AD39-N(AW39)),0)))</f>
        <v>0</v>
      </c>
      <c r="AM39" s="73" t="str">
        <f aca="false">IF(A39="","",IF(O39="","No PO Yet",IF(AI39=0,"Not Paid",IF(N(AJ39)&gt;=0.999,"Fully Paid",IF(N(AG39)+N(AH39)&gt;0,"Partially Paid","Initial / Advance Paid")))))</f>
        <v>Not Paid</v>
      </c>
      <c r="AN39" s="61"/>
      <c r="AO39" s="61" t="n">
        <v>46314</v>
      </c>
      <c r="AP39" s="74" t="n">
        <f aca="false">IF(AK39="","",IF(OR(N(AK39)=0,AO39=""),"",MAX(0,Settings!$B$4-AO39)))</f>
        <v>0</v>
      </c>
      <c r="AQ39" s="73" t="str">
        <f aca="false">IF(AK39="","",IF(N(AK39)&lt;=0,"",IF(AO39="","No Due Date",IF(Settings!$B$4&lt;=AO39,"Not Yet Due",IF(Settings!$B$4-AO39&lt;=30,"1-30 Days",IF(Settings!$B$4-AO39&lt;=60,"31-60 Days",IF(Settings!$B$4-AO39&lt;=90,"61-90 Days","90+ Days")))))))</f>
        <v>Not Yet Due</v>
      </c>
      <c r="AR39" s="61" t="n">
        <v>46290</v>
      </c>
      <c r="AS39" s="61" t="n">
        <v>46284</v>
      </c>
      <c r="AT39" s="63" t="n">
        <v>1200</v>
      </c>
      <c r="AU39" s="72" t="n">
        <f aca="false">IF(Q39="","",IF(N(Q39)=0,"",N(AT39)/Q39))</f>
        <v>1</v>
      </c>
      <c r="AV39" s="75" t="n">
        <f aca="false">IF(OR(A39="",O39="",Q39=""),"",MAX(0,Q39-N(AT39)))</f>
        <v>0</v>
      </c>
      <c r="AW39" s="66" t="n">
        <f aca="false">IF(OR(AV39="",W39=""),"",IF(N(Q39)=0,0,AV39/Q39*AD39))</f>
        <v>0</v>
      </c>
      <c r="AX39" s="76" t="str">
        <f aca="false">IF(A39="","",IF(O39="","No PO Yet",IF(Q39="","Order Qty Missing",IF(N(AT39)&gt;=Q39,IF(N(AT39)&gt;Q39,"All In-house (+"&amp;TEXT(N(AT39)-Q39,"#,##0")&amp;" "&amp;R39&amp;" excess)","All In-house"),IF(AY39&lt;&gt;"","Short Closed - "&amp;TEXT(AV39,"#,##0")&amp;" "&amp;R39&amp;" not received",IF(N(AT39)=0,"Not Started - "&amp;TEXT(AV39,"#,##0")&amp;" "&amp;R39&amp;" pending","Pending "&amp;TEXT(AV39,"#,##0")&amp;" "&amp;R39&amp;" ("&amp;TEXT(AU39,"0%")&amp;" received)"))))))</f>
        <v>All In-house</v>
      </c>
      <c r="AY39" s="61" t="n">
        <v>46284</v>
      </c>
      <c r="AZ39" s="77" t="n">
        <f aca="false">IF(OR(B39="",J39=""),"",J39-B39)</f>
        <v>2</v>
      </c>
      <c r="BA39" s="77" t="n">
        <f aca="false">IF(OR(J39="",P39=""),"",P39-J39)</f>
        <v>3</v>
      </c>
      <c r="BB39" s="77" t="n">
        <f aca="false">IF(OR(P39="",AY39=""),"",AY39-P39)</f>
        <v>4</v>
      </c>
      <c r="BC39" s="77" t="n">
        <f aca="false">IF(OR(B39="",AY39=""),"",AY39-B39)</f>
        <v>9</v>
      </c>
      <c r="BD39" s="74" t="n">
        <f aca="false">IF(OR(AR39="",O39=""),"",MAX(0,IF(AY39="",Settings!$B$4,AY39)-AR39))</f>
        <v>0</v>
      </c>
      <c r="BE39" s="73" t="str">
        <f aca="false">IF(OR(AY39="",AR39=""),"",IF(AND(AY39&lt;=AR39,N(AU39)&gt;=Settings!$B$6),"OTIF","Not OTIF"))</f>
        <v>OTIF</v>
      </c>
      <c r="BF39" s="60" t="s">
        <v>61</v>
      </c>
      <c r="BG39" s="62"/>
      <c r="BH39" s="78"/>
      <c r="BI39" s="76" t="str">
        <f aca="false">IF(A39="","",IF(K39="Rejected","Rejected",IF(K39&lt;&gt;"Approved","Awaiting Approval",IF(O39="","Approved - PO Pending",IF(AY39&lt;&gt;"",IF(N(AJ39)&gt;=0.999,"Closed","In-house Closed - Payment Due"),IF(AS39&lt;&gt;"","Receiving In-house","PO Issued - Awaiting Delivery"))))))</f>
        <v>In-house Closed - Payment Due</v>
      </c>
      <c r="BJ39" s="76" t="str">
        <f aca="false">IF(A39="","",IF(IF(AND(A39&lt;&gt;"",OR(B39="",C39="",E39="",F39="",H39="")),"PR info missing; ","")&amp;IF(AND(K39="Approved",OR(J39="",I39="")),"Approval ref/date missing; ","")&amp;IF(AND(O39&lt;&gt;"",K39&lt;&gt;"Approved"),"PO without approval; ","")&amp;IF(AND(O39&lt;&gt;"",OR(P39="",M39="",Q39="",S39="",T39="")),"PO details missing; ","")&amp;IF(AND(O39&lt;&gt;"",AR39=""),"Committed date missing; ","")&amp;IF(AND(ISNUMBER(J39),ISNUMBER(B39),N(J39)&lt;N(B39)),"Approval dated before PR; ","")&amp;IF(AND(ISNUMBER(P39),ISNUMBER(J39),N(P39)&lt;N(J39)),"PO dated before approval; ","")&amp;IF(AND(ISNUMBER(AY39),ISNUMBER(AS39),N(AY39)&lt;N(AS39)),"Close before in-house start; ","")&amp;IF(AND(AY39&lt;&gt;"",AS39=""),"In-house start date missing; ","")&amp;IF(AND(AY39&lt;&gt;"",AT39=""),"Qty received missing; ","")&amp;IF(AND(AY39&lt;&gt;"",BF39=""),"QC status missing; ","")&amp;IF(N(AT39)&gt;N(Q39)*1.05,"Received &gt; ordered +5%; ","")&amp;IF(AND(N(AI39)&gt;0,AE39=""),"Payment terms missing; ","")&amp;IF(N(AI39)&gt;N(AD39)+1,"Overpaid vs PO; ","")&amp;IF(AND(N(AK39)&gt;0,AY39&lt;&gt;"",AO39=""),"Payment due date missing; ","")="","OK",IF(AND(A39&lt;&gt;"",OR(B39="",C39="",E39="",F39="",H39="")),"PR info missing; ","")&amp;IF(AND(K39="Approved",OR(J39="",I39="")),"Approval ref/date missing; ","")&amp;IF(AND(O39&lt;&gt;"",K39&lt;&gt;"Approved"),"PO without approval; ","")&amp;IF(AND(O39&lt;&gt;"",OR(P39="",M39="",Q39="",S39="",T39="")),"PO details missing; ","")&amp;IF(AND(O39&lt;&gt;"",AR39=""),"Committed date missing; ","")&amp;IF(AND(ISNUMBER(J39),ISNUMBER(B39),N(J39)&lt;N(B39)),"Approval dated before PR; ","")&amp;IF(AND(ISNUMBER(P39),ISNUMBER(J39),N(P39)&lt;N(J39)),"PO dated before approval; ","")&amp;IF(AND(ISNUMBER(AY39),ISNUMBER(AS39),N(AY39)&lt;N(AS39)),"Close before in-house start; ","")&amp;IF(AND(AY39&lt;&gt;"",AS39=""),"In-house start date missing; ","")&amp;IF(AND(AY39&lt;&gt;"",AT39=""),"Qty received missing; ","")&amp;IF(AND(AY39&lt;&gt;"",BF39=""),"QC status missing; ","")&amp;IF(N(AT39)&gt;N(Q39)*1.05,"Received &gt; ordered +5%; ","")&amp;IF(AND(N(AI39)&gt;0,AE39=""),"Payment terms missing; ","")&amp;IF(N(AI39)&gt;N(AD39)+1,"Overpaid vs PO; ","")&amp;IF(AND(N(AK39)&gt;0,AY39&lt;&gt;"",AO39=""),"Payment due date missing; ","")))</f>
        <v>OK</v>
      </c>
      <c r="BK39" s="76" t="str">
        <f aca="false">IF(A39="","",IF(N(AP39)&gt;0,"Pay supplier: "&amp;N(AP39)&amp;" days overdue; ","")&amp;IF(AND(O39&lt;&gt;"",AY39="",N(BD39)&gt;0),"Expedite delivery: "&amp;N(BD39)&amp;" days late; ","")&amp;IF(AND(BI39="Awaiting Approval",ISNUMBER(B39),Settings!$B$4-N(B39)&gt;Settings!$B$19),"Get approval: PR waiting "&amp;(Settings!$B$4-N(B39))&amp;" days; ","")&amp;IF(AND(BI39="Approved - PO Pending",ISNUMBER(J39),Settings!$B$4-N(J39)&gt;Settings!$B$20),"Issue PO: approved "&amp;(Settings!$B$4-N(J39))&amp;" days ago; ","")&amp;IF(AND(OR(BI39="Awaiting Approval",BI39="Approved - PO Pending"),N(AB39)&gt;Settings!$B$7),"Negotiate price: "&amp;TEXT(AB39,"0%")&amp;" above budget; ","")&amp;IF(LEFT(AX39,12)="Short Closed","Short closed: claim balance / credit note"&amp;IF(N(AL39)&gt;0," BDT "&amp;TEXT(AL39,"#,##0"),"")&amp;"; ","")&amp;IF(BF39="Rejected","QC rejected: return / replace; ","")&amp;IF(AND(O39&lt;&gt;"",AY39="",N(AL39)&gt;0,N(BD39)&gt;0),"Advance at risk: BDT "&amp;TEXT(AL39,"#,##0")&amp;" paid, goods late; ","")&amp;IF(AND(BJ39&lt;&gt;"",BJ39&lt;&gt;"OK"),"Fix data entry (see Data Check); ",""))</f>
        <v>QC rejected: return / replace; </v>
      </c>
      <c r="BL39" s="73" t="str">
        <f aca="false">IF(BK39="","",IF(OR(N(AP39)&gt;30,AND(AY39="",N(BD39)&gt;15),BF39="Rejected",AND(LEFT(AX39,12)="Short Closed",N(AL39)&gt;0),AND(O39&lt;&gt;"",AY39="",N(AL39)&gt;0,N(BD39)&gt;0)),"High",IF(OR(N(AP39)&gt;0,AND(AY39="",N(BD39)&gt;7),LEFT(AX39,12)="Short Closed",AND(BI39="Awaiting Approval",ISNUMBER(B39),Settings!$B$4-N(B39)&gt;2*Settings!$B$19),AND(BI39="Approved - PO Pending",ISNUMBER(J39),Settings!$B$4-N(J39)&gt;2*Settings!$B$20)),"Medium","Low")))</f>
        <v>High</v>
      </c>
      <c r="BM39" s="77" t="n">
        <f aca="false">IF(BL39="","",IF(BL39="High",1,IF(BL39="Medium",2,3))*10000+ROW())</f>
        <v>10039</v>
      </c>
      <c r="BN39" s="62"/>
    </row>
    <row r="40" customFormat="false" ht="39.75" hidden="false" customHeight="true" outlineLevel="0" collapsed="false">
      <c r="A40" s="60" t="s">
        <v>376</v>
      </c>
      <c r="B40" s="61" t="n">
        <v>46277</v>
      </c>
      <c r="C40" s="62" t="s">
        <v>195</v>
      </c>
      <c r="D40" s="62" t="s">
        <v>196</v>
      </c>
      <c r="E40" s="62" t="s">
        <v>207</v>
      </c>
      <c r="F40" s="62" t="s">
        <v>198</v>
      </c>
      <c r="G40" s="62" t="s">
        <v>208</v>
      </c>
      <c r="H40" s="60" t="s">
        <v>43</v>
      </c>
      <c r="I40" s="60" t="s">
        <v>377</v>
      </c>
      <c r="J40" s="61" t="n">
        <v>46280</v>
      </c>
      <c r="K40" s="60" t="s">
        <v>159</v>
      </c>
      <c r="L40" s="60" t="s">
        <v>172</v>
      </c>
      <c r="M40" s="62" t="s">
        <v>201</v>
      </c>
      <c r="N40" s="60" t="s">
        <v>162</v>
      </c>
      <c r="O40" s="60" t="s">
        <v>378</v>
      </c>
      <c r="P40" s="61" t="n">
        <v>46283</v>
      </c>
      <c r="Q40" s="63" t="n">
        <v>4700</v>
      </c>
      <c r="R40" s="60" t="s">
        <v>203</v>
      </c>
      <c r="S40" s="64" t="n">
        <v>125</v>
      </c>
      <c r="T40" s="60" t="s">
        <v>180</v>
      </c>
      <c r="U40" s="65" t="n">
        <f aca="false">IF(AND(T40="",S40=""),"",IF(T40="",1,IFERROR(INDEX(Settings!$B$12:$B$16,MATCH(T40,Settings!$A$12:$A$16,0)),1)))</f>
        <v>1</v>
      </c>
      <c r="V40" s="64" t="n">
        <v>119.14</v>
      </c>
      <c r="W40" s="66" t="n">
        <f aca="false">IF(OR(Q40="",S40=""),"",Q40*S40*U40)</f>
        <v>587500</v>
      </c>
      <c r="X40" s="65" t="n">
        <f aca="false">IF(OR(W40="",N(Q40)=0),"",W40/Q40)</f>
        <v>125</v>
      </c>
      <c r="Y40" s="65" t="n">
        <f aca="false">IF(OR(X40="",P40="",E40=""),"",IF(_xlfn.MAXIFS($P$6:$P$205,$E$6:$E$205,E40,$P$6:$P$205,"&lt;"&amp;P40,$X$6:$X$205,"&gt;0")=0,"",IFERROR(AVERAGEIFS($X$6:$X$205,$E$6:$E$205,E40,$P$6:$P$205,_xlfn.MAXIFS($P$6:$P$205,$E$6:$E$205,E40,$P$6:$P$205,"&lt;"&amp;P40,$X$6:$X$205,"&gt;0"),$X$6:$X$205,"&gt;0"),"")))</f>
        <v>124</v>
      </c>
      <c r="Z40" s="67" t="n">
        <f aca="false">IF(OR(Y40="",X40=""),"",X40/Y40-1)</f>
        <v>0.00806451612903225</v>
      </c>
      <c r="AA40" s="68" t="n">
        <f aca="false">IF(OR(W40="",V40=""),"",W40-Q40*V40)</f>
        <v>27542</v>
      </c>
      <c r="AB40" s="69" t="n">
        <f aca="false">IF(AA40="","",IF(N(V40)*N(Q40)=0,"",AA40/(Q40*V40)))</f>
        <v>0.0491858317945275</v>
      </c>
      <c r="AC40" s="70" t="n">
        <v>0.05</v>
      </c>
      <c r="AD40" s="66" t="n">
        <f aca="false">IF(W40="","",W40*(1+N(AC40)))</f>
        <v>616875</v>
      </c>
      <c r="AE40" s="62" t="s">
        <v>174</v>
      </c>
      <c r="AF40" s="71" t="n">
        <v>616875</v>
      </c>
      <c r="AG40" s="71"/>
      <c r="AH40" s="71"/>
      <c r="AI40" s="66" t="n">
        <f aca="false">IF(A40="","",N(AF40)+N(AG40)+N(AH40))</f>
        <v>616875</v>
      </c>
      <c r="AJ40" s="72" t="n">
        <f aca="false">IF(AD40="","",IF(N(AD40)=0,"",AI40/AD40))</f>
        <v>1</v>
      </c>
      <c r="AK40" s="66" t="n">
        <f aca="false">IF(AD40="","",IF(AD40-AI40&lt;1,0,ROUND(AD40-AI40,2)))</f>
        <v>0</v>
      </c>
      <c r="AL40" s="66" t="n">
        <f aca="false">IF(OR(O40="",AD40=""),"",MAX(0,ROUND(N(AI40)-(AD40-N(AW40)),0)))</f>
        <v>0</v>
      </c>
      <c r="AM40" s="73" t="str">
        <f aca="false">IF(A40="","",IF(O40="","No PO Yet",IF(AI40=0,"Not Paid",IF(N(AJ40)&gt;=0.999,"Fully Paid",IF(N(AG40)+N(AH40)&gt;0,"Partially Paid","Initial / Advance Paid")))))</f>
        <v>Fully Paid</v>
      </c>
      <c r="AN40" s="61" t="n">
        <v>46284</v>
      </c>
      <c r="AO40" s="61"/>
      <c r="AP40" s="74" t="str">
        <f aca="false">IF(AK40="","",IF(OR(N(AK40)=0,AO40=""),"",MAX(0,Settings!$B$4-AO40)))</f>
        <v/>
      </c>
      <c r="AQ40" s="73" t="str">
        <f aca="false">IF(AK40="","",IF(N(AK40)&lt;=0,"",IF(AO40="","No Due Date",IF(Settings!$B$4&lt;=AO40,"Not Yet Due",IF(Settings!$B$4-AO40&lt;=30,"1-30 Days",IF(Settings!$B$4-AO40&lt;=60,"31-60 Days",IF(Settings!$B$4-AO40&lt;=90,"61-90 Days","90+ Days")))))))</f>
        <v/>
      </c>
      <c r="AR40" s="61" t="n">
        <v>46293</v>
      </c>
      <c r="AS40" s="61" t="n">
        <v>46289</v>
      </c>
      <c r="AT40" s="63" t="n">
        <v>4700</v>
      </c>
      <c r="AU40" s="72" t="n">
        <f aca="false">IF(Q40="","",IF(N(Q40)=0,"",N(AT40)/Q40))</f>
        <v>1</v>
      </c>
      <c r="AV40" s="75" t="n">
        <f aca="false">IF(OR(A40="",O40="",Q40=""),"",MAX(0,Q40-N(AT40)))</f>
        <v>0</v>
      </c>
      <c r="AW40" s="66" t="n">
        <f aca="false">IF(OR(AV40="",W40=""),"",IF(N(Q40)=0,0,AV40/Q40*AD40))</f>
        <v>0</v>
      </c>
      <c r="AX40" s="76" t="str">
        <f aca="false">IF(A40="","",IF(O40="","No PO Yet",IF(Q40="","Order Qty Missing",IF(N(AT40)&gt;=Q40,IF(N(AT40)&gt;Q40,"All In-house (+"&amp;TEXT(N(AT40)-Q40,"#,##0")&amp;" "&amp;R40&amp;" excess)","All In-house"),IF(AY40&lt;&gt;"","Short Closed - "&amp;TEXT(AV40,"#,##0")&amp;" "&amp;R40&amp;" not received",IF(N(AT40)=0,"Not Started - "&amp;TEXT(AV40,"#,##0")&amp;" "&amp;R40&amp;" pending","Pending "&amp;TEXT(AV40,"#,##0")&amp;" "&amp;R40&amp;" ("&amp;TEXT(AU40,"0%")&amp;" received)"))))))</f>
        <v>All In-house</v>
      </c>
      <c r="AY40" s="61" t="n">
        <v>46290</v>
      </c>
      <c r="AZ40" s="77" t="n">
        <f aca="false">IF(OR(B40="",J40=""),"",J40-B40)</f>
        <v>3</v>
      </c>
      <c r="BA40" s="77" t="n">
        <f aca="false">IF(OR(J40="",P40=""),"",P40-J40)</f>
        <v>3</v>
      </c>
      <c r="BB40" s="77" t="n">
        <f aca="false">IF(OR(P40="",AY40=""),"",AY40-P40)</f>
        <v>7</v>
      </c>
      <c r="BC40" s="77" t="n">
        <f aca="false">IF(OR(B40="",AY40=""),"",AY40-B40)</f>
        <v>13</v>
      </c>
      <c r="BD40" s="74" t="n">
        <f aca="false">IF(OR(AR40="",O40=""),"",MAX(0,IF(AY40="",Settings!$B$4,AY40)-AR40))</f>
        <v>0</v>
      </c>
      <c r="BE40" s="73" t="str">
        <f aca="false">IF(OR(AY40="",AR40=""),"",IF(AND(AY40&lt;=AR40,N(AU40)&gt;=Settings!$B$6),"OTIF","Not OTIF"))</f>
        <v>OTIF</v>
      </c>
      <c r="BF40" s="60" t="s">
        <v>159</v>
      </c>
      <c r="BG40" s="62" t="s">
        <v>379</v>
      </c>
      <c r="BH40" s="78"/>
      <c r="BI40" s="76" t="str">
        <f aca="false">IF(A40="","",IF(K40="Rejected","Rejected",IF(K40&lt;&gt;"Approved","Awaiting Approval",IF(O40="","Approved - PO Pending",IF(AY40&lt;&gt;"",IF(N(AJ40)&gt;=0.999,"Closed","In-house Closed - Payment Due"),IF(AS40&lt;&gt;"","Receiving In-house","PO Issued - Awaiting Delivery"))))))</f>
        <v>Closed</v>
      </c>
      <c r="BJ40" s="76" t="str">
        <f aca="false">IF(A40="","",IF(IF(AND(A40&lt;&gt;"",OR(B40="",C40="",E40="",F40="",H40="")),"PR info missing; ","")&amp;IF(AND(K40="Approved",OR(J40="",I40="")),"Approval ref/date missing; ","")&amp;IF(AND(O40&lt;&gt;"",K40&lt;&gt;"Approved"),"PO without approval; ","")&amp;IF(AND(O40&lt;&gt;"",OR(P40="",M40="",Q40="",S40="",T40="")),"PO details missing; ","")&amp;IF(AND(O40&lt;&gt;"",AR40=""),"Committed date missing; ","")&amp;IF(AND(ISNUMBER(J40),ISNUMBER(B40),N(J40)&lt;N(B40)),"Approval dated before PR; ","")&amp;IF(AND(ISNUMBER(P40),ISNUMBER(J40),N(P40)&lt;N(J40)),"PO dated before approval; ","")&amp;IF(AND(ISNUMBER(AY40),ISNUMBER(AS40),N(AY40)&lt;N(AS40)),"Close before in-house start; ","")&amp;IF(AND(AY40&lt;&gt;"",AS40=""),"In-house start date missing; ","")&amp;IF(AND(AY40&lt;&gt;"",AT40=""),"Qty received missing; ","")&amp;IF(AND(AY40&lt;&gt;"",BF40=""),"QC status missing; ","")&amp;IF(N(AT40)&gt;N(Q40)*1.05,"Received &gt; ordered +5%; ","")&amp;IF(AND(N(AI40)&gt;0,AE40=""),"Payment terms missing; ","")&amp;IF(N(AI40)&gt;N(AD40)+1,"Overpaid vs PO; ","")&amp;IF(AND(N(AK40)&gt;0,AY40&lt;&gt;"",AO40=""),"Payment due date missing; ","")="","OK",IF(AND(A40&lt;&gt;"",OR(B40="",C40="",E40="",F40="",H40="")),"PR info missing; ","")&amp;IF(AND(K40="Approved",OR(J40="",I40="")),"Approval ref/date missing; ","")&amp;IF(AND(O40&lt;&gt;"",K40&lt;&gt;"Approved"),"PO without approval; ","")&amp;IF(AND(O40&lt;&gt;"",OR(P40="",M40="",Q40="",S40="",T40="")),"PO details missing; ","")&amp;IF(AND(O40&lt;&gt;"",AR40=""),"Committed date missing; ","")&amp;IF(AND(ISNUMBER(J40),ISNUMBER(B40),N(J40)&lt;N(B40)),"Approval dated before PR; ","")&amp;IF(AND(ISNUMBER(P40),ISNUMBER(J40),N(P40)&lt;N(J40)),"PO dated before approval; ","")&amp;IF(AND(ISNUMBER(AY40),ISNUMBER(AS40),N(AY40)&lt;N(AS40)),"Close before in-house start; ","")&amp;IF(AND(AY40&lt;&gt;"",AS40=""),"In-house start date missing; ","")&amp;IF(AND(AY40&lt;&gt;"",AT40=""),"Qty received missing; ","")&amp;IF(AND(AY40&lt;&gt;"",BF40=""),"QC status missing; ","")&amp;IF(N(AT40)&gt;N(Q40)*1.05,"Received &gt; ordered +5%; ","")&amp;IF(AND(N(AI40)&gt;0,AE40=""),"Payment terms missing; ","")&amp;IF(N(AI40)&gt;N(AD40)+1,"Overpaid vs PO; ","")&amp;IF(AND(N(AK40)&gt;0,AY40&lt;&gt;"",AO40=""),"Payment due date missing; ","")))</f>
        <v>OK</v>
      </c>
      <c r="BK40" s="76" t="str">
        <f aca="false">IF(A40="","",IF(N(AP40)&gt;0,"Pay supplier: "&amp;N(AP40)&amp;" days overdue; ","")&amp;IF(AND(O40&lt;&gt;"",AY40="",N(BD40)&gt;0),"Expedite delivery: "&amp;N(BD40)&amp;" days late; ","")&amp;IF(AND(BI40="Awaiting Approval",ISNUMBER(B40),Settings!$B$4-N(B40)&gt;Settings!$B$19),"Get approval: PR waiting "&amp;(Settings!$B$4-N(B40))&amp;" days; ","")&amp;IF(AND(BI40="Approved - PO Pending",ISNUMBER(J40),Settings!$B$4-N(J40)&gt;Settings!$B$20),"Issue PO: approved "&amp;(Settings!$B$4-N(J40))&amp;" days ago; ","")&amp;IF(AND(OR(BI40="Awaiting Approval",BI40="Approved - PO Pending"),N(AB40)&gt;Settings!$B$7),"Negotiate price: "&amp;TEXT(AB40,"0%")&amp;" above budget; ","")&amp;IF(LEFT(AX40,12)="Short Closed","Short closed: claim balance / credit note"&amp;IF(N(AL40)&gt;0," BDT "&amp;TEXT(AL40,"#,##0"),"")&amp;"; ","")&amp;IF(BF40="Rejected","QC rejected: return / replace; ","")&amp;IF(AND(O40&lt;&gt;"",AY40="",N(AL40)&gt;0,N(BD40)&gt;0),"Advance at risk: BDT "&amp;TEXT(AL40,"#,##0")&amp;" paid, goods late; ","")&amp;IF(AND(BJ40&lt;&gt;"",BJ40&lt;&gt;"OK"),"Fix data entry (see Data Check); ",""))</f>
        <v/>
      </c>
      <c r="BL40" s="73" t="str">
        <f aca="false">IF(BK40="","",IF(OR(N(AP40)&gt;30,AND(AY40="",N(BD40)&gt;15),BF40="Rejected",AND(LEFT(AX40,12)="Short Closed",N(AL40)&gt;0),AND(O40&lt;&gt;"",AY40="",N(AL40)&gt;0,N(BD40)&gt;0)),"High",IF(OR(N(AP40)&gt;0,AND(AY40="",N(BD40)&gt;7),LEFT(AX40,12)="Short Closed",AND(BI40="Awaiting Approval",ISNUMBER(B40),Settings!$B$4-N(B40)&gt;2*Settings!$B$19),AND(BI40="Approved - PO Pending",ISNUMBER(J40),Settings!$B$4-N(J40)&gt;2*Settings!$B$20)),"Medium","Low")))</f>
        <v/>
      </c>
      <c r="BM40" s="77" t="str">
        <f aca="false">IF(BL40="","",IF(BL40="High",1,IF(BL40="Medium",2,3))*10000+ROW())</f>
        <v/>
      </c>
      <c r="BN40" s="62"/>
    </row>
    <row r="41" customFormat="false" ht="39.75" hidden="false" customHeight="true" outlineLevel="0" collapsed="false">
      <c r="A41" s="60" t="s">
        <v>380</v>
      </c>
      <c r="B41" s="61" t="n">
        <v>46281</v>
      </c>
      <c r="C41" s="62" t="s">
        <v>235</v>
      </c>
      <c r="D41" s="62" t="s">
        <v>236</v>
      </c>
      <c r="E41" s="62" t="s">
        <v>253</v>
      </c>
      <c r="F41" s="62" t="s">
        <v>238</v>
      </c>
      <c r="G41" s="62" t="s">
        <v>254</v>
      </c>
      <c r="H41" s="60" t="s">
        <v>43</v>
      </c>
      <c r="I41" s="60" t="s">
        <v>381</v>
      </c>
      <c r="J41" s="61" t="n">
        <v>46284</v>
      </c>
      <c r="K41" s="60" t="s">
        <v>159</v>
      </c>
      <c r="L41" s="60" t="s">
        <v>172</v>
      </c>
      <c r="M41" s="62" t="s">
        <v>241</v>
      </c>
      <c r="N41" s="60" t="s">
        <v>162</v>
      </c>
      <c r="O41" s="60" t="s">
        <v>382</v>
      </c>
      <c r="P41" s="61" t="n">
        <v>46287</v>
      </c>
      <c r="Q41" s="63" t="n">
        <v>19000</v>
      </c>
      <c r="R41" s="60" t="s">
        <v>203</v>
      </c>
      <c r="S41" s="64" t="n">
        <v>13.84</v>
      </c>
      <c r="T41" s="60" t="s">
        <v>180</v>
      </c>
      <c r="U41" s="65" t="n">
        <f aca="false">IF(AND(T41="",S41=""),"",IF(T41="",1,IFERROR(INDEX(Settings!$B$12:$B$16,MATCH(T41,Settings!$A$12:$A$16,0)),1)))</f>
        <v>1</v>
      </c>
      <c r="V41" s="64" t="n">
        <v>13.61</v>
      </c>
      <c r="W41" s="66" t="n">
        <f aca="false">IF(OR(Q41="",S41=""),"",Q41*S41*U41)</f>
        <v>262960</v>
      </c>
      <c r="X41" s="65" t="n">
        <f aca="false">IF(OR(W41="",N(Q41)=0),"",W41/Q41)</f>
        <v>13.84</v>
      </c>
      <c r="Y41" s="65" t="n">
        <f aca="false">IF(OR(X41="",P41="",E41=""),"",IF(_xlfn.MAXIFS($P$6:$P$205,$E$6:$E$205,E41,$P$6:$P$205,"&lt;"&amp;P41,$X$6:$X$205,"&gt;0")=0,"",IFERROR(AVERAGEIFS($X$6:$X$205,$E$6:$E$205,E41,$P$6:$P$205,_xlfn.MAXIFS($P$6:$P$205,$E$6:$E$205,E41,$P$6:$P$205,"&lt;"&amp;P41,$X$6:$X$205,"&gt;0"),$X$6:$X$205,"&gt;0"),"")))</f>
        <v>15.01</v>
      </c>
      <c r="Z41" s="67" t="n">
        <f aca="false">IF(OR(Y41="",X41=""),"",X41/Y41-1)</f>
        <v>-0.0779480346435709</v>
      </c>
      <c r="AA41" s="68" t="n">
        <f aca="false">IF(OR(W41="",V41=""),"",W41-Q41*V41)</f>
        <v>4370</v>
      </c>
      <c r="AB41" s="69" t="n">
        <f aca="false">IF(AA41="","",IF(N(V41)*N(Q41)=0,"",AA41/(Q41*V41)))</f>
        <v>0.0168993387215283</v>
      </c>
      <c r="AC41" s="70" t="n">
        <v>0.05</v>
      </c>
      <c r="AD41" s="66" t="n">
        <f aca="false">IF(W41="","",W41*(1+N(AC41)))</f>
        <v>276108</v>
      </c>
      <c r="AE41" s="62" t="s">
        <v>166</v>
      </c>
      <c r="AF41" s="71" t="n">
        <v>82832.4</v>
      </c>
      <c r="AG41" s="71"/>
      <c r="AH41" s="71"/>
      <c r="AI41" s="66" t="n">
        <f aca="false">IF(A41="","",N(AF41)+N(AG41)+N(AH41))</f>
        <v>82832.4</v>
      </c>
      <c r="AJ41" s="72" t="n">
        <f aca="false">IF(AD41="","",IF(N(AD41)=0,"",AI41/AD41))</f>
        <v>0.3</v>
      </c>
      <c r="AK41" s="66" t="n">
        <f aca="false">IF(AD41="","",IF(AD41-AI41&lt;1,0,ROUND(AD41-AI41,2)))</f>
        <v>193275.6</v>
      </c>
      <c r="AL41" s="66" t="n">
        <f aca="false">IF(OR(O41="",AD41=""),"",MAX(0,ROUND(N(AI41)-(AD41-N(AW41)),0)))</f>
        <v>0</v>
      </c>
      <c r="AM41" s="73" t="str">
        <f aca="false">IF(A41="","",IF(O41="","No PO Yet",IF(AI41=0,"Not Paid",IF(N(AJ41)&gt;=0.999,"Fully Paid",IF(N(AG41)+N(AH41)&gt;0,"Partially Paid","Initial / Advance Paid")))))</f>
        <v>Initial / Advance Paid</v>
      </c>
      <c r="AN41" s="61" t="n">
        <v>46289</v>
      </c>
      <c r="AO41" s="61" t="n">
        <v>46316</v>
      </c>
      <c r="AP41" s="74" t="n">
        <f aca="false">IF(AK41="","",IF(OR(N(AK41)=0,AO41=""),"",MAX(0,Settings!$B$4-AO41)))</f>
        <v>0</v>
      </c>
      <c r="AQ41" s="73" t="str">
        <f aca="false">IF(AK41="","",IF(N(AK41)&lt;=0,"",IF(AO41="","No Due Date",IF(Settings!$B$4&lt;=AO41,"Not Yet Due",IF(Settings!$B$4-AO41&lt;=30,"1-30 Days",IF(Settings!$B$4-AO41&lt;=60,"31-60 Days",IF(Settings!$B$4-AO41&lt;=90,"61-90 Days","90+ Days")))))))</f>
        <v>Not Yet Due</v>
      </c>
      <c r="AR41" s="61" t="n">
        <v>46299</v>
      </c>
      <c r="AS41" s="61" t="n">
        <v>46298</v>
      </c>
      <c r="AT41" s="63" t="n">
        <v>19000</v>
      </c>
      <c r="AU41" s="72" t="n">
        <f aca="false">IF(Q41="","",IF(N(Q41)=0,"",N(AT41)/Q41))</f>
        <v>1</v>
      </c>
      <c r="AV41" s="75" t="n">
        <f aca="false">IF(OR(A41="",O41="",Q41=""),"",MAX(0,Q41-N(AT41)))</f>
        <v>0</v>
      </c>
      <c r="AW41" s="66" t="n">
        <f aca="false">IF(OR(AV41="",W41=""),"",IF(N(Q41)=0,0,AV41/Q41*AD41))</f>
        <v>0</v>
      </c>
      <c r="AX41" s="76" t="str">
        <f aca="false">IF(A41="","",IF(O41="","No PO Yet",IF(Q41="","Order Qty Missing",IF(N(AT41)&gt;=Q41,IF(N(AT41)&gt;Q41,"All In-house (+"&amp;TEXT(N(AT41)-Q41,"#,##0")&amp;" "&amp;R41&amp;" excess)","All In-house"),IF(AY41&lt;&gt;"","Short Closed - "&amp;TEXT(AV41,"#,##0")&amp;" "&amp;R41&amp;" not received",IF(N(AT41)=0,"Not Started - "&amp;TEXT(AV41,"#,##0")&amp;" "&amp;R41&amp;" pending","Pending "&amp;TEXT(AV41,"#,##0")&amp;" "&amp;R41&amp;" ("&amp;TEXT(AU41,"0%")&amp;" received)"))))))</f>
        <v>All In-house</v>
      </c>
      <c r="AY41" s="61" t="n">
        <v>46301</v>
      </c>
      <c r="AZ41" s="77" t="n">
        <f aca="false">IF(OR(B41="",J41=""),"",J41-B41)</f>
        <v>3</v>
      </c>
      <c r="BA41" s="77" t="n">
        <f aca="false">IF(OR(J41="",P41=""),"",P41-J41)</f>
        <v>3</v>
      </c>
      <c r="BB41" s="77" t="n">
        <f aca="false">IF(OR(P41="",AY41=""),"",AY41-P41)</f>
        <v>14</v>
      </c>
      <c r="BC41" s="77" t="n">
        <f aca="false">IF(OR(B41="",AY41=""),"",AY41-B41)</f>
        <v>20</v>
      </c>
      <c r="BD41" s="74" t="n">
        <f aca="false">IF(OR(AR41="",O41=""),"",MAX(0,IF(AY41="",Settings!$B$4,AY41)-AR41))</f>
        <v>2</v>
      </c>
      <c r="BE41" s="73" t="str">
        <f aca="false">IF(OR(AY41="",AR41=""),"",IF(AND(AY41&lt;=AR41,N(AU41)&gt;=Settings!$B$6),"OTIF","Not OTIF"))</f>
        <v>Not OTIF</v>
      </c>
      <c r="BF41" s="60" t="s">
        <v>159</v>
      </c>
      <c r="BG41" s="62" t="s">
        <v>383</v>
      </c>
      <c r="BH41" s="78"/>
      <c r="BI41" s="76" t="str">
        <f aca="false">IF(A41="","",IF(K41="Rejected","Rejected",IF(K41&lt;&gt;"Approved","Awaiting Approval",IF(O41="","Approved - PO Pending",IF(AY41&lt;&gt;"",IF(N(AJ41)&gt;=0.999,"Closed","In-house Closed - Payment Due"),IF(AS41&lt;&gt;"","Receiving In-house","PO Issued - Awaiting Delivery"))))))</f>
        <v>In-house Closed - Payment Due</v>
      </c>
      <c r="BJ41" s="76" t="str">
        <f aca="false">IF(A41="","",IF(IF(AND(A41&lt;&gt;"",OR(B41="",C41="",E41="",F41="",H41="")),"PR info missing; ","")&amp;IF(AND(K41="Approved",OR(J41="",I41="")),"Approval ref/date missing; ","")&amp;IF(AND(O41&lt;&gt;"",K41&lt;&gt;"Approved"),"PO without approval; ","")&amp;IF(AND(O41&lt;&gt;"",OR(P41="",M41="",Q41="",S41="",T41="")),"PO details missing; ","")&amp;IF(AND(O41&lt;&gt;"",AR41=""),"Committed date missing; ","")&amp;IF(AND(ISNUMBER(J41),ISNUMBER(B41),N(J41)&lt;N(B41)),"Approval dated before PR; ","")&amp;IF(AND(ISNUMBER(P41),ISNUMBER(J41),N(P41)&lt;N(J41)),"PO dated before approval; ","")&amp;IF(AND(ISNUMBER(AY41),ISNUMBER(AS41),N(AY41)&lt;N(AS41)),"Close before in-house start; ","")&amp;IF(AND(AY41&lt;&gt;"",AS41=""),"In-house start date missing; ","")&amp;IF(AND(AY41&lt;&gt;"",AT41=""),"Qty received missing; ","")&amp;IF(AND(AY41&lt;&gt;"",BF41=""),"QC status missing; ","")&amp;IF(N(AT41)&gt;N(Q41)*1.05,"Received &gt; ordered +5%; ","")&amp;IF(AND(N(AI41)&gt;0,AE41=""),"Payment terms missing; ","")&amp;IF(N(AI41)&gt;N(AD41)+1,"Overpaid vs PO; ","")&amp;IF(AND(N(AK41)&gt;0,AY41&lt;&gt;"",AO41=""),"Payment due date missing; ","")="","OK",IF(AND(A41&lt;&gt;"",OR(B41="",C41="",E41="",F41="",H41="")),"PR info missing; ","")&amp;IF(AND(K41="Approved",OR(J41="",I41="")),"Approval ref/date missing; ","")&amp;IF(AND(O41&lt;&gt;"",K41&lt;&gt;"Approved"),"PO without approval; ","")&amp;IF(AND(O41&lt;&gt;"",OR(P41="",M41="",Q41="",S41="",T41="")),"PO details missing; ","")&amp;IF(AND(O41&lt;&gt;"",AR41=""),"Committed date missing; ","")&amp;IF(AND(ISNUMBER(J41),ISNUMBER(B41),N(J41)&lt;N(B41)),"Approval dated before PR; ","")&amp;IF(AND(ISNUMBER(P41),ISNUMBER(J41),N(P41)&lt;N(J41)),"PO dated before approval; ","")&amp;IF(AND(ISNUMBER(AY41),ISNUMBER(AS41),N(AY41)&lt;N(AS41)),"Close before in-house start; ","")&amp;IF(AND(AY41&lt;&gt;"",AS41=""),"In-house start date missing; ","")&amp;IF(AND(AY41&lt;&gt;"",AT41=""),"Qty received missing; ","")&amp;IF(AND(AY41&lt;&gt;"",BF41=""),"QC status missing; ","")&amp;IF(N(AT41)&gt;N(Q41)*1.05,"Received &gt; ordered +5%; ","")&amp;IF(AND(N(AI41)&gt;0,AE41=""),"Payment terms missing; ","")&amp;IF(N(AI41)&gt;N(AD41)+1,"Overpaid vs PO; ","")&amp;IF(AND(N(AK41)&gt;0,AY41&lt;&gt;"",AO41=""),"Payment due date missing; ","")))</f>
        <v>OK</v>
      </c>
      <c r="BK41" s="76" t="str">
        <f aca="false">IF(A41="","",IF(N(AP41)&gt;0,"Pay supplier: "&amp;N(AP41)&amp;" days overdue; ","")&amp;IF(AND(O41&lt;&gt;"",AY41="",N(BD41)&gt;0),"Expedite delivery: "&amp;N(BD41)&amp;" days late; ","")&amp;IF(AND(BI41="Awaiting Approval",ISNUMBER(B41),Settings!$B$4-N(B41)&gt;Settings!$B$19),"Get approval: PR waiting "&amp;(Settings!$B$4-N(B41))&amp;" days; ","")&amp;IF(AND(BI41="Approved - PO Pending",ISNUMBER(J41),Settings!$B$4-N(J41)&gt;Settings!$B$20),"Issue PO: approved "&amp;(Settings!$B$4-N(J41))&amp;" days ago; ","")&amp;IF(AND(OR(BI41="Awaiting Approval",BI41="Approved - PO Pending"),N(AB41)&gt;Settings!$B$7),"Negotiate price: "&amp;TEXT(AB41,"0%")&amp;" above budget; ","")&amp;IF(LEFT(AX41,12)="Short Closed","Short closed: claim balance / credit note"&amp;IF(N(AL41)&gt;0," BDT "&amp;TEXT(AL41,"#,##0"),"")&amp;"; ","")&amp;IF(BF41="Rejected","QC rejected: return / replace; ","")&amp;IF(AND(O41&lt;&gt;"",AY41="",N(AL41)&gt;0,N(BD41)&gt;0),"Advance at risk: BDT "&amp;TEXT(AL41,"#,##0")&amp;" paid, goods late; ","")&amp;IF(AND(BJ41&lt;&gt;"",BJ41&lt;&gt;"OK"),"Fix data entry (see Data Check); ",""))</f>
        <v/>
      </c>
      <c r="BL41" s="73" t="str">
        <f aca="false">IF(BK41="","",IF(OR(N(AP41)&gt;30,AND(AY41="",N(BD41)&gt;15),BF41="Rejected",AND(LEFT(AX41,12)="Short Closed",N(AL41)&gt;0),AND(O41&lt;&gt;"",AY41="",N(AL41)&gt;0,N(BD41)&gt;0)),"High",IF(OR(N(AP41)&gt;0,AND(AY41="",N(BD41)&gt;7),LEFT(AX41,12)="Short Closed",AND(BI41="Awaiting Approval",ISNUMBER(B41),Settings!$B$4-N(B41)&gt;2*Settings!$B$19),AND(BI41="Approved - PO Pending",ISNUMBER(J41),Settings!$B$4-N(J41)&gt;2*Settings!$B$20)),"Medium","Low")))</f>
        <v/>
      </c>
      <c r="BM41" s="77" t="str">
        <f aca="false">IF(BL41="","",IF(BL41="High",1,IF(BL41="Medium",2,3))*10000+ROW())</f>
        <v/>
      </c>
      <c r="BN41" s="62"/>
    </row>
    <row r="42" customFormat="false" ht="18" hidden="false" customHeight="true" outlineLevel="0" collapsed="false">
      <c r="A42" s="60" t="s">
        <v>384</v>
      </c>
      <c r="B42" s="61" t="n">
        <v>46283</v>
      </c>
      <c r="C42" s="62" t="s">
        <v>195</v>
      </c>
      <c r="D42" s="62" t="s">
        <v>196</v>
      </c>
      <c r="E42" s="62" t="s">
        <v>213</v>
      </c>
      <c r="F42" s="62" t="s">
        <v>198</v>
      </c>
      <c r="G42" s="62" t="s">
        <v>214</v>
      </c>
      <c r="H42" s="60" t="s">
        <v>43</v>
      </c>
      <c r="I42" s="60" t="s">
        <v>385</v>
      </c>
      <c r="J42" s="61" t="n">
        <v>46284</v>
      </c>
      <c r="K42" s="60" t="s">
        <v>159</v>
      </c>
      <c r="L42" s="60" t="s">
        <v>172</v>
      </c>
      <c r="M42" s="62" t="s">
        <v>188</v>
      </c>
      <c r="N42" s="60" t="s">
        <v>189</v>
      </c>
      <c r="O42" s="60" t="s">
        <v>386</v>
      </c>
      <c r="P42" s="61" t="n">
        <v>46288</v>
      </c>
      <c r="Q42" s="63" t="n">
        <v>4100</v>
      </c>
      <c r="R42" s="60" t="s">
        <v>217</v>
      </c>
      <c r="S42" s="64" t="n">
        <v>10.04</v>
      </c>
      <c r="T42" s="60" t="s">
        <v>218</v>
      </c>
      <c r="U42" s="65" t="n">
        <f aca="false">IF(AND(T42="",S42=""),"",IF(T42="",1,IFERROR(INDEX(Settings!$B$12:$B$16,MATCH(T42,Settings!$A$12:$A$16,0)),1)))</f>
        <v>17</v>
      </c>
      <c r="V42" s="64" t="n">
        <v>157.54</v>
      </c>
      <c r="W42" s="66" t="n">
        <f aca="false">IF(OR(Q42="",S42=""),"",Q42*S42*U42)</f>
        <v>699788</v>
      </c>
      <c r="X42" s="65" t="n">
        <f aca="false">IF(OR(W42="",N(Q42)=0),"",W42/Q42)</f>
        <v>170.68</v>
      </c>
      <c r="Y42" s="65" t="n">
        <f aca="false">IF(OR(X42="",P42="",E42=""),"",IF(_xlfn.MAXIFS($P$6:$P$205,$E$6:$E$205,E42,$P$6:$P$205,"&lt;"&amp;P42,$X$6:$X$205,"&gt;0")=0,"",IFERROR(AVERAGEIFS($X$6:$X$205,$E$6:$E$205,E42,$P$6:$P$205,_xlfn.MAXIFS($P$6:$P$205,$E$6:$E$205,E42,$P$6:$P$205,"&lt;"&amp;P42,$X$6:$X$205,"&gt;0"),$X$6:$X$205,"&gt;0"),"")))</f>
        <v>171.7</v>
      </c>
      <c r="Z42" s="67" t="n">
        <f aca="false">IF(OR(Y42="",X42=""),"",X42/Y42-1)</f>
        <v>-0.00594059405940584</v>
      </c>
      <c r="AA42" s="68" t="n">
        <f aca="false">IF(OR(W42="",V42=""),"",W42-Q42*V42)</f>
        <v>53874</v>
      </c>
      <c r="AB42" s="69" t="n">
        <f aca="false">IF(AA42="","",IF(N(V42)*N(Q42)=0,"",AA42/(Q42*V42)))</f>
        <v>0.0834073885997207</v>
      </c>
      <c r="AC42" s="70" t="n">
        <v>0.15</v>
      </c>
      <c r="AD42" s="66" t="n">
        <f aca="false">IF(W42="","",W42*(1+N(AC42)))</f>
        <v>804756.2</v>
      </c>
      <c r="AE42" s="62" t="s">
        <v>192</v>
      </c>
      <c r="AF42" s="71"/>
      <c r="AG42" s="71"/>
      <c r="AH42" s="71"/>
      <c r="AI42" s="66" t="n">
        <f aca="false">IF(A42="","",N(AF42)+N(AG42)+N(AH42))</f>
        <v>0</v>
      </c>
      <c r="AJ42" s="72" t="n">
        <f aca="false">IF(AD42="","",IF(N(AD42)=0,"",AI42/AD42))</f>
        <v>0</v>
      </c>
      <c r="AK42" s="66" t="n">
        <f aca="false">IF(AD42="","",IF(AD42-AI42&lt;1,0,ROUND(AD42-AI42,2)))</f>
        <v>804756.2</v>
      </c>
      <c r="AL42" s="66" t="n">
        <f aca="false">IF(OR(O42="",AD42=""),"",MAX(0,ROUND(N(AI42)-(AD42-N(AW42)),0)))</f>
        <v>0</v>
      </c>
      <c r="AM42" s="73" t="str">
        <f aca="false">IF(A42="","",IF(O42="","No PO Yet",IF(AI42=0,"Not Paid",IF(N(AJ42)&gt;=0.999,"Fully Paid",IF(N(AG42)+N(AH42)&gt;0,"Partially Paid","Initial / Advance Paid")))))</f>
        <v>Not Paid</v>
      </c>
      <c r="AN42" s="61"/>
      <c r="AO42" s="61" t="n">
        <v>46331</v>
      </c>
      <c r="AP42" s="74" t="n">
        <f aca="false">IF(AK42="","",IF(OR(N(AK42)=0,AO42=""),"",MAX(0,Settings!$B$4-AO42)))</f>
        <v>0</v>
      </c>
      <c r="AQ42" s="73" t="str">
        <f aca="false">IF(AK42="","",IF(N(AK42)&lt;=0,"",IF(AO42="","No Due Date",IF(Settings!$B$4&lt;=AO42,"Not Yet Due",IF(Settings!$B$4-AO42&lt;=30,"1-30 Days",IF(Settings!$B$4-AO42&lt;=60,"31-60 Days",IF(Settings!$B$4-AO42&lt;=90,"61-90 Days","90+ Days")))))))</f>
        <v>Not Yet Due</v>
      </c>
      <c r="AR42" s="61" t="n">
        <v>46341</v>
      </c>
      <c r="AS42" s="61"/>
      <c r="AT42" s="63"/>
      <c r="AU42" s="72" t="n">
        <f aca="false">IF(Q42="","",IF(N(Q42)=0,"",N(AT42)/Q42))</f>
        <v>0</v>
      </c>
      <c r="AV42" s="75" t="n">
        <f aca="false">IF(OR(A42="",O42="",Q42=""),"",MAX(0,Q42-N(AT42)))</f>
        <v>4100</v>
      </c>
      <c r="AW42" s="66" t="n">
        <f aca="false">IF(OR(AV42="",W42=""),"",IF(N(Q42)=0,0,AV42/Q42*AD42))</f>
        <v>804756.2</v>
      </c>
      <c r="AX42" s="76" t="str">
        <f aca="false">IF(A42="","",IF(O42="","No PO Yet",IF(Q42="","Order Qty Missing",IF(N(AT42)&gt;=Q42,IF(N(AT42)&gt;Q42,"All In-house (+"&amp;TEXT(N(AT42)-Q42,"#,##0")&amp;" "&amp;R42&amp;" excess)","All In-house"),IF(AY42&lt;&gt;"","Short Closed - "&amp;TEXT(AV42,"#,##0")&amp;" "&amp;R42&amp;" not received",IF(N(AT42)=0,"Not Started - "&amp;TEXT(AV42,"#,##0")&amp;" "&amp;R42&amp;" pending","Pending "&amp;TEXT(AV42,"#,##0")&amp;" "&amp;R42&amp;" ("&amp;TEXT(AU42,"0%")&amp;" received)"))))))</f>
        <v>Not Started - 4,100 sheet pending</v>
      </c>
      <c r="AY42" s="61"/>
      <c r="AZ42" s="77" t="n">
        <f aca="false">IF(OR(B42="",J42=""),"",J42-B42)</f>
        <v>1</v>
      </c>
      <c r="BA42" s="77" t="n">
        <f aca="false">IF(OR(J42="",P42=""),"",P42-J42)</f>
        <v>4</v>
      </c>
      <c r="BB42" s="77" t="str">
        <f aca="false">IF(OR(P42="",AY42=""),"",AY42-P42)</f>
        <v/>
      </c>
      <c r="BC42" s="77" t="str">
        <f aca="false">IF(OR(B42="",AY42=""),"",AY42-B42)</f>
        <v/>
      </c>
      <c r="BD42" s="74" t="n">
        <f aca="false">IF(OR(AR42="",O42=""),"",MAX(0,IF(AY42="",Settings!$B$4,AY42)-AR42))</f>
        <v>0</v>
      </c>
      <c r="BE42" s="73" t="str">
        <f aca="false">IF(OR(AY42="",AR42=""),"",IF(AND(AY42&lt;=AR42,N(AU42)&gt;=Settings!$B$6),"OTIF","Not OTIF"))</f>
        <v/>
      </c>
      <c r="BF42" s="60"/>
      <c r="BG42" s="62"/>
      <c r="BH42" s="78"/>
      <c r="BI42" s="76" t="str">
        <f aca="false">IF(A42="","",IF(K42="Rejected","Rejected",IF(K42&lt;&gt;"Approved","Awaiting Approval",IF(O42="","Approved - PO Pending",IF(AY42&lt;&gt;"",IF(N(AJ42)&gt;=0.999,"Closed","In-house Closed - Payment Due"),IF(AS42&lt;&gt;"","Receiving In-house","PO Issued - Awaiting Delivery"))))))</f>
        <v>PO Issued - Awaiting Delivery</v>
      </c>
      <c r="BJ42" s="76" t="str">
        <f aca="false">IF(A42="","",IF(IF(AND(A42&lt;&gt;"",OR(B42="",C42="",E42="",F42="",H42="")),"PR info missing; ","")&amp;IF(AND(K42="Approved",OR(J42="",I42="")),"Approval ref/date missing; ","")&amp;IF(AND(O42&lt;&gt;"",K42&lt;&gt;"Approved"),"PO without approval; ","")&amp;IF(AND(O42&lt;&gt;"",OR(P42="",M42="",Q42="",S42="",T42="")),"PO details missing; ","")&amp;IF(AND(O42&lt;&gt;"",AR42=""),"Committed date missing; ","")&amp;IF(AND(ISNUMBER(J42),ISNUMBER(B42),N(J42)&lt;N(B42)),"Approval dated before PR; ","")&amp;IF(AND(ISNUMBER(P42),ISNUMBER(J42),N(P42)&lt;N(J42)),"PO dated before approval; ","")&amp;IF(AND(ISNUMBER(AY42),ISNUMBER(AS42),N(AY42)&lt;N(AS42)),"Close before in-house start; ","")&amp;IF(AND(AY42&lt;&gt;"",AS42=""),"In-house start date missing; ","")&amp;IF(AND(AY42&lt;&gt;"",AT42=""),"Qty received missing; ","")&amp;IF(AND(AY42&lt;&gt;"",BF42=""),"QC status missing; ","")&amp;IF(N(AT42)&gt;N(Q42)*1.05,"Received &gt; ordered +5%; ","")&amp;IF(AND(N(AI42)&gt;0,AE42=""),"Payment terms missing; ","")&amp;IF(N(AI42)&gt;N(AD42)+1,"Overpaid vs PO; ","")&amp;IF(AND(N(AK42)&gt;0,AY42&lt;&gt;"",AO42=""),"Payment due date missing; ","")="","OK",IF(AND(A42&lt;&gt;"",OR(B42="",C42="",E42="",F42="",H42="")),"PR info missing; ","")&amp;IF(AND(K42="Approved",OR(J42="",I42="")),"Approval ref/date missing; ","")&amp;IF(AND(O42&lt;&gt;"",K42&lt;&gt;"Approved"),"PO without approval; ","")&amp;IF(AND(O42&lt;&gt;"",OR(P42="",M42="",Q42="",S42="",T42="")),"PO details missing; ","")&amp;IF(AND(O42&lt;&gt;"",AR42=""),"Committed date missing; ","")&amp;IF(AND(ISNUMBER(J42),ISNUMBER(B42),N(J42)&lt;N(B42)),"Approval dated before PR; ","")&amp;IF(AND(ISNUMBER(P42),ISNUMBER(J42),N(P42)&lt;N(J42)),"PO dated before approval; ","")&amp;IF(AND(ISNUMBER(AY42),ISNUMBER(AS42),N(AY42)&lt;N(AS42)),"Close before in-house start; ","")&amp;IF(AND(AY42&lt;&gt;"",AS42=""),"In-house start date missing; ","")&amp;IF(AND(AY42&lt;&gt;"",AT42=""),"Qty received missing; ","")&amp;IF(AND(AY42&lt;&gt;"",BF42=""),"QC status missing; ","")&amp;IF(N(AT42)&gt;N(Q42)*1.05,"Received &gt; ordered +5%; ","")&amp;IF(AND(N(AI42)&gt;0,AE42=""),"Payment terms missing; ","")&amp;IF(N(AI42)&gt;N(AD42)+1,"Overpaid vs PO; ","")&amp;IF(AND(N(AK42)&gt;0,AY42&lt;&gt;"",AO42=""),"Payment due date missing; ","")))</f>
        <v>OK</v>
      </c>
      <c r="BK42" s="76" t="str">
        <f aca="false">IF(A42="","",IF(N(AP42)&gt;0,"Pay supplier: "&amp;N(AP42)&amp;" days overdue; ","")&amp;IF(AND(O42&lt;&gt;"",AY42="",N(BD42)&gt;0),"Expedite delivery: "&amp;N(BD42)&amp;" days late; ","")&amp;IF(AND(BI42="Awaiting Approval",ISNUMBER(B42),Settings!$B$4-N(B42)&gt;Settings!$B$19),"Get approval: PR waiting "&amp;(Settings!$B$4-N(B42))&amp;" days; ","")&amp;IF(AND(BI42="Approved - PO Pending",ISNUMBER(J42),Settings!$B$4-N(J42)&gt;Settings!$B$20),"Issue PO: approved "&amp;(Settings!$B$4-N(J42))&amp;" days ago; ","")&amp;IF(AND(OR(BI42="Awaiting Approval",BI42="Approved - PO Pending"),N(AB42)&gt;Settings!$B$7),"Negotiate price: "&amp;TEXT(AB42,"0%")&amp;" above budget; ","")&amp;IF(LEFT(AX42,12)="Short Closed","Short closed: claim balance / credit note"&amp;IF(N(AL42)&gt;0," BDT "&amp;TEXT(AL42,"#,##0"),"")&amp;"; ","")&amp;IF(BF42="Rejected","QC rejected: return / replace; ","")&amp;IF(AND(O42&lt;&gt;"",AY42="",N(AL42)&gt;0,N(BD42)&gt;0),"Advance at risk: BDT "&amp;TEXT(AL42,"#,##0")&amp;" paid, goods late; ","")&amp;IF(AND(BJ42&lt;&gt;"",BJ42&lt;&gt;"OK"),"Fix data entry (see Data Check); ",""))</f>
        <v/>
      </c>
      <c r="BL42" s="73" t="str">
        <f aca="false">IF(BK42="","",IF(OR(N(AP42)&gt;30,AND(AY42="",N(BD42)&gt;15),BF42="Rejected",AND(LEFT(AX42,12)="Short Closed",N(AL42)&gt;0),AND(O42&lt;&gt;"",AY42="",N(AL42)&gt;0,N(BD42)&gt;0)),"High",IF(OR(N(AP42)&gt;0,AND(AY42="",N(BD42)&gt;7),LEFT(AX42,12)="Short Closed",AND(BI42="Awaiting Approval",ISNUMBER(B42),Settings!$B$4-N(B42)&gt;2*Settings!$B$19),AND(BI42="Approved - PO Pending",ISNUMBER(J42),Settings!$B$4-N(J42)&gt;2*Settings!$B$20)),"Medium","Low")))</f>
        <v/>
      </c>
      <c r="BM42" s="77" t="str">
        <f aca="false">IF(BL42="","",IF(BL42="High",1,IF(BL42="Medium",2,3))*10000+ROW())</f>
        <v/>
      </c>
      <c r="BN42" s="62"/>
    </row>
    <row r="43" customFormat="false" ht="18" hidden="false" customHeight="true" outlineLevel="0" collapsed="false">
      <c r="A43" s="60" t="s">
        <v>387</v>
      </c>
      <c r="B43" s="61" t="n">
        <v>46286</v>
      </c>
      <c r="C43" s="62" t="s">
        <v>153</v>
      </c>
      <c r="D43" s="62" t="s">
        <v>154</v>
      </c>
      <c r="E43" s="62" t="s">
        <v>258</v>
      </c>
      <c r="F43" s="62" t="s">
        <v>185</v>
      </c>
      <c r="G43" s="62" t="s">
        <v>259</v>
      </c>
      <c r="H43" s="60" t="s">
        <v>43</v>
      </c>
      <c r="I43" s="60" t="s">
        <v>388</v>
      </c>
      <c r="J43" s="61" t="n">
        <v>46288</v>
      </c>
      <c r="K43" s="60" t="s">
        <v>159</v>
      </c>
      <c r="L43" s="60" t="s">
        <v>160</v>
      </c>
      <c r="M43" s="62" t="s">
        <v>261</v>
      </c>
      <c r="N43" s="60" t="s">
        <v>162</v>
      </c>
      <c r="O43" s="60" t="s">
        <v>389</v>
      </c>
      <c r="P43" s="61" t="n">
        <v>46291</v>
      </c>
      <c r="Q43" s="63" t="n">
        <v>1600</v>
      </c>
      <c r="R43" s="60" t="s">
        <v>217</v>
      </c>
      <c r="S43" s="64" t="n">
        <v>335</v>
      </c>
      <c r="T43" s="60" t="s">
        <v>180</v>
      </c>
      <c r="U43" s="65" t="n">
        <f aca="false">IF(AND(T43="",S43=""),"",IF(T43="",1,IFERROR(INDEX(Settings!$B$12:$B$16,MATCH(T43,Settings!$A$12:$A$16,0)),1)))</f>
        <v>1</v>
      </c>
      <c r="V43" s="64" t="n">
        <v>334.55</v>
      </c>
      <c r="W43" s="66" t="n">
        <f aca="false">IF(OR(Q43="",S43=""),"",Q43*S43*U43)</f>
        <v>536000</v>
      </c>
      <c r="X43" s="65" t="n">
        <f aca="false">IF(OR(W43="",N(Q43)=0),"",W43/Q43)</f>
        <v>335</v>
      </c>
      <c r="Y43" s="65" t="n">
        <f aca="false">IF(OR(X43="",P43="",E43=""),"",IF(_xlfn.MAXIFS($P$6:$P$205,$E$6:$E$205,E43,$P$6:$P$205,"&lt;"&amp;P43,$X$6:$X$205,"&gt;0")=0,"",IFERROR(AVERAGEIFS($X$6:$X$205,$E$6:$E$205,E43,$P$6:$P$205,_xlfn.MAXIFS($P$6:$P$205,$E$6:$E$205,E43,$P$6:$P$205,"&lt;"&amp;P43,$X$6:$X$205,"&gt;0"),$X$6:$X$205,"&gt;0"),"")))</f>
        <v>336</v>
      </c>
      <c r="Z43" s="67" t="n">
        <f aca="false">IF(OR(Y43="",X43=""),"",X43/Y43-1)</f>
        <v>-0.00297619047619047</v>
      </c>
      <c r="AA43" s="68" t="n">
        <f aca="false">IF(OR(W43="",V43=""),"",W43-Q43*V43)</f>
        <v>720</v>
      </c>
      <c r="AB43" s="69" t="n">
        <f aca="false">IF(AA43="","",IF(N(V43)*N(Q43)=0,"",AA43/(Q43*V43)))</f>
        <v>0.00134509041996712</v>
      </c>
      <c r="AC43" s="70" t="n">
        <v>0.05</v>
      </c>
      <c r="AD43" s="66" t="n">
        <f aca="false">IF(W43="","",W43*(1+N(AC43)))</f>
        <v>562800</v>
      </c>
      <c r="AE43" s="62" t="s">
        <v>174</v>
      </c>
      <c r="AF43" s="71" t="n">
        <v>562800</v>
      </c>
      <c r="AG43" s="71"/>
      <c r="AH43" s="71"/>
      <c r="AI43" s="66" t="n">
        <f aca="false">IF(A43="","",N(AF43)+N(AG43)+N(AH43))</f>
        <v>562800</v>
      </c>
      <c r="AJ43" s="72" t="n">
        <f aca="false">IF(AD43="","",IF(N(AD43)=0,"",AI43/AD43))</f>
        <v>1</v>
      </c>
      <c r="AK43" s="66" t="n">
        <f aca="false">IF(AD43="","",IF(AD43-AI43&lt;1,0,ROUND(AD43-AI43,2)))</f>
        <v>0</v>
      </c>
      <c r="AL43" s="66" t="n">
        <f aca="false">IF(OR(O43="",AD43=""),"",MAX(0,ROUND(N(AI43)-(AD43-N(AW43)),0)))</f>
        <v>190297</v>
      </c>
      <c r="AM43" s="73" t="str">
        <f aca="false">IF(A43="","",IF(O43="","No PO Yet",IF(AI43=0,"Not Paid",IF(N(AJ43)&gt;=0.999,"Fully Paid",IF(N(AG43)+N(AH43)&gt;0,"Partially Paid","Initial / Advance Paid")))))</f>
        <v>Fully Paid</v>
      </c>
      <c r="AN43" s="61" t="n">
        <v>46292</v>
      </c>
      <c r="AO43" s="61"/>
      <c r="AP43" s="74" t="str">
        <f aca="false">IF(AK43="","",IF(OR(N(AK43)=0,AO43=""),"",MAX(0,Settings!$B$4-AO43)))</f>
        <v/>
      </c>
      <c r="AQ43" s="73" t="str">
        <f aca="false">IF(AK43="","",IF(N(AK43)&lt;=0,"",IF(AO43="","No Due Date",IF(Settings!$B$4&lt;=AO43,"Not Yet Due",IF(Settings!$B$4-AO43&lt;=30,"1-30 Days",IF(Settings!$B$4-AO43&lt;=60,"31-60 Days",IF(Settings!$B$4-AO43&lt;=90,"61-90 Days","90+ Days")))))))</f>
        <v/>
      </c>
      <c r="AR43" s="61" t="n">
        <v>46312</v>
      </c>
      <c r="AS43" s="61" t="n">
        <v>46308</v>
      </c>
      <c r="AT43" s="63" t="n">
        <v>1059</v>
      </c>
      <c r="AU43" s="72" t="n">
        <f aca="false">IF(Q43="","",IF(N(Q43)=0,"",N(AT43)/Q43))</f>
        <v>0.661875</v>
      </c>
      <c r="AV43" s="75" t="n">
        <f aca="false">IF(OR(A43="",O43="",Q43=""),"",MAX(0,Q43-N(AT43)))</f>
        <v>541</v>
      </c>
      <c r="AW43" s="66" t="n">
        <f aca="false">IF(OR(AV43="",W43=""),"",IF(N(Q43)=0,0,AV43/Q43*AD43))</f>
        <v>190296.75</v>
      </c>
      <c r="AX43" s="76" t="str">
        <f aca="false">IF(A43="","",IF(O43="","No PO Yet",IF(Q43="","Order Qty Missing",IF(N(AT43)&gt;=Q43,IF(N(AT43)&gt;Q43,"All In-house (+"&amp;TEXT(N(AT43)-Q43,"#,##0")&amp;" "&amp;R43&amp;" excess)","All In-house"),IF(AY43&lt;&gt;"","Short Closed - "&amp;TEXT(AV43,"#,##0")&amp;" "&amp;R43&amp;" not received",IF(N(AT43)=0,"Not Started - "&amp;TEXT(AV43,"#,##0")&amp;" "&amp;R43&amp;" pending","Pending "&amp;TEXT(AV43,"#,##0")&amp;" "&amp;R43&amp;" ("&amp;TEXT(AU43,"0%")&amp;" received)"))))))</f>
        <v>Pending 541 sheet (66% received)</v>
      </c>
      <c r="AY43" s="61"/>
      <c r="AZ43" s="77" t="n">
        <f aca="false">IF(OR(B43="",J43=""),"",J43-B43)</f>
        <v>2</v>
      </c>
      <c r="BA43" s="77" t="n">
        <f aca="false">IF(OR(J43="",P43=""),"",P43-J43)</f>
        <v>3</v>
      </c>
      <c r="BB43" s="77" t="str">
        <f aca="false">IF(OR(P43="",AY43=""),"",AY43-P43)</f>
        <v/>
      </c>
      <c r="BC43" s="77" t="str">
        <f aca="false">IF(OR(B43="",AY43=""),"",AY43-B43)</f>
        <v/>
      </c>
      <c r="BD43" s="74" t="n">
        <f aca="false">IF(OR(AR43="",O43=""),"",MAX(0,IF(AY43="",Settings!$B$4,AY43)-AR43))</f>
        <v>0</v>
      </c>
      <c r="BE43" s="73" t="str">
        <f aca="false">IF(OR(AY43="",AR43=""),"",IF(AND(AY43&lt;=AR43,N(AU43)&gt;=Settings!$B$6),"OTIF","Not OTIF"))</f>
        <v/>
      </c>
      <c r="BF43" s="60" t="s">
        <v>390</v>
      </c>
      <c r="BG43" s="62"/>
      <c r="BH43" s="78"/>
      <c r="BI43" s="76" t="str">
        <f aca="false">IF(A43="","",IF(K43="Rejected","Rejected",IF(K43&lt;&gt;"Approved","Awaiting Approval",IF(O43="","Approved - PO Pending",IF(AY43&lt;&gt;"",IF(N(AJ43)&gt;=0.999,"Closed","In-house Closed - Payment Due"),IF(AS43&lt;&gt;"","Receiving In-house","PO Issued - Awaiting Delivery"))))))</f>
        <v>Receiving In-house</v>
      </c>
      <c r="BJ43" s="76" t="str">
        <f aca="false">IF(A43="","",IF(IF(AND(A43&lt;&gt;"",OR(B43="",C43="",E43="",F43="",H43="")),"PR info missing; ","")&amp;IF(AND(K43="Approved",OR(J43="",I43="")),"Approval ref/date missing; ","")&amp;IF(AND(O43&lt;&gt;"",K43&lt;&gt;"Approved"),"PO without approval; ","")&amp;IF(AND(O43&lt;&gt;"",OR(P43="",M43="",Q43="",S43="",T43="")),"PO details missing; ","")&amp;IF(AND(O43&lt;&gt;"",AR43=""),"Committed date missing; ","")&amp;IF(AND(ISNUMBER(J43),ISNUMBER(B43),N(J43)&lt;N(B43)),"Approval dated before PR; ","")&amp;IF(AND(ISNUMBER(P43),ISNUMBER(J43),N(P43)&lt;N(J43)),"PO dated before approval; ","")&amp;IF(AND(ISNUMBER(AY43),ISNUMBER(AS43),N(AY43)&lt;N(AS43)),"Close before in-house start; ","")&amp;IF(AND(AY43&lt;&gt;"",AS43=""),"In-house start date missing; ","")&amp;IF(AND(AY43&lt;&gt;"",AT43=""),"Qty received missing; ","")&amp;IF(AND(AY43&lt;&gt;"",BF43=""),"QC status missing; ","")&amp;IF(N(AT43)&gt;N(Q43)*1.05,"Received &gt; ordered +5%; ","")&amp;IF(AND(N(AI43)&gt;0,AE43=""),"Payment terms missing; ","")&amp;IF(N(AI43)&gt;N(AD43)+1,"Overpaid vs PO; ","")&amp;IF(AND(N(AK43)&gt;0,AY43&lt;&gt;"",AO43=""),"Payment due date missing; ","")="","OK",IF(AND(A43&lt;&gt;"",OR(B43="",C43="",E43="",F43="",H43="")),"PR info missing; ","")&amp;IF(AND(K43="Approved",OR(J43="",I43="")),"Approval ref/date missing; ","")&amp;IF(AND(O43&lt;&gt;"",K43&lt;&gt;"Approved"),"PO without approval; ","")&amp;IF(AND(O43&lt;&gt;"",OR(P43="",M43="",Q43="",S43="",T43="")),"PO details missing; ","")&amp;IF(AND(O43&lt;&gt;"",AR43=""),"Committed date missing; ","")&amp;IF(AND(ISNUMBER(J43),ISNUMBER(B43),N(J43)&lt;N(B43)),"Approval dated before PR; ","")&amp;IF(AND(ISNUMBER(P43),ISNUMBER(J43),N(P43)&lt;N(J43)),"PO dated before approval; ","")&amp;IF(AND(ISNUMBER(AY43),ISNUMBER(AS43),N(AY43)&lt;N(AS43)),"Close before in-house start; ","")&amp;IF(AND(AY43&lt;&gt;"",AS43=""),"In-house start date missing; ","")&amp;IF(AND(AY43&lt;&gt;"",AT43=""),"Qty received missing; ","")&amp;IF(AND(AY43&lt;&gt;"",BF43=""),"QC status missing; ","")&amp;IF(N(AT43)&gt;N(Q43)*1.05,"Received &gt; ordered +5%; ","")&amp;IF(AND(N(AI43)&gt;0,AE43=""),"Payment terms missing; ","")&amp;IF(N(AI43)&gt;N(AD43)+1,"Overpaid vs PO; ","")&amp;IF(AND(N(AK43)&gt;0,AY43&lt;&gt;"",AO43=""),"Payment due date missing; ","")))</f>
        <v>OK</v>
      </c>
      <c r="BK43" s="76" t="str">
        <f aca="false">IF(A43="","",IF(N(AP43)&gt;0,"Pay supplier: "&amp;N(AP43)&amp;" days overdue; ","")&amp;IF(AND(O43&lt;&gt;"",AY43="",N(BD43)&gt;0),"Expedite delivery: "&amp;N(BD43)&amp;" days late; ","")&amp;IF(AND(BI43="Awaiting Approval",ISNUMBER(B43),Settings!$B$4-N(B43)&gt;Settings!$B$19),"Get approval: PR waiting "&amp;(Settings!$B$4-N(B43))&amp;" days; ","")&amp;IF(AND(BI43="Approved - PO Pending",ISNUMBER(J43),Settings!$B$4-N(J43)&gt;Settings!$B$20),"Issue PO: approved "&amp;(Settings!$B$4-N(J43))&amp;" days ago; ","")&amp;IF(AND(OR(BI43="Awaiting Approval",BI43="Approved - PO Pending"),N(AB43)&gt;Settings!$B$7),"Negotiate price: "&amp;TEXT(AB43,"0%")&amp;" above budget; ","")&amp;IF(LEFT(AX43,12)="Short Closed","Short closed: claim balance / credit note"&amp;IF(N(AL43)&gt;0," BDT "&amp;TEXT(AL43,"#,##0"),"")&amp;"; ","")&amp;IF(BF43="Rejected","QC rejected: return / replace; ","")&amp;IF(AND(O43&lt;&gt;"",AY43="",N(AL43)&gt;0,N(BD43)&gt;0),"Advance at risk: BDT "&amp;TEXT(AL43,"#,##0")&amp;" paid, goods late; ","")&amp;IF(AND(BJ43&lt;&gt;"",BJ43&lt;&gt;"OK"),"Fix data entry (see Data Check); ",""))</f>
        <v/>
      </c>
      <c r="BL43" s="73" t="str">
        <f aca="false">IF(BK43="","",IF(OR(N(AP43)&gt;30,AND(AY43="",N(BD43)&gt;15),BF43="Rejected",AND(LEFT(AX43,12)="Short Closed",N(AL43)&gt;0),AND(O43&lt;&gt;"",AY43="",N(AL43)&gt;0,N(BD43)&gt;0)),"High",IF(OR(N(AP43)&gt;0,AND(AY43="",N(BD43)&gt;7),LEFT(AX43,12)="Short Closed",AND(BI43="Awaiting Approval",ISNUMBER(B43),Settings!$B$4-N(B43)&gt;2*Settings!$B$19),AND(BI43="Approved - PO Pending",ISNUMBER(J43),Settings!$B$4-N(J43)&gt;2*Settings!$B$20)),"Medium","Low")))</f>
        <v/>
      </c>
      <c r="BM43" s="77" t="str">
        <f aca="false">IF(BL43="","",IF(BL43="High",1,IF(BL43="Medium",2,3))*10000+ROW())</f>
        <v/>
      </c>
      <c r="BN43" s="62"/>
    </row>
    <row r="44" customFormat="false" ht="18" hidden="false" customHeight="true" outlineLevel="0" collapsed="false">
      <c r="A44" s="60" t="s">
        <v>391</v>
      </c>
      <c r="B44" s="61" t="n">
        <v>46289</v>
      </c>
      <c r="C44" s="62" t="s">
        <v>195</v>
      </c>
      <c r="D44" s="62" t="s">
        <v>196</v>
      </c>
      <c r="E44" s="62" t="s">
        <v>197</v>
      </c>
      <c r="F44" s="62" t="s">
        <v>198</v>
      </c>
      <c r="G44" s="62" t="s">
        <v>199</v>
      </c>
      <c r="H44" s="60" t="s">
        <v>43</v>
      </c>
      <c r="I44" s="60" t="s">
        <v>392</v>
      </c>
      <c r="J44" s="61"/>
      <c r="K44" s="60" t="s">
        <v>390</v>
      </c>
      <c r="L44" s="60"/>
      <c r="M44" s="62" t="s">
        <v>201</v>
      </c>
      <c r="N44" s="60" t="s">
        <v>162</v>
      </c>
      <c r="O44" s="60"/>
      <c r="P44" s="61"/>
      <c r="Q44" s="63" t="n">
        <v>11800</v>
      </c>
      <c r="R44" s="60" t="s">
        <v>203</v>
      </c>
      <c r="S44" s="64" t="n">
        <v>197</v>
      </c>
      <c r="T44" s="60" t="s">
        <v>180</v>
      </c>
      <c r="U44" s="65" t="n">
        <f aca="false">IF(AND(T44="",S44=""),"",IF(T44="",1,IFERROR(INDEX(Settings!$B$12:$B$16,MATCH(T44,Settings!$A$12:$A$16,0)),1)))</f>
        <v>1</v>
      </c>
      <c r="V44" s="64" t="n">
        <v>189.35</v>
      </c>
      <c r="W44" s="66" t="n">
        <f aca="false">IF(OR(Q44="",S44=""),"",Q44*S44*U44)</f>
        <v>2324600</v>
      </c>
      <c r="X44" s="65" t="n">
        <f aca="false">IF(OR(W44="",N(Q44)=0),"",W44/Q44)</f>
        <v>197</v>
      </c>
      <c r="Y44" s="65" t="str">
        <f aca="false">IF(OR(X44="",P44="",E44=""),"",IF(_xlfn.MAXIFS($P$6:$P$205,$E$6:$E$205,E44,$P$6:$P$205,"&lt;"&amp;P44,$X$6:$X$205,"&gt;0")=0,"",IFERROR(AVERAGEIFS($X$6:$X$205,$E$6:$E$205,E44,$P$6:$P$205,_xlfn.MAXIFS($P$6:$P$205,$E$6:$E$205,E44,$P$6:$P$205,"&lt;"&amp;P44,$X$6:$X$205,"&gt;0"),$X$6:$X$205,"&gt;0"),"")))</f>
        <v/>
      </c>
      <c r="Z44" s="67" t="str">
        <f aca="false">IF(OR(Y44="",X44=""),"",X44/Y44-1)</f>
        <v/>
      </c>
      <c r="AA44" s="68" t="n">
        <f aca="false">IF(OR(W44="",V44=""),"",W44-Q44*V44)</f>
        <v>90270</v>
      </c>
      <c r="AB44" s="69" t="n">
        <f aca="false">IF(AA44="","",IF(N(V44)*N(Q44)=0,"",AA44/(Q44*V44)))</f>
        <v>0.0404013731185635</v>
      </c>
      <c r="AC44" s="70" t="n">
        <v>0.05</v>
      </c>
      <c r="AD44" s="66" t="n">
        <f aca="false">IF(W44="","",W44*(1+N(AC44)))</f>
        <v>2440830</v>
      </c>
      <c r="AE44" s="62"/>
      <c r="AF44" s="71"/>
      <c r="AG44" s="71"/>
      <c r="AH44" s="71"/>
      <c r="AI44" s="66" t="n">
        <f aca="false">IF(A44="","",N(AF44)+N(AG44)+N(AH44))</f>
        <v>0</v>
      </c>
      <c r="AJ44" s="72" t="n">
        <f aca="false">IF(AD44="","",IF(N(AD44)=0,"",AI44/AD44))</f>
        <v>0</v>
      </c>
      <c r="AK44" s="66" t="n">
        <f aca="false">IF(AD44="","",IF(AD44-AI44&lt;1,0,ROUND(AD44-AI44,2)))</f>
        <v>2440830</v>
      </c>
      <c r="AL44" s="66" t="str">
        <f aca="false">IF(OR(O44="",AD44=""),"",MAX(0,ROUND(N(AI44)-(AD44-N(AW44)),0)))</f>
        <v/>
      </c>
      <c r="AM44" s="73" t="str">
        <f aca="false">IF(A44="","",IF(O44="","No PO Yet",IF(AI44=0,"Not Paid",IF(N(AJ44)&gt;=0.999,"Fully Paid",IF(N(AG44)+N(AH44)&gt;0,"Partially Paid","Initial / Advance Paid")))))</f>
        <v>No PO Yet</v>
      </c>
      <c r="AN44" s="61"/>
      <c r="AO44" s="61"/>
      <c r="AP44" s="74" t="str">
        <f aca="false">IF(AK44="","",IF(OR(N(AK44)=0,AO44=""),"",MAX(0,Settings!$B$4-AO44)))</f>
        <v/>
      </c>
      <c r="AQ44" s="73" t="str">
        <f aca="false">IF(AK44="","",IF(N(AK44)&lt;=0,"",IF(AO44="","No Due Date",IF(Settings!$B$4&lt;=AO44,"Not Yet Due",IF(Settings!$B$4-AO44&lt;=30,"1-30 Days",IF(Settings!$B$4-AO44&lt;=60,"31-60 Days",IF(Settings!$B$4-AO44&lt;=90,"61-90 Days","90+ Days")))))))</f>
        <v>No Due Date</v>
      </c>
      <c r="AR44" s="61"/>
      <c r="AS44" s="61"/>
      <c r="AT44" s="63"/>
      <c r="AU44" s="72" t="n">
        <f aca="false">IF(Q44="","",IF(N(Q44)=0,"",N(AT44)/Q44))</f>
        <v>0</v>
      </c>
      <c r="AV44" s="75" t="str">
        <f aca="false">IF(OR(A44="",O44="",Q44=""),"",MAX(0,Q44-N(AT44)))</f>
        <v/>
      </c>
      <c r="AW44" s="66" t="str">
        <f aca="false">IF(OR(AV44="",W44=""),"",IF(N(Q44)=0,0,AV44/Q44*AD44))</f>
        <v/>
      </c>
      <c r="AX44" s="76" t="str">
        <f aca="false">IF(A44="","",IF(O44="","No PO Yet",IF(Q44="","Order Qty Missing",IF(N(AT44)&gt;=Q44,IF(N(AT44)&gt;Q44,"All In-house (+"&amp;TEXT(N(AT44)-Q44,"#,##0")&amp;" "&amp;R44&amp;" excess)","All In-house"),IF(AY44&lt;&gt;"","Short Closed - "&amp;TEXT(AV44,"#,##0")&amp;" "&amp;R44&amp;" not received",IF(N(AT44)=0,"Not Started - "&amp;TEXT(AV44,"#,##0")&amp;" "&amp;R44&amp;" pending","Pending "&amp;TEXT(AV44,"#,##0")&amp;" "&amp;R44&amp;" ("&amp;TEXT(AU44,"0%")&amp;" received)"))))))</f>
        <v>No PO Yet</v>
      </c>
      <c r="AY44" s="61"/>
      <c r="AZ44" s="77" t="str">
        <f aca="false">IF(OR(B44="",J44=""),"",J44-B44)</f>
        <v/>
      </c>
      <c r="BA44" s="77" t="str">
        <f aca="false">IF(OR(J44="",P44=""),"",P44-J44)</f>
        <v/>
      </c>
      <c r="BB44" s="77" t="str">
        <f aca="false">IF(OR(P44="",AY44=""),"",AY44-P44)</f>
        <v/>
      </c>
      <c r="BC44" s="77" t="str">
        <f aca="false">IF(OR(B44="",AY44=""),"",AY44-B44)</f>
        <v/>
      </c>
      <c r="BD44" s="74" t="str">
        <f aca="false">IF(OR(AR44="",O44=""),"",MAX(0,IF(AY44="",Settings!$B$4,AY44)-AR44))</f>
        <v/>
      </c>
      <c r="BE44" s="73" t="str">
        <f aca="false">IF(OR(AY44="",AR44=""),"",IF(AND(AY44&lt;=AR44,N(AU44)&gt;=Settings!$B$6),"OTIF","Not OTIF"))</f>
        <v/>
      </c>
      <c r="BF44" s="60"/>
      <c r="BG44" s="62"/>
      <c r="BH44" s="78"/>
      <c r="BI44" s="76" t="str">
        <f aca="false">IF(A44="","",IF(K44="Rejected","Rejected",IF(K44&lt;&gt;"Approved","Awaiting Approval",IF(O44="","Approved - PO Pending",IF(AY44&lt;&gt;"",IF(N(AJ44)&gt;=0.999,"Closed","In-house Closed - Payment Due"),IF(AS44&lt;&gt;"","Receiving In-house","PO Issued - Awaiting Delivery"))))))</f>
        <v>Awaiting Approval</v>
      </c>
      <c r="BJ44" s="76" t="str">
        <f aca="false">IF(A44="","",IF(IF(AND(A44&lt;&gt;"",OR(B44="",C44="",E44="",F44="",H44="")),"PR info missing; ","")&amp;IF(AND(K44="Approved",OR(J44="",I44="")),"Approval ref/date missing; ","")&amp;IF(AND(O44&lt;&gt;"",K44&lt;&gt;"Approved"),"PO without approval; ","")&amp;IF(AND(O44&lt;&gt;"",OR(P44="",M44="",Q44="",S44="",T44="")),"PO details missing; ","")&amp;IF(AND(O44&lt;&gt;"",AR44=""),"Committed date missing; ","")&amp;IF(AND(ISNUMBER(J44),ISNUMBER(B44),N(J44)&lt;N(B44)),"Approval dated before PR; ","")&amp;IF(AND(ISNUMBER(P44),ISNUMBER(J44),N(P44)&lt;N(J44)),"PO dated before approval; ","")&amp;IF(AND(ISNUMBER(AY44),ISNUMBER(AS44),N(AY44)&lt;N(AS44)),"Close before in-house start; ","")&amp;IF(AND(AY44&lt;&gt;"",AS44=""),"In-house start date missing; ","")&amp;IF(AND(AY44&lt;&gt;"",AT44=""),"Qty received missing; ","")&amp;IF(AND(AY44&lt;&gt;"",BF44=""),"QC status missing; ","")&amp;IF(N(AT44)&gt;N(Q44)*1.05,"Received &gt; ordered +5%; ","")&amp;IF(AND(N(AI44)&gt;0,AE44=""),"Payment terms missing; ","")&amp;IF(N(AI44)&gt;N(AD44)+1,"Overpaid vs PO; ","")&amp;IF(AND(N(AK44)&gt;0,AY44&lt;&gt;"",AO44=""),"Payment due date missing; ","")="","OK",IF(AND(A44&lt;&gt;"",OR(B44="",C44="",E44="",F44="",H44="")),"PR info missing; ","")&amp;IF(AND(K44="Approved",OR(J44="",I44="")),"Approval ref/date missing; ","")&amp;IF(AND(O44&lt;&gt;"",K44&lt;&gt;"Approved"),"PO without approval; ","")&amp;IF(AND(O44&lt;&gt;"",OR(P44="",M44="",Q44="",S44="",T44="")),"PO details missing; ","")&amp;IF(AND(O44&lt;&gt;"",AR44=""),"Committed date missing; ","")&amp;IF(AND(ISNUMBER(J44),ISNUMBER(B44),N(J44)&lt;N(B44)),"Approval dated before PR; ","")&amp;IF(AND(ISNUMBER(P44),ISNUMBER(J44),N(P44)&lt;N(J44)),"PO dated before approval; ","")&amp;IF(AND(ISNUMBER(AY44),ISNUMBER(AS44),N(AY44)&lt;N(AS44)),"Close before in-house start; ","")&amp;IF(AND(AY44&lt;&gt;"",AS44=""),"In-house start date missing; ","")&amp;IF(AND(AY44&lt;&gt;"",AT44=""),"Qty received missing; ","")&amp;IF(AND(AY44&lt;&gt;"",BF44=""),"QC status missing; ","")&amp;IF(N(AT44)&gt;N(Q44)*1.05,"Received &gt; ordered +5%; ","")&amp;IF(AND(N(AI44)&gt;0,AE44=""),"Payment terms missing; ","")&amp;IF(N(AI44)&gt;N(AD44)+1,"Overpaid vs PO; ","")&amp;IF(AND(N(AK44)&gt;0,AY44&lt;&gt;"",AO44=""),"Payment due date missing; ","")))</f>
        <v>OK</v>
      </c>
      <c r="BK44" s="76" t="str">
        <f aca="false">IF(A44="","",IF(N(AP44)&gt;0,"Pay supplier: "&amp;N(AP44)&amp;" days overdue; ","")&amp;IF(AND(O44&lt;&gt;"",AY44="",N(BD44)&gt;0),"Expedite delivery: "&amp;N(BD44)&amp;" days late; ","")&amp;IF(AND(BI44="Awaiting Approval",ISNUMBER(B44),Settings!$B$4-N(B44)&gt;Settings!$B$19),"Get approval: PR waiting "&amp;(Settings!$B$4-N(B44))&amp;" days; ","")&amp;IF(AND(BI44="Approved - PO Pending",ISNUMBER(J44),Settings!$B$4-N(J44)&gt;Settings!$B$20),"Issue PO: approved "&amp;(Settings!$B$4-N(J44))&amp;" days ago; ","")&amp;IF(AND(OR(BI44="Awaiting Approval",BI44="Approved - PO Pending"),N(AB44)&gt;Settings!$B$7),"Negotiate price: "&amp;TEXT(AB44,"0%")&amp;" above budget; ","")&amp;IF(LEFT(AX44,12)="Short Closed","Short closed: claim balance / credit note"&amp;IF(N(AL44)&gt;0," BDT "&amp;TEXT(AL44,"#,##0"),"")&amp;"; ","")&amp;IF(BF44="Rejected","QC rejected: return / replace; ","")&amp;IF(AND(O44&lt;&gt;"",AY44="",N(AL44)&gt;0,N(BD44)&gt;0),"Advance at risk: BDT "&amp;TEXT(AL44,"#,##0")&amp;" paid, goods late; ","")&amp;IF(AND(BJ44&lt;&gt;"",BJ44&lt;&gt;"OK"),"Fix data entry (see Data Check); ",""))</f>
        <v>Get approval: PR waiting 21 days; </v>
      </c>
      <c r="BL44" s="73" t="str">
        <f aca="false">IF(BK44="","",IF(OR(N(AP44)&gt;30,AND(AY44="",N(BD44)&gt;15),BF44="Rejected",AND(LEFT(AX44,12)="Short Closed",N(AL44)&gt;0),AND(O44&lt;&gt;"",AY44="",N(AL44)&gt;0,N(BD44)&gt;0)),"High",IF(OR(N(AP44)&gt;0,AND(AY44="",N(BD44)&gt;7),LEFT(AX44,12)="Short Closed",AND(BI44="Awaiting Approval",ISNUMBER(B44),Settings!$B$4-N(B44)&gt;2*Settings!$B$19),AND(BI44="Approved - PO Pending",ISNUMBER(J44),Settings!$B$4-N(J44)&gt;2*Settings!$B$20)),"Medium","Low")))</f>
        <v>Medium</v>
      </c>
      <c r="BM44" s="77" t="n">
        <f aca="false">IF(BL44="","",IF(BL44="High",1,IF(BL44="Medium",2,3))*10000+ROW())</f>
        <v>20044</v>
      </c>
      <c r="BN44" s="62"/>
    </row>
    <row r="45" customFormat="false" ht="18" hidden="false" customHeight="true" outlineLevel="0" collapsed="false">
      <c r="A45" s="60" t="s">
        <v>393</v>
      </c>
      <c r="B45" s="61" t="n">
        <v>46294</v>
      </c>
      <c r="C45" s="62" t="s">
        <v>153</v>
      </c>
      <c r="D45" s="62" t="s">
        <v>154</v>
      </c>
      <c r="E45" s="62" t="s">
        <v>265</v>
      </c>
      <c r="F45" s="62" t="s">
        <v>185</v>
      </c>
      <c r="G45" s="62" t="s">
        <v>266</v>
      </c>
      <c r="H45" s="60" t="s">
        <v>43</v>
      </c>
      <c r="I45" s="60" t="s">
        <v>394</v>
      </c>
      <c r="J45" s="61" t="n">
        <v>46295</v>
      </c>
      <c r="K45" s="60" t="s">
        <v>159</v>
      </c>
      <c r="L45" s="60" t="s">
        <v>172</v>
      </c>
      <c r="M45" s="62" t="s">
        <v>188</v>
      </c>
      <c r="N45" s="60" t="s">
        <v>189</v>
      </c>
      <c r="O45" s="60" t="s">
        <v>395</v>
      </c>
      <c r="P45" s="61" t="n">
        <v>46296</v>
      </c>
      <c r="Q45" s="63" t="n">
        <v>3600</v>
      </c>
      <c r="R45" s="60" t="s">
        <v>217</v>
      </c>
      <c r="S45" s="64" t="n">
        <v>3.27</v>
      </c>
      <c r="T45" s="60" t="s">
        <v>165</v>
      </c>
      <c r="U45" s="65" t="n">
        <f aca="false">IF(AND(T45="",S45=""),"",IF(T45="",1,IFERROR(INDEX(Settings!$B$12:$B$16,MATCH(T45,Settings!$A$12:$A$16,0)),1)))</f>
        <v>122</v>
      </c>
      <c r="V45" s="64" t="n">
        <v>415.39</v>
      </c>
      <c r="W45" s="66" t="n">
        <f aca="false">IF(OR(Q45="",S45=""),"",Q45*S45*U45)</f>
        <v>1436184</v>
      </c>
      <c r="X45" s="65" t="n">
        <f aca="false">IF(OR(W45="",N(Q45)=0),"",W45/Q45)</f>
        <v>398.94</v>
      </c>
      <c r="Y45" s="65" t="n">
        <f aca="false">IF(OR(X45="",P45="",E45=""),"",IF(_xlfn.MAXIFS($P$6:$P$205,$E$6:$E$205,E45,$P$6:$P$205,"&lt;"&amp;P45,$X$6:$X$205,"&gt;0")=0,"",IFERROR(AVERAGEIFS($X$6:$X$205,$E$6:$E$205,E45,$P$6:$P$205,_xlfn.MAXIFS($P$6:$P$205,$E$6:$E$205,E45,$P$6:$P$205,"&lt;"&amp;P45,$X$6:$X$205,"&gt;0"),$X$6:$X$205,"&gt;0"),"")))</f>
        <v>408.7</v>
      </c>
      <c r="Z45" s="67" t="n">
        <f aca="false">IF(OR(Y45="",X45=""),"",X45/Y45-1)</f>
        <v>-0.0238805970149254</v>
      </c>
      <c r="AA45" s="68" t="n">
        <f aca="false">IF(OR(W45="",V45=""),"",W45-Q45*V45)</f>
        <v>-59220</v>
      </c>
      <c r="AB45" s="69" t="n">
        <f aca="false">IF(AA45="","",IF(N(V45)*N(Q45)=0,"",AA45/(Q45*V45)))</f>
        <v>-0.0396013385011676</v>
      </c>
      <c r="AC45" s="70" t="n">
        <v>0.15</v>
      </c>
      <c r="AD45" s="66" t="n">
        <f aca="false">IF(W45="","",W45*(1+N(AC45)))</f>
        <v>1651611.6</v>
      </c>
      <c r="AE45" s="62" t="s">
        <v>192</v>
      </c>
      <c r="AF45" s="71"/>
      <c r="AG45" s="71"/>
      <c r="AH45" s="71"/>
      <c r="AI45" s="66" t="n">
        <f aca="false">IF(A45="","",N(AF45)+N(AG45)+N(AH45))</f>
        <v>0</v>
      </c>
      <c r="AJ45" s="72" t="n">
        <f aca="false">IF(AD45="","",IF(N(AD45)=0,"",AI45/AD45))</f>
        <v>0</v>
      </c>
      <c r="AK45" s="66" t="n">
        <f aca="false">IF(AD45="","",IF(AD45-AI45&lt;1,0,ROUND(AD45-AI45,2)))</f>
        <v>1651611.6</v>
      </c>
      <c r="AL45" s="66" t="n">
        <f aca="false">IF(OR(O45="",AD45=""),"",MAX(0,ROUND(N(AI45)-(AD45-N(AW45)),0)))</f>
        <v>0</v>
      </c>
      <c r="AM45" s="73" t="str">
        <f aca="false">IF(A45="","",IF(O45="","No PO Yet",IF(AI45=0,"Not Paid",IF(N(AJ45)&gt;=0.999,"Fully Paid",IF(N(AG45)+N(AH45)&gt;0,"Partially Paid","Initial / Advance Paid")))))</f>
        <v>Not Paid</v>
      </c>
      <c r="AN45" s="61"/>
      <c r="AO45" s="61" t="n">
        <v>46321</v>
      </c>
      <c r="AP45" s="74" t="n">
        <f aca="false">IF(AK45="","",IF(OR(N(AK45)=0,AO45=""),"",MAX(0,Settings!$B$4-AO45)))</f>
        <v>0</v>
      </c>
      <c r="AQ45" s="73" t="str">
        <f aca="false">IF(AK45="","",IF(N(AK45)&lt;=0,"",IF(AO45="","No Due Date",IF(Settings!$B$4&lt;=AO45,"Not Yet Due",IF(Settings!$B$4-AO45&lt;=30,"1-30 Days",IF(Settings!$B$4-AO45&lt;=60,"31-60 Days",IF(Settings!$B$4-AO45&lt;=90,"61-90 Days","90+ Days")))))))</f>
        <v>Not Yet Due</v>
      </c>
      <c r="AR45" s="61" t="n">
        <v>46331</v>
      </c>
      <c r="AS45" s="61"/>
      <c r="AT45" s="63"/>
      <c r="AU45" s="72" t="n">
        <f aca="false">IF(Q45="","",IF(N(Q45)=0,"",N(AT45)/Q45))</f>
        <v>0</v>
      </c>
      <c r="AV45" s="75" t="n">
        <f aca="false">IF(OR(A45="",O45="",Q45=""),"",MAX(0,Q45-N(AT45)))</f>
        <v>3600</v>
      </c>
      <c r="AW45" s="66" t="n">
        <f aca="false">IF(OR(AV45="",W45=""),"",IF(N(Q45)=0,0,AV45/Q45*AD45))</f>
        <v>1651611.6</v>
      </c>
      <c r="AX45" s="76" t="str">
        <f aca="false">IF(A45="","",IF(O45="","No PO Yet",IF(Q45="","Order Qty Missing",IF(N(AT45)&gt;=Q45,IF(N(AT45)&gt;Q45,"All In-house (+"&amp;TEXT(N(AT45)-Q45,"#,##0")&amp;" "&amp;R45&amp;" excess)","All In-house"),IF(AY45&lt;&gt;"","Short Closed - "&amp;TEXT(AV45,"#,##0")&amp;" "&amp;R45&amp;" not received",IF(N(AT45)=0,"Not Started - "&amp;TEXT(AV45,"#,##0")&amp;" "&amp;R45&amp;" pending","Pending "&amp;TEXT(AV45,"#,##0")&amp;" "&amp;R45&amp;" ("&amp;TEXT(AU45,"0%")&amp;" received)"))))))</f>
        <v>Not Started - 3,600 sheet pending</v>
      </c>
      <c r="AY45" s="61"/>
      <c r="AZ45" s="77" t="n">
        <f aca="false">IF(OR(B45="",J45=""),"",J45-B45)</f>
        <v>1</v>
      </c>
      <c r="BA45" s="77" t="n">
        <f aca="false">IF(OR(J45="",P45=""),"",P45-J45)</f>
        <v>1</v>
      </c>
      <c r="BB45" s="77" t="str">
        <f aca="false">IF(OR(P45="",AY45=""),"",AY45-P45)</f>
        <v/>
      </c>
      <c r="BC45" s="77" t="str">
        <f aca="false">IF(OR(B45="",AY45=""),"",AY45-B45)</f>
        <v/>
      </c>
      <c r="BD45" s="74" t="n">
        <f aca="false">IF(OR(AR45="",O45=""),"",MAX(0,IF(AY45="",Settings!$B$4,AY45)-AR45))</f>
        <v>0</v>
      </c>
      <c r="BE45" s="73" t="str">
        <f aca="false">IF(OR(AY45="",AR45=""),"",IF(AND(AY45&lt;=AR45,N(AU45)&gt;=Settings!$B$6),"OTIF","Not OTIF"))</f>
        <v/>
      </c>
      <c r="BF45" s="60"/>
      <c r="BG45" s="62"/>
      <c r="BH45" s="78"/>
      <c r="BI45" s="76" t="str">
        <f aca="false">IF(A45="","",IF(K45="Rejected","Rejected",IF(K45&lt;&gt;"Approved","Awaiting Approval",IF(O45="","Approved - PO Pending",IF(AY45&lt;&gt;"",IF(N(AJ45)&gt;=0.999,"Closed","In-house Closed - Payment Due"),IF(AS45&lt;&gt;"","Receiving In-house","PO Issued - Awaiting Delivery"))))))</f>
        <v>PO Issued - Awaiting Delivery</v>
      </c>
      <c r="BJ45" s="76" t="str">
        <f aca="false">IF(A45="","",IF(IF(AND(A45&lt;&gt;"",OR(B45="",C45="",E45="",F45="",H45="")),"PR info missing; ","")&amp;IF(AND(K45="Approved",OR(J45="",I45="")),"Approval ref/date missing; ","")&amp;IF(AND(O45&lt;&gt;"",K45&lt;&gt;"Approved"),"PO without approval; ","")&amp;IF(AND(O45&lt;&gt;"",OR(P45="",M45="",Q45="",S45="",T45="")),"PO details missing; ","")&amp;IF(AND(O45&lt;&gt;"",AR45=""),"Committed date missing; ","")&amp;IF(AND(ISNUMBER(J45),ISNUMBER(B45),N(J45)&lt;N(B45)),"Approval dated before PR; ","")&amp;IF(AND(ISNUMBER(P45),ISNUMBER(J45),N(P45)&lt;N(J45)),"PO dated before approval; ","")&amp;IF(AND(ISNUMBER(AY45),ISNUMBER(AS45),N(AY45)&lt;N(AS45)),"Close before in-house start; ","")&amp;IF(AND(AY45&lt;&gt;"",AS45=""),"In-house start date missing; ","")&amp;IF(AND(AY45&lt;&gt;"",AT45=""),"Qty received missing; ","")&amp;IF(AND(AY45&lt;&gt;"",BF45=""),"QC status missing; ","")&amp;IF(N(AT45)&gt;N(Q45)*1.05,"Received &gt; ordered +5%; ","")&amp;IF(AND(N(AI45)&gt;0,AE45=""),"Payment terms missing; ","")&amp;IF(N(AI45)&gt;N(AD45)+1,"Overpaid vs PO; ","")&amp;IF(AND(N(AK45)&gt;0,AY45&lt;&gt;"",AO45=""),"Payment due date missing; ","")="","OK",IF(AND(A45&lt;&gt;"",OR(B45="",C45="",E45="",F45="",H45="")),"PR info missing; ","")&amp;IF(AND(K45="Approved",OR(J45="",I45="")),"Approval ref/date missing; ","")&amp;IF(AND(O45&lt;&gt;"",K45&lt;&gt;"Approved"),"PO without approval; ","")&amp;IF(AND(O45&lt;&gt;"",OR(P45="",M45="",Q45="",S45="",T45="")),"PO details missing; ","")&amp;IF(AND(O45&lt;&gt;"",AR45=""),"Committed date missing; ","")&amp;IF(AND(ISNUMBER(J45),ISNUMBER(B45),N(J45)&lt;N(B45)),"Approval dated before PR; ","")&amp;IF(AND(ISNUMBER(P45),ISNUMBER(J45),N(P45)&lt;N(J45)),"PO dated before approval; ","")&amp;IF(AND(ISNUMBER(AY45),ISNUMBER(AS45),N(AY45)&lt;N(AS45)),"Close before in-house start; ","")&amp;IF(AND(AY45&lt;&gt;"",AS45=""),"In-house start date missing; ","")&amp;IF(AND(AY45&lt;&gt;"",AT45=""),"Qty received missing; ","")&amp;IF(AND(AY45&lt;&gt;"",BF45=""),"QC status missing; ","")&amp;IF(N(AT45)&gt;N(Q45)*1.05,"Received &gt; ordered +5%; ","")&amp;IF(AND(N(AI45)&gt;0,AE45=""),"Payment terms missing; ","")&amp;IF(N(AI45)&gt;N(AD45)+1,"Overpaid vs PO; ","")&amp;IF(AND(N(AK45)&gt;0,AY45&lt;&gt;"",AO45=""),"Payment due date missing; ","")))</f>
        <v>OK</v>
      </c>
      <c r="BK45" s="76" t="str">
        <f aca="false">IF(A45="","",IF(N(AP45)&gt;0,"Pay supplier: "&amp;N(AP45)&amp;" days overdue; ","")&amp;IF(AND(O45&lt;&gt;"",AY45="",N(BD45)&gt;0),"Expedite delivery: "&amp;N(BD45)&amp;" days late; ","")&amp;IF(AND(BI45="Awaiting Approval",ISNUMBER(B45),Settings!$B$4-N(B45)&gt;Settings!$B$19),"Get approval: PR waiting "&amp;(Settings!$B$4-N(B45))&amp;" days; ","")&amp;IF(AND(BI45="Approved - PO Pending",ISNUMBER(J45),Settings!$B$4-N(J45)&gt;Settings!$B$20),"Issue PO: approved "&amp;(Settings!$B$4-N(J45))&amp;" days ago; ","")&amp;IF(AND(OR(BI45="Awaiting Approval",BI45="Approved - PO Pending"),N(AB45)&gt;Settings!$B$7),"Negotiate price: "&amp;TEXT(AB45,"0%")&amp;" above budget; ","")&amp;IF(LEFT(AX45,12)="Short Closed","Short closed: claim balance / credit note"&amp;IF(N(AL45)&gt;0," BDT "&amp;TEXT(AL45,"#,##0"),"")&amp;"; ","")&amp;IF(BF45="Rejected","QC rejected: return / replace; ","")&amp;IF(AND(O45&lt;&gt;"",AY45="",N(AL45)&gt;0,N(BD45)&gt;0),"Advance at risk: BDT "&amp;TEXT(AL45,"#,##0")&amp;" paid, goods late; ","")&amp;IF(AND(BJ45&lt;&gt;"",BJ45&lt;&gt;"OK"),"Fix data entry (see Data Check); ",""))</f>
        <v/>
      </c>
      <c r="BL45" s="73" t="str">
        <f aca="false">IF(BK45="","",IF(OR(N(AP45)&gt;30,AND(AY45="",N(BD45)&gt;15),BF45="Rejected",AND(LEFT(AX45,12)="Short Closed",N(AL45)&gt;0),AND(O45&lt;&gt;"",AY45="",N(AL45)&gt;0,N(BD45)&gt;0)),"High",IF(OR(N(AP45)&gt;0,AND(AY45="",N(BD45)&gt;7),LEFT(AX45,12)="Short Closed",AND(BI45="Awaiting Approval",ISNUMBER(B45),Settings!$B$4-N(B45)&gt;2*Settings!$B$19),AND(BI45="Approved - PO Pending",ISNUMBER(J45),Settings!$B$4-N(J45)&gt;2*Settings!$B$20)),"Medium","Low")))</f>
        <v/>
      </c>
      <c r="BM45" s="77" t="str">
        <f aca="false">IF(BL45="","",IF(BL45="High",1,IF(BL45="Medium",2,3))*10000+ROW())</f>
        <v/>
      </c>
      <c r="BN45" s="62"/>
    </row>
    <row r="46" customFormat="false" ht="18" hidden="false" customHeight="true" outlineLevel="0" collapsed="false">
      <c r="A46" s="60" t="s">
        <v>396</v>
      </c>
      <c r="B46" s="61" t="n">
        <v>46297</v>
      </c>
      <c r="C46" s="62" t="s">
        <v>195</v>
      </c>
      <c r="D46" s="62" t="s">
        <v>196</v>
      </c>
      <c r="E46" s="62" t="s">
        <v>197</v>
      </c>
      <c r="F46" s="62" t="s">
        <v>198</v>
      </c>
      <c r="G46" s="62" t="s">
        <v>199</v>
      </c>
      <c r="H46" s="60" t="s">
        <v>43</v>
      </c>
      <c r="I46" s="60" t="s">
        <v>397</v>
      </c>
      <c r="J46" s="61" t="n">
        <v>46301</v>
      </c>
      <c r="K46" s="60" t="s">
        <v>159</v>
      </c>
      <c r="L46" s="60" t="s">
        <v>172</v>
      </c>
      <c r="M46" s="62" t="s">
        <v>201</v>
      </c>
      <c r="N46" s="60" t="s">
        <v>162</v>
      </c>
      <c r="O46" s="60"/>
      <c r="P46" s="61"/>
      <c r="Q46" s="63" t="n">
        <v>8000</v>
      </c>
      <c r="R46" s="60" t="s">
        <v>203</v>
      </c>
      <c r="S46" s="64" t="n">
        <v>201</v>
      </c>
      <c r="T46" s="60" t="s">
        <v>180</v>
      </c>
      <c r="U46" s="65" t="n">
        <f aca="false">IF(AND(T46="",S46=""),"",IF(T46="",1,IFERROR(INDEX(Settings!$B$12:$B$16,MATCH(T46,Settings!$A$12:$A$16,0)),1)))</f>
        <v>1</v>
      </c>
      <c r="V46" s="64" t="n">
        <v>183.63</v>
      </c>
      <c r="W46" s="66" t="n">
        <f aca="false">IF(OR(Q46="",S46=""),"",Q46*S46*U46)</f>
        <v>1608000</v>
      </c>
      <c r="X46" s="65" t="n">
        <f aca="false">IF(OR(W46="",N(Q46)=0),"",W46/Q46)</f>
        <v>201</v>
      </c>
      <c r="Y46" s="65" t="str">
        <f aca="false">IF(OR(X46="",P46="",E46=""),"",IF(_xlfn.MAXIFS($P$6:$P$205,$E$6:$E$205,E46,$P$6:$P$205,"&lt;"&amp;P46,$X$6:$X$205,"&gt;0")=0,"",IFERROR(AVERAGEIFS($X$6:$X$205,$E$6:$E$205,E46,$P$6:$P$205,_xlfn.MAXIFS($P$6:$P$205,$E$6:$E$205,E46,$P$6:$P$205,"&lt;"&amp;P46,$X$6:$X$205,"&gt;0"),$X$6:$X$205,"&gt;0"),"")))</f>
        <v/>
      </c>
      <c r="Z46" s="67" t="str">
        <f aca="false">IF(OR(Y46="",X46=""),"",X46/Y46-1)</f>
        <v/>
      </c>
      <c r="AA46" s="68" t="n">
        <f aca="false">IF(OR(W46="",V46=""),"",W46-Q46*V46)</f>
        <v>138960</v>
      </c>
      <c r="AB46" s="69" t="n">
        <f aca="false">IF(AA46="","",IF(N(V46)*N(Q46)=0,"",AA46/(Q46*V46)))</f>
        <v>0.0945923868648914</v>
      </c>
      <c r="AC46" s="70" t="n">
        <v>0.05</v>
      </c>
      <c r="AD46" s="66" t="n">
        <f aca="false">IF(W46="","",W46*(1+N(AC46)))</f>
        <v>1688400</v>
      </c>
      <c r="AE46" s="62"/>
      <c r="AF46" s="71"/>
      <c r="AG46" s="71"/>
      <c r="AH46" s="71"/>
      <c r="AI46" s="66" t="n">
        <f aca="false">IF(A46="","",N(AF46)+N(AG46)+N(AH46))</f>
        <v>0</v>
      </c>
      <c r="AJ46" s="72" t="n">
        <f aca="false">IF(AD46="","",IF(N(AD46)=0,"",AI46/AD46))</f>
        <v>0</v>
      </c>
      <c r="AK46" s="66" t="n">
        <f aca="false">IF(AD46="","",IF(AD46-AI46&lt;1,0,ROUND(AD46-AI46,2)))</f>
        <v>1688400</v>
      </c>
      <c r="AL46" s="66" t="str">
        <f aca="false">IF(OR(O46="",AD46=""),"",MAX(0,ROUND(N(AI46)-(AD46-N(AW46)),0)))</f>
        <v/>
      </c>
      <c r="AM46" s="73" t="str">
        <f aca="false">IF(A46="","",IF(O46="","No PO Yet",IF(AI46=0,"Not Paid",IF(N(AJ46)&gt;=0.999,"Fully Paid",IF(N(AG46)+N(AH46)&gt;0,"Partially Paid","Initial / Advance Paid")))))</f>
        <v>No PO Yet</v>
      </c>
      <c r="AN46" s="61"/>
      <c r="AO46" s="61"/>
      <c r="AP46" s="74" t="str">
        <f aca="false">IF(AK46="","",IF(OR(N(AK46)=0,AO46=""),"",MAX(0,Settings!$B$4-AO46)))</f>
        <v/>
      </c>
      <c r="AQ46" s="73" t="str">
        <f aca="false">IF(AK46="","",IF(N(AK46)&lt;=0,"",IF(AO46="","No Due Date",IF(Settings!$B$4&lt;=AO46,"Not Yet Due",IF(Settings!$B$4-AO46&lt;=30,"1-30 Days",IF(Settings!$B$4-AO46&lt;=60,"31-60 Days",IF(Settings!$B$4-AO46&lt;=90,"61-90 Days","90+ Days")))))))</f>
        <v>No Due Date</v>
      </c>
      <c r="AR46" s="61"/>
      <c r="AS46" s="61"/>
      <c r="AT46" s="63"/>
      <c r="AU46" s="72" t="n">
        <f aca="false">IF(Q46="","",IF(N(Q46)=0,"",N(AT46)/Q46))</f>
        <v>0</v>
      </c>
      <c r="AV46" s="75" t="str">
        <f aca="false">IF(OR(A46="",O46="",Q46=""),"",MAX(0,Q46-N(AT46)))</f>
        <v/>
      </c>
      <c r="AW46" s="66" t="str">
        <f aca="false">IF(OR(AV46="",W46=""),"",IF(N(Q46)=0,0,AV46/Q46*AD46))</f>
        <v/>
      </c>
      <c r="AX46" s="76" t="str">
        <f aca="false">IF(A46="","",IF(O46="","No PO Yet",IF(Q46="","Order Qty Missing",IF(N(AT46)&gt;=Q46,IF(N(AT46)&gt;Q46,"All In-house (+"&amp;TEXT(N(AT46)-Q46,"#,##0")&amp;" "&amp;R46&amp;" excess)","All In-house"),IF(AY46&lt;&gt;"","Short Closed - "&amp;TEXT(AV46,"#,##0")&amp;" "&amp;R46&amp;" not received",IF(N(AT46)=0,"Not Started - "&amp;TEXT(AV46,"#,##0")&amp;" "&amp;R46&amp;" pending","Pending "&amp;TEXT(AV46,"#,##0")&amp;" "&amp;R46&amp;" ("&amp;TEXT(AU46,"0%")&amp;" received)"))))))</f>
        <v>No PO Yet</v>
      </c>
      <c r="AY46" s="61"/>
      <c r="AZ46" s="77" t="n">
        <f aca="false">IF(OR(B46="",J46=""),"",J46-B46)</f>
        <v>4</v>
      </c>
      <c r="BA46" s="77" t="str">
        <f aca="false">IF(OR(J46="",P46=""),"",P46-J46)</f>
        <v/>
      </c>
      <c r="BB46" s="77" t="str">
        <f aca="false">IF(OR(P46="",AY46=""),"",AY46-P46)</f>
        <v/>
      </c>
      <c r="BC46" s="77" t="str">
        <f aca="false">IF(OR(B46="",AY46=""),"",AY46-B46)</f>
        <v/>
      </c>
      <c r="BD46" s="74" t="str">
        <f aca="false">IF(OR(AR46="",O46=""),"",MAX(0,IF(AY46="",Settings!$B$4,AY46)-AR46))</f>
        <v/>
      </c>
      <c r="BE46" s="73" t="str">
        <f aca="false">IF(OR(AY46="",AR46=""),"",IF(AND(AY46&lt;=AR46,N(AU46)&gt;=Settings!$B$6),"OTIF","Not OTIF"))</f>
        <v/>
      </c>
      <c r="BF46" s="60"/>
      <c r="BG46" s="62"/>
      <c r="BH46" s="78"/>
      <c r="BI46" s="76" t="str">
        <f aca="false">IF(A46="","",IF(K46="Rejected","Rejected",IF(K46&lt;&gt;"Approved","Awaiting Approval",IF(O46="","Approved - PO Pending",IF(AY46&lt;&gt;"",IF(N(AJ46)&gt;=0.999,"Closed","In-house Closed - Payment Due"),IF(AS46&lt;&gt;"","Receiving In-house","PO Issued - Awaiting Delivery"))))))</f>
        <v>Approved - PO Pending</v>
      </c>
      <c r="BJ46" s="76" t="str">
        <f aca="false">IF(A46="","",IF(IF(AND(A46&lt;&gt;"",OR(B46="",C46="",E46="",F46="",H46="")),"PR info missing; ","")&amp;IF(AND(K46="Approved",OR(J46="",I46="")),"Approval ref/date missing; ","")&amp;IF(AND(O46&lt;&gt;"",K46&lt;&gt;"Approved"),"PO without approval; ","")&amp;IF(AND(O46&lt;&gt;"",OR(P46="",M46="",Q46="",S46="",T46="")),"PO details missing; ","")&amp;IF(AND(O46&lt;&gt;"",AR46=""),"Committed date missing; ","")&amp;IF(AND(ISNUMBER(J46),ISNUMBER(B46),N(J46)&lt;N(B46)),"Approval dated before PR; ","")&amp;IF(AND(ISNUMBER(P46),ISNUMBER(J46),N(P46)&lt;N(J46)),"PO dated before approval; ","")&amp;IF(AND(ISNUMBER(AY46),ISNUMBER(AS46),N(AY46)&lt;N(AS46)),"Close before in-house start; ","")&amp;IF(AND(AY46&lt;&gt;"",AS46=""),"In-house start date missing; ","")&amp;IF(AND(AY46&lt;&gt;"",AT46=""),"Qty received missing; ","")&amp;IF(AND(AY46&lt;&gt;"",BF46=""),"QC status missing; ","")&amp;IF(N(AT46)&gt;N(Q46)*1.05,"Received &gt; ordered +5%; ","")&amp;IF(AND(N(AI46)&gt;0,AE46=""),"Payment terms missing; ","")&amp;IF(N(AI46)&gt;N(AD46)+1,"Overpaid vs PO; ","")&amp;IF(AND(N(AK46)&gt;0,AY46&lt;&gt;"",AO46=""),"Payment due date missing; ","")="","OK",IF(AND(A46&lt;&gt;"",OR(B46="",C46="",E46="",F46="",H46="")),"PR info missing; ","")&amp;IF(AND(K46="Approved",OR(J46="",I46="")),"Approval ref/date missing; ","")&amp;IF(AND(O46&lt;&gt;"",K46&lt;&gt;"Approved"),"PO without approval; ","")&amp;IF(AND(O46&lt;&gt;"",OR(P46="",M46="",Q46="",S46="",T46="")),"PO details missing; ","")&amp;IF(AND(O46&lt;&gt;"",AR46=""),"Committed date missing; ","")&amp;IF(AND(ISNUMBER(J46),ISNUMBER(B46),N(J46)&lt;N(B46)),"Approval dated before PR; ","")&amp;IF(AND(ISNUMBER(P46),ISNUMBER(J46),N(P46)&lt;N(J46)),"PO dated before approval; ","")&amp;IF(AND(ISNUMBER(AY46),ISNUMBER(AS46),N(AY46)&lt;N(AS46)),"Close before in-house start; ","")&amp;IF(AND(AY46&lt;&gt;"",AS46=""),"In-house start date missing; ","")&amp;IF(AND(AY46&lt;&gt;"",AT46=""),"Qty received missing; ","")&amp;IF(AND(AY46&lt;&gt;"",BF46=""),"QC status missing; ","")&amp;IF(N(AT46)&gt;N(Q46)*1.05,"Received &gt; ordered +5%; ","")&amp;IF(AND(N(AI46)&gt;0,AE46=""),"Payment terms missing; ","")&amp;IF(N(AI46)&gt;N(AD46)+1,"Overpaid vs PO; ","")&amp;IF(AND(N(AK46)&gt;0,AY46&lt;&gt;"",AO46=""),"Payment due date missing; ","")))</f>
        <v>OK</v>
      </c>
      <c r="BK46" s="76" t="str">
        <f aca="false">IF(A46="","",IF(N(AP46)&gt;0,"Pay supplier: "&amp;N(AP46)&amp;" days overdue; ","")&amp;IF(AND(O46&lt;&gt;"",AY46="",N(BD46)&gt;0),"Expedite delivery: "&amp;N(BD46)&amp;" days late; ","")&amp;IF(AND(BI46="Awaiting Approval",ISNUMBER(B46),Settings!$B$4-N(B46)&gt;Settings!$B$19),"Get approval: PR waiting "&amp;(Settings!$B$4-N(B46))&amp;" days; ","")&amp;IF(AND(BI46="Approved - PO Pending",ISNUMBER(J46),Settings!$B$4-N(J46)&gt;Settings!$B$20),"Issue PO: approved "&amp;(Settings!$B$4-N(J46))&amp;" days ago; ","")&amp;IF(AND(OR(BI46="Awaiting Approval",BI46="Approved - PO Pending"),N(AB46)&gt;Settings!$B$7),"Negotiate price: "&amp;TEXT(AB46,"0%")&amp;" above budget; ","")&amp;IF(LEFT(AX46,12)="Short Closed","Short closed: claim balance / credit note"&amp;IF(N(AL46)&gt;0," BDT "&amp;TEXT(AL46,"#,##0"),"")&amp;"; ","")&amp;IF(BF46="Rejected","QC rejected: return / replace; ","")&amp;IF(AND(O46&lt;&gt;"",AY46="",N(AL46)&gt;0,N(BD46)&gt;0),"Advance at risk: BDT "&amp;TEXT(AL46,"#,##0")&amp;" paid, goods late; ","")&amp;IF(AND(BJ46&lt;&gt;"",BJ46&lt;&gt;"OK"),"Fix data entry (see Data Check); ",""))</f>
        <v>Issue PO: approved 9 days ago; Negotiate price: 9% above budget; </v>
      </c>
      <c r="BL46" s="73" t="str">
        <f aca="false">IF(BK46="","",IF(OR(N(AP46)&gt;30,AND(AY46="",N(BD46)&gt;15),BF46="Rejected",AND(LEFT(AX46,12)="Short Closed",N(AL46)&gt;0),AND(O46&lt;&gt;"",AY46="",N(AL46)&gt;0,N(BD46)&gt;0)),"High",IF(OR(N(AP46)&gt;0,AND(AY46="",N(BD46)&gt;7),LEFT(AX46,12)="Short Closed",AND(BI46="Awaiting Approval",ISNUMBER(B46),Settings!$B$4-N(B46)&gt;2*Settings!$B$19),AND(BI46="Approved - PO Pending",ISNUMBER(J46),Settings!$B$4-N(J46)&gt;2*Settings!$B$20)),"Medium","Low")))</f>
        <v>Medium</v>
      </c>
      <c r="BM46" s="77" t="n">
        <f aca="false">IF(BL46="","",IF(BL46="High",1,IF(BL46="Medium",2,3))*10000+ROW())</f>
        <v>20046</v>
      </c>
      <c r="BN46" s="62"/>
    </row>
    <row r="47" customFormat="false" ht="18" hidden="false" customHeight="true" outlineLevel="0" collapsed="false">
      <c r="A47" s="60" t="s">
        <v>398</v>
      </c>
      <c r="B47" s="61" t="n">
        <v>46300</v>
      </c>
      <c r="C47" s="62" t="s">
        <v>153</v>
      </c>
      <c r="D47" s="62" t="s">
        <v>154</v>
      </c>
      <c r="E47" s="62" t="s">
        <v>155</v>
      </c>
      <c r="F47" s="62" t="s">
        <v>156</v>
      </c>
      <c r="G47" s="62" t="s">
        <v>157</v>
      </c>
      <c r="H47" s="60" t="s">
        <v>43</v>
      </c>
      <c r="I47" s="60" t="s">
        <v>399</v>
      </c>
      <c r="J47" s="61" t="n">
        <v>46301</v>
      </c>
      <c r="K47" s="60" t="s">
        <v>159</v>
      </c>
      <c r="L47" s="60" t="s">
        <v>160</v>
      </c>
      <c r="M47" s="62" t="s">
        <v>161</v>
      </c>
      <c r="N47" s="60" t="s">
        <v>162</v>
      </c>
      <c r="O47" s="60" t="s">
        <v>400</v>
      </c>
      <c r="P47" s="61" t="n">
        <v>46302</v>
      </c>
      <c r="Q47" s="63" t="n">
        <v>16700</v>
      </c>
      <c r="R47" s="60" t="s">
        <v>164</v>
      </c>
      <c r="S47" s="64" t="n">
        <v>2.45</v>
      </c>
      <c r="T47" s="60" t="s">
        <v>165</v>
      </c>
      <c r="U47" s="65" t="n">
        <f aca="false">IF(AND(T47="",S47=""),"",IF(T47="",1,IFERROR(INDEX(Settings!$B$12:$B$16,MATCH(T47,Settings!$A$12:$A$16,0)),1)))</f>
        <v>122</v>
      </c>
      <c r="V47" s="64" t="n">
        <v>286.52</v>
      </c>
      <c r="W47" s="66" t="n">
        <f aca="false">IF(OR(Q47="",S47=""),"",Q47*S47*U47)</f>
        <v>4991630</v>
      </c>
      <c r="X47" s="65" t="n">
        <f aca="false">IF(OR(W47="",N(Q47)=0),"",W47/Q47)</f>
        <v>298.9</v>
      </c>
      <c r="Y47" s="65" t="n">
        <f aca="false">IF(OR(X47="",P47="",E47=""),"",IF(_xlfn.MAXIFS($P$6:$P$205,$E$6:$E$205,E47,$P$6:$P$205,"&lt;"&amp;P47,$X$6:$X$205,"&gt;0")=0,"",IFERROR(AVERAGEIFS($X$6:$X$205,$E$6:$E$205,E47,$P$6:$P$205,_xlfn.MAXIFS($P$6:$P$205,$E$6:$E$205,E47,$P$6:$P$205,"&lt;"&amp;P47,$X$6:$X$205,"&gt;0"),$X$6:$X$205,"&gt;0"),"")))</f>
        <v>292.8</v>
      </c>
      <c r="Z47" s="67" t="n">
        <f aca="false">IF(OR(Y47="",X47=""),"",X47/Y47-1)</f>
        <v>0.0208333333333333</v>
      </c>
      <c r="AA47" s="68" t="n">
        <f aca="false">IF(OR(W47="",V47=""),"",W47-Q47*V47)</f>
        <v>206746</v>
      </c>
      <c r="AB47" s="69" t="n">
        <f aca="false">IF(AA47="","",IF(N(V47)*N(Q47)=0,"",AA47/(Q47*V47)))</f>
        <v>0.043208153008516</v>
      </c>
      <c r="AC47" s="70" t="n">
        <v>0.05</v>
      </c>
      <c r="AD47" s="66" t="n">
        <f aca="false">IF(W47="","",W47*(1+N(AC47)))</f>
        <v>5241211.5</v>
      </c>
      <c r="AE47" s="62" t="s">
        <v>166</v>
      </c>
      <c r="AF47" s="71" t="n">
        <v>1572363.45</v>
      </c>
      <c r="AG47" s="71"/>
      <c r="AH47" s="71"/>
      <c r="AI47" s="66" t="n">
        <f aca="false">IF(A47="","",N(AF47)+N(AG47)+N(AH47))</f>
        <v>1572363.45</v>
      </c>
      <c r="AJ47" s="72" t="n">
        <f aca="false">IF(AD47="","",IF(N(AD47)=0,"",AI47/AD47))</f>
        <v>0.3</v>
      </c>
      <c r="AK47" s="66" t="n">
        <f aca="false">IF(AD47="","",IF(AD47-AI47&lt;1,0,ROUND(AD47-AI47,2)))</f>
        <v>3668848.05</v>
      </c>
      <c r="AL47" s="66" t="n">
        <f aca="false">IF(OR(O47="",AD47=""),"",MAX(0,ROUND(N(AI47)-(AD47-N(AW47)),0)))</f>
        <v>1572363</v>
      </c>
      <c r="AM47" s="73" t="str">
        <f aca="false">IF(A47="","",IF(O47="","No PO Yet",IF(AI47=0,"Not Paid",IF(N(AJ47)&gt;=0.999,"Fully Paid",IF(N(AG47)+N(AH47)&gt;0,"Partially Paid","Initial / Advance Paid")))))</f>
        <v>Initial / Advance Paid</v>
      </c>
      <c r="AN47" s="61" t="n">
        <v>46304</v>
      </c>
      <c r="AO47" s="61" t="n">
        <v>46338</v>
      </c>
      <c r="AP47" s="74" t="n">
        <f aca="false">IF(AK47="","",IF(OR(N(AK47)=0,AO47=""),"",MAX(0,Settings!$B$4-AO47)))</f>
        <v>0</v>
      </c>
      <c r="AQ47" s="73" t="str">
        <f aca="false">IF(AK47="","",IF(N(AK47)&lt;=0,"",IF(AO47="","No Due Date",IF(Settings!$B$4&lt;=AO47,"Not Yet Due",IF(Settings!$B$4-AO47&lt;=30,"1-30 Days",IF(Settings!$B$4-AO47&lt;=60,"31-60 Days",IF(Settings!$B$4-AO47&lt;=90,"61-90 Days","90+ Days")))))))</f>
        <v>Not Yet Due</v>
      </c>
      <c r="AR47" s="61" t="n">
        <v>46323</v>
      </c>
      <c r="AS47" s="61"/>
      <c r="AT47" s="63"/>
      <c r="AU47" s="72" t="n">
        <f aca="false">IF(Q47="","",IF(N(Q47)=0,"",N(AT47)/Q47))</f>
        <v>0</v>
      </c>
      <c r="AV47" s="75" t="n">
        <f aca="false">IF(OR(A47="",O47="",Q47=""),"",MAX(0,Q47-N(AT47)))</f>
        <v>16700</v>
      </c>
      <c r="AW47" s="66" t="n">
        <f aca="false">IF(OR(AV47="",W47=""),"",IF(N(Q47)=0,0,AV47/Q47*AD47))</f>
        <v>5241211.5</v>
      </c>
      <c r="AX47" s="76" t="str">
        <f aca="false">IF(A47="","",IF(O47="","No PO Yet",IF(Q47="","Order Qty Missing",IF(N(AT47)&gt;=Q47,IF(N(AT47)&gt;Q47,"All In-house (+"&amp;TEXT(N(AT47)-Q47,"#,##0")&amp;" "&amp;R47&amp;" excess)","All In-house"),IF(AY47&lt;&gt;"","Short Closed - "&amp;TEXT(AV47,"#,##0")&amp;" "&amp;R47&amp;" not received",IF(N(AT47)=0,"Not Started - "&amp;TEXT(AV47,"#,##0")&amp;" "&amp;R47&amp;" pending","Pending "&amp;TEXT(AV47,"#,##0")&amp;" "&amp;R47&amp;" ("&amp;TEXT(AU47,"0%")&amp;" received)"))))))</f>
        <v>Not Started - 16,700 sqft pending</v>
      </c>
      <c r="AY47" s="61"/>
      <c r="AZ47" s="77" t="n">
        <f aca="false">IF(OR(B47="",J47=""),"",J47-B47)</f>
        <v>1</v>
      </c>
      <c r="BA47" s="77" t="n">
        <f aca="false">IF(OR(J47="",P47=""),"",P47-J47)</f>
        <v>1</v>
      </c>
      <c r="BB47" s="77" t="str">
        <f aca="false">IF(OR(P47="",AY47=""),"",AY47-P47)</f>
        <v/>
      </c>
      <c r="BC47" s="77" t="str">
        <f aca="false">IF(OR(B47="",AY47=""),"",AY47-B47)</f>
        <v/>
      </c>
      <c r="BD47" s="74" t="n">
        <f aca="false">IF(OR(AR47="",O47=""),"",MAX(0,IF(AY47="",Settings!$B$4,AY47)-AR47))</f>
        <v>0</v>
      </c>
      <c r="BE47" s="73" t="str">
        <f aca="false">IF(OR(AY47="",AR47=""),"",IF(AND(AY47&lt;=AR47,N(AU47)&gt;=Settings!$B$6),"OTIF","Not OTIF"))</f>
        <v/>
      </c>
      <c r="BF47" s="60"/>
      <c r="BG47" s="62"/>
      <c r="BH47" s="78"/>
      <c r="BI47" s="76" t="str">
        <f aca="false">IF(A47="","",IF(K47="Rejected","Rejected",IF(K47&lt;&gt;"Approved","Awaiting Approval",IF(O47="","Approved - PO Pending",IF(AY47&lt;&gt;"",IF(N(AJ47)&gt;=0.999,"Closed","In-house Closed - Payment Due"),IF(AS47&lt;&gt;"","Receiving In-house","PO Issued - Awaiting Delivery"))))))</f>
        <v>PO Issued - Awaiting Delivery</v>
      </c>
      <c r="BJ47" s="76" t="str">
        <f aca="false">IF(A47="","",IF(IF(AND(A47&lt;&gt;"",OR(B47="",C47="",E47="",F47="",H47="")),"PR info missing; ","")&amp;IF(AND(K47="Approved",OR(J47="",I47="")),"Approval ref/date missing; ","")&amp;IF(AND(O47&lt;&gt;"",K47&lt;&gt;"Approved"),"PO without approval; ","")&amp;IF(AND(O47&lt;&gt;"",OR(P47="",M47="",Q47="",S47="",T47="")),"PO details missing; ","")&amp;IF(AND(O47&lt;&gt;"",AR47=""),"Committed date missing; ","")&amp;IF(AND(ISNUMBER(J47),ISNUMBER(B47),N(J47)&lt;N(B47)),"Approval dated before PR; ","")&amp;IF(AND(ISNUMBER(P47),ISNUMBER(J47),N(P47)&lt;N(J47)),"PO dated before approval; ","")&amp;IF(AND(ISNUMBER(AY47),ISNUMBER(AS47),N(AY47)&lt;N(AS47)),"Close before in-house start; ","")&amp;IF(AND(AY47&lt;&gt;"",AS47=""),"In-house start date missing; ","")&amp;IF(AND(AY47&lt;&gt;"",AT47=""),"Qty received missing; ","")&amp;IF(AND(AY47&lt;&gt;"",BF47=""),"QC status missing; ","")&amp;IF(N(AT47)&gt;N(Q47)*1.05,"Received &gt; ordered +5%; ","")&amp;IF(AND(N(AI47)&gt;0,AE47=""),"Payment terms missing; ","")&amp;IF(N(AI47)&gt;N(AD47)+1,"Overpaid vs PO; ","")&amp;IF(AND(N(AK47)&gt;0,AY47&lt;&gt;"",AO47=""),"Payment due date missing; ","")="","OK",IF(AND(A47&lt;&gt;"",OR(B47="",C47="",E47="",F47="",H47="")),"PR info missing; ","")&amp;IF(AND(K47="Approved",OR(J47="",I47="")),"Approval ref/date missing; ","")&amp;IF(AND(O47&lt;&gt;"",K47&lt;&gt;"Approved"),"PO without approval; ","")&amp;IF(AND(O47&lt;&gt;"",OR(P47="",M47="",Q47="",S47="",T47="")),"PO details missing; ","")&amp;IF(AND(O47&lt;&gt;"",AR47=""),"Committed date missing; ","")&amp;IF(AND(ISNUMBER(J47),ISNUMBER(B47),N(J47)&lt;N(B47)),"Approval dated before PR; ","")&amp;IF(AND(ISNUMBER(P47),ISNUMBER(J47),N(P47)&lt;N(J47)),"PO dated before approval; ","")&amp;IF(AND(ISNUMBER(AY47),ISNUMBER(AS47),N(AY47)&lt;N(AS47)),"Close before in-house start; ","")&amp;IF(AND(AY47&lt;&gt;"",AS47=""),"In-house start date missing; ","")&amp;IF(AND(AY47&lt;&gt;"",AT47=""),"Qty received missing; ","")&amp;IF(AND(AY47&lt;&gt;"",BF47=""),"QC status missing; ","")&amp;IF(N(AT47)&gt;N(Q47)*1.05,"Received &gt; ordered +5%; ","")&amp;IF(AND(N(AI47)&gt;0,AE47=""),"Payment terms missing; ","")&amp;IF(N(AI47)&gt;N(AD47)+1,"Overpaid vs PO; ","")&amp;IF(AND(N(AK47)&gt;0,AY47&lt;&gt;"",AO47=""),"Payment due date missing; ","")))</f>
        <v>OK</v>
      </c>
      <c r="BK47" s="76" t="str">
        <f aca="false">IF(A47="","",IF(N(AP47)&gt;0,"Pay supplier: "&amp;N(AP47)&amp;" days overdue; ","")&amp;IF(AND(O47&lt;&gt;"",AY47="",N(BD47)&gt;0),"Expedite delivery: "&amp;N(BD47)&amp;" days late; ","")&amp;IF(AND(BI47="Awaiting Approval",ISNUMBER(B47),Settings!$B$4-N(B47)&gt;Settings!$B$19),"Get approval: PR waiting "&amp;(Settings!$B$4-N(B47))&amp;" days; ","")&amp;IF(AND(BI47="Approved - PO Pending",ISNUMBER(J47),Settings!$B$4-N(J47)&gt;Settings!$B$20),"Issue PO: approved "&amp;(Settings!$B$4-N(J47))&amp;" days ago; ","")&amp;IF(AND(OR(BI47="Awaiting Approval",BI47="Approved - PO Pending"),N(AB47)&gt;Settings!$B$7),"Negotiate price: "&amp;TEXT(AB47,"0%")&amp;" above budget; ","")&amp;IF(LEFT(AX47,12)="Short Closed","Short closed: claim balance / credit note"&amp;IF(N(AL47)&gt;0," BDT "&amp;TEXT(AL47,"#,##0"),"")&amp;"; ","")&amp;IF(BF47="Rejected","QC rejected: return / replace; ","")&amp;IF(AND(O47&lt;&gt;"",AY47="",N(AL47)&gt;0,N(BD47)&gt;0),"Advance at risk: BDT "&amp;TEXT(AL47,"#,##0")&amp;" paid, goods late; ","")&amp;IF(AND(BJ47&lt;&gt;"",BJ47&lt;&gt;"OK"),"Fix data entry (see Data Check); ",""))</f>
        <v/>
      </c>
      <c r="BL47" s="73" t="str">
        <f aca="false">IF(BK47="","",IF(OR(N(AP47)&gt;30,AND(AY47="",N(BD47)&gt;15),BF47="Rejected",AND(LEFT(AX47,12)="Short Closed",N(AL47)&gt;0),AND(O47&lt;&gt;"",AY47="",N(AL47)&gt;0,N(BD47)&gt;0)),"High",IF(OR(N(AP47)&gt;0,AND(AY47="",N(BD47)&gt;7),LEFT(AX47,12)="Short Closed",AND(BI47="Awaiting Approval",ISNUMBER(B47),Settings!$B$4-N(B47)&gt;2*Settings!$B$19),AND(BI47="Approved - PO Pending",ISNUMBER(J47),Settings!$B$4-N(J47)&gt;2*Settings!$B$20)),"Medium","Low")))</f>
        <v/>
      </c>
      <c r="BM47" s="77" t="str">
        <f aca="false">IF(BL47="","",IF(BL47="High",1,IF(BL47="Medium",2,3))*10000+ROW())</f>
        <v/>
      </c>
      <c r="BN47" s="62"/>
    </row>
    <row r="48" customFormat="false" ht="18" hidden="false" customHeight="true" outlineLevel="0" collapsed="false">
      <c r="A48" s="60" t="s">
        <v>401</v>
      </c>
      <c r="B48" s="61" t="n">
        <v>46303</v>
      </c>
      <c r="C48" s="62" t="s">
        <v>153</v>
      </c>
      <c r="D48" s="62" t="s">
        <v>154</v>
      </c>
      <c r="E48" s="62" t="s">
        <v>176</v>
      </c>
      <c r="F48" s="62" t="s">
        <v>156</v>
      </c>
      <c r="G48" s="62" t="s">
        <v>177</v>
      </c>
      <c r="H48" s="60" t="s">
        <v>43</v>
      </c>
      <c r="I48" s="60" t="s">
        <v>402</v>
      </c>
      <c r="J48" s="61" t="n">
        <v>46306</v>
      </c>
      <c r="K48" s="60" t="s">
        <v>159</v>
      </c>
      <c r="L48" s="60" t="s">
        <v>172</v>
      </c>
      <c r="M48" s="62" t="s">
        <v>161</v>
      </c>
      <c r="N48" s="60" t="s">
        <v>162</v>
      </c>
      <c r="O48" s="60"/>
      <c r="P48" s="61"/>
      <c r="Q48" s="63" t="n">
        <v>14600</v>
      </c>
      <c r="R48" s="60" t="s">
        <v>164</v>
      </c>
      <c r="S48" s="64" t="n">
        <v>90.24</v>
      </c>
      <c r="T48" s="60" t="s">
        <v>180</v>
      </c>
      <c r="U48" s="65" t="n">
        <f aca="false">IF(AND(T48="",S48=""),"",IF(T48="",1,IFERROR(INDEX(Settings!$B$12:$B$16,MATCH(T48,Settings!$A$12:$A$16,0)),1)))</f>
        <v>1</v>
      </c>
      <c r="V48" s="64" t="n">
        <v>96.35</v>
      </c>
      <c r="W48" s="66" t="n">
        <f aca="false">IF(OR(Q48="",S48=""),"",Q48*S48*U48)</f>
        <v>1317504</v>
      </c>
      <c r="X48" s="65" t="n">
        <f aca="false">IF(OR(W48="",N(Q48)=0),"",W48/Q48)</f>
        <v>90.24</v>
      </c>
      <c r="Y48" s="65" t="str">
        <f aca="false">IF(OR(X48="",P48="",E48=""),"",IF(_xlfn.MAXIFS($P$6:$P$205,$E$6:$E$205,E48,$P$6:$P$205,"&lt;"&amp;P48,$X$6:$X$205,"&gt;0")=0,"",IFERROR(AVERAGEIFS($X$6:$X$205,$E$6:$E$205,E48,$P$6:$P$205,_xlfn.MAXIFS($P$6:$P$205,$E$6:$E$205,E48,$P$6:$P$205,"&lt;"&amp;P48,$X$6:$X$205,"&gt;0"),$X$6:$X$205,"&gt;0"),"")))</f>
        <v/>
      </c>
      <c r="Z48" s="67" t="str">
        <f aca="false">IF(OR(Y48="",X48=""),"",X48/Y48-1)</f>
        <v/>
      </c>
      <c r="AA48" s="68" t="n">
        <f aca="false">IF(OR(W48="",V48=""),"",W48-Q48*V48)</f>
        <v>-89206</v>
      </c>
      <c r="AB48" s="69" t="n">
        <f aca="false">IF(AA48="","",IF(N(V48)*N(Q48)=0,"",AA48/(Q48*V48)))</f>
        <v>-0.0634146341463415</v>
      </c>
      <c r="AC48" s="70" t="n">
        <v>0.05</v>
      </c>
      <c r="AD48" s="66" t="n">
        <f aca="false">IF(W48="","",W48*(1+N(AC48)))</f>
        <v>1383379.2</v>
      </c>
      <c r="AE48" s="62"/>
      <c r="AF48" s="71"/>
      <c r="AG48" s="71"/>
      <c r="AH48" s="71"/>
      <c r="AI48" s="66" t="n">
        <f aca="false">IF(A48="","",N(AF48)+N(AG48)+N(AH48))</f>
        <v>0</v>
      </c>
      <c r="AJ48" s="72" t="n">
        <f aca="false">IF(AD48="","",IF(N(AD48)=0,"",AI48/AD48))</f>
        <v>0</v>
      </c>
      <c r="AK48" s="66" t="n">
        <f aca="false">IF(AD48="","",IF(AD48-AI48&lt;1,0,ROUND(AD48-AI48,2)))</f>
        <v>1383379.2</v>
      </c>
      <c r="AL48" s="66" t="str">
        <f aca="false">IF(OR(O48="",AD48=""),"",MAX(0,ROUND(N(AI48)-(AD48-N(AW48)),0)))</f>
        <v/>
      </c>
      <c r="AM48" s="73" t="str">
        <f aca="false">IF(A48="","",IF(O48="","No PO Yet",IF(AI48=0,"Not Paid",IF(N(AJ48)&gt;=0.999,"Fully Paid",IF(N(AG48)+N(AH48)&gt;0,"Partially Paid","Initial / Advance Paid")))))</f>
        <v>No PO Yet</v>
      </c>
      <c r="AN48" s="61"/>
      <c r="AO48" s="61"/>
      <c r="AP48" s="74" t="str">
        <f aca="false">IF(AK48="","",IF(OR(N(AK48)=0,AO48=""),"",MAX(0,Settings!$B$4-AO48)))</f>
        <v/>
      </c>
      <c r="AQ48" s="73" t="str">
        <f aca="false">IF(AK48="","",IF(N(AK48)&lt;=0,"",IF(AO48="","No Due Date",IF(Settings!$B$4&lt;=AO48,"Not Yet Due",IF(Settings!$B$4-AO48&lt;=30,"1-30 Days",IF(Settings!$B$4-AO48&lt;=60,"31-60 Days",IF(Settings!$B$4-AO48&lt;=90,"61-90 Days","90+ Days")))))))</f>
        <v>No Due Date</v>
      </c>
      <c r="AR48" s="61"/>
      <c r="AS48" s="61"/>
      <c r="AT48" s="63"/>
      <c r="AU48" s="72" t="n">
        <f aca="false">IF(Q48="","",IF(N(Q48)=0,"",N(AT48)/Q48))</f>
        <v>0</v>
      </c>
      <c r="AV48" s="75" t="str">
        <f aca="false">IF(OR(A48="",O48="",Q48=""),"",MAX(0,Q48-N(AT48)))</f>
        <v/>
      </c>
      <c r="AW48" s="66" t="str">
        <f aca="false">IF(OR(AV48="",W48=""),"",IF(N(Q48)=0,0,AV48/Q48*AD48))</f>
        <v/>
      </c>
      <c r="AX48" s="76" t="str">
        <f aca="false">IF(A48="","",IF(O48="","No PO Yet",IF(Q48="","Order Qty Missing",IF(N(AT48)&gt;=Q48,IF(N(AT48)&gt;Q48,"All In-house (+"&amp;TEXT(N(AT48)-Q48,"#,##0")&amp;" "&amp;R48&amp;" excess)","All In-house"),IF(AY48&lt;&gt;"","Short Closed - "&amp;TEXT(AV48,"#,##0")&amp;" "&amp;R48&amp;" not received",IF(N(AT48)=0,"Not Started - "&amp;TEXT(AV48,"#,##0")&amp;" "&amp;R48&amp;" pending","Pending "&amp;TEXT(AV48,"#,##0")&amp;" "&amp;R48&amp;" ("&amp;TEXT(AU48,"0%")&amp;" received)"))))))</f>
        <v>No PO Yet</v>
      </c>
      <c r="AY48" s="61"/>
      <c r="AZ48" s="77" t="n">
        <f aca="false">IF(OR(B48="",J48=""),"",J48-B48)</f>
        <v>3</v>
      </c>
      <c r="BA48" s="77" t="str">
        <f aca="false">IF(OR(J48="",P48=""),"",P48-J48)</f>
        <v/>
      </c>
      <c r="BB48" s="77" t="str">
        <f aca="false">IF(OR(P48="",AY48=""),"",AY48-P48)</f>
        <v/>
      </c>
      <c r="BC48" s="77" t="str">
        <f aca="false">IF(OR(B48="",AY48=""),"",AY48-B48)</f>
        <v/>
      </c>
      <c r="BD48" s="74" t="str">
        <f aca="false">IF(OR(AR48="",O48=""),"",MAX(0,IF(AY48="",Settings!$B$4,AY48)-AR48))</f>
        <v/>
      </c>
      <c r="BE48" s="73" t="str">
        <f aca="false">IF(OR(AY48="",AR48=""),"",IF(AND(AY48&lt;=AR48,N(AU48)&gt;=Settings!$B$6),"OTIF","Not OTIF"))</f>
        <v/>
      </c>
      <c r="BF48" s="60"/>
      <c r="BG48" s="62"/>
      <c r="BH48" s="78"/>
      <c r="BI48" s="76" t="str">
        <f aca="false">IF(A48="","",IF(K48="Rejected","Rejected",IF(K48&lt;&gt;"Approved","Awaiting Approval",IF(O48="","Approved - PO Pending",IF(AY48&lt;&gt;"",IF(N(AJ48)&gt;=0.999,"Closed","In-house Closed - Payment Due"),IF(AS48&lt;&gt;"","Receiving In-house","PO Issued - Awaiting Delivery"))))))</f>
        <v>Approved - PO Pending</v>
      </c>
      <c r="BJ48" s="76" t="str">
        <f aca="false">IF(A48="","",IF(IF(AND(A48&lt;&gt;"",OR(B48="",C48="",E48="",F48="",H48="")),"PR info missing; ","")&amp;IF(AND(K48="Approved",OR(J48="",I48="")),"Approval ref/date missing; ","")&amp;IF(AND(O48&lt;&gt;"",K48&lt;&gt;"Approved"),"PO without approval; ","")&amp;IF(AND(O48&lt;&gt;"",OR(P48="",M48="",Q48="",S48="",T48="")),"PO details missing; ","")&amp;IF(AND(O48&lt;&gt;"",AR48=""),"Committed date missing; ","")&amp;IF(AND(ISNUMBER(J48),ISNUMBER(B48),N(J48)&lt;N(B48)),"Approval dated before PR; ","")&amp;IF(AND(ISNUMBER(P48),ISNUMBER(J48),N(P48)&lt;N(J48)),"PO dated before approval; ","")&amp;IF(AND(ISNUMBER(AY48),ISNUMBER(AS48),N(AY48)&lt;N(AS48)),"Close before in-house start; ","")&amp;IF(AND(AY48&lt;&gt;"",AS48=""),"In-house start date missing; ","")&amp;IF(AND(AY48&lt;&gt;"",AT48=""),"Qty received missing; ","")&amp;IF(AND(AY48&lt;&gt;"",BF48=""),"QC status missing; ","")&amp;IF(N(AT48)&gt;N(Q48)*1.05,"Received &gt; ordered +5%; ","")&amp;IF(AND(N(AI48)&gt;0,AE48=""),"Payment terms missing; ","")&amp;IF(N(AI48)&gt;N(AD48)+1,"Overpaid vs PO; ","")&amp;IF(AND(N(AK48)&gt;0,AY48&lt;&gt;"",AO48=""),"Payment due date missing; ","")="","OK",IF(AND(A48&lt;&gt;"",OR(B48="",C48="",E48="",F48="",H48="")),"PR info missing; ","")&amp;IF(AND(K48="Approved",OR(J48="",I48="")),"Approval ref/date missing; ","")&amp;IF(AND(O48&lt;&gt;"",K48&lt;&gt;"Approved"),"PO without approval; ","")&amp;IF(AND(O48&lt;&gt;"",OR(P48="",M48="",Q48="",S48="",T48="")),"PO details missing; ","")&amp;IF(AND(O48&lt;&gt;"",AR48=""),"Committed date missing; ","")&amp;IF(AND(ISNUMBER(J48),ISNUMBER(B48),N(J48)&lt;N(B48)),"Approval dated before PR; ","")&amp;IF(AND(ISNUMBER(P48),ISNUMBER(J48),N(P48)&lt;N(J48)),"PO dated before approval; ","")&amp;IF(AND(ISNUMBER(AY48),ISNUMBER(AS48),N(AY48)&lt;N(AS48)),"Close before in-house start; ","")&amp;IF(AND(AY48&lt;&gt;"",AS48=""),"In-house start date missing; ","")&amp;IF(AND(AY48&lt;&gt;"",AT48=""),"Qty received missing; ","")&amp;IF(AND(AY48&lt;&gt;"",BF48=""),"QC status missing; ","")&amp;IF(N(AT48)&gt;N(Q48)*1.05,"Received &gt; ordered +5%; ","")&amp;IF(AND(N(AI48)&gt;0,AE48=""),"Payment terms missing; ","")&amp;IF(N(AI48)&gt;N(AD48)+1,"Overpaid vs PO; ","")&amp;IF(AND(N(AK48)&gt;0,AY48&lt;&gt;"",AO48=""),"Payment due date missing; ","")))</f>
        <v>OK</v>
      </c>
      <c r="BK48" s="76" t="str">
        <f aca="false">IF(A48="","",IF(N(AP48)&gt;0,"Pay supplier: "&amp;N(AP48)&amp;" days overdue; ","")&amp;IF(AND(O48&lt;&gt;"",AY48="",N(BD48)&gt;0),"Expedite delivery: "&amp;N(BD48)&amp;" days late; ","")&amp;IF(AND(BI48="Awaiting Approval",ISNUMBER(B48),Settings!$B$4-N(B48)&gt;Settings!$B$19),"Get approval: PR waiting "&amp;(Settings!$B$4-N(B48))&amp;" days; ","")&amp;IF(AND(BI48="Approved - PO Pending",ISNUMBER(J48),Settings!$B$4-N(J48)&gt;Settings!$B$20),"Issue PO: approved "&amp;(Settings!$B$4-N(J48))&amp;" days ago; ","")&amp;IF(AND(OR(BI48="Awaiting Approval",BI48="Approved - PO Pending"),N(AB48)&gt;Settings!$B$7),"Negotiate price: "&amp;TEXT(AB48,"0%")&amp;" above budget; ","")&amp;IF(LEFT(AX48,12)="Short Closed","Short closed: claim balance / credit note"&amp;IF(N(AL48)&gt;0," BDT "&amp;TEXT(AL48,"#,##0"),"")&amp;"; ","")&amp;IF(BF48="Rejected","QC rejected: return / replace; ","")&amp;IF(AND(O48&lt;&gt;"",AY48="",N(AL48)&gt;0,N(BD48)&gt;0),"Advance at risk: BDT "&amp;TEXT(AL48,"#,##0")&amp;" paid, goods late; ","")&amp;IF(AND(BJ48&lt;&gt;"",BJ48&lt;&gt;"OK"),"Fix data entry (see Data Check); ",""))</f>
        <v>Issue PO: approved 4 days ago; </v>
      </c>
      <c r="BL48" s="73" t="str">
        <f aca="false">IF(BK48="","",IF(OR(N(AP48)&gt;30,AND(AY48="",N(BD48)&gt;15),BF48="Rejected",AND(LEFT(AX48,12)="Short Closed",N(AL48)&gt;0),AND(O48&lt;&gt;"",AY48="",N(AL48)&gt;0,N(BD48)&gt;0)),"High",IF(OR(N(AP48)&gt;0,AND(AY48="",N(BD48)&gt;7),LEFT(AX48,12)="Short Closed",AND(BI48="Awaiting Approval",ISNUMBER(B48),Settings!$B$4-N(B48)&gt;2*Settings!$B$19),AND(BI48="Approved - PO Pending",ISNUMBER(J48),Settings!$B$4-N(J48)&gt;2*Settings!$B$20)),"Medium","Low")))</f>
        <v>Low</v>
      </c>
      <c r="BM48" s="77" t="n">
        <f aca="false">IF(BL48="","",IF(BL48="High",1,IF(BL48="Medium",2,3))*10000+ROW())</f>
        <v>30048</v>
      </c>
      <c r="BN48" s="62"/>
    </row>
    <row r="49" customFormat="false" ht="18" hidden="false" customHeight="true" outlineLevel="0" collapsed="false">
      <c r="A49" s="60" t="s">
        <v>403</v>
      </c>
      <c r="B49" s="61" t="n">
        <v>46304</v>
      </c>
      <c r="C49" s="62" t="s">
        <v>195</v>
      </c>
      <c r="D49" s="62" t="s">
        <v>196</v>
      </c>
      <c r="E49" s="62" t="s">
        <v>229</v>
      </c>
      <c r="F49" s="62" t="s">
        <v>222</v>
      </c>
      <c r="G49" s="62" t="s">
        <v>230</v>
      </c>
      <c r="H49" s="60" t="s">
        <v>43</v>
      </c>
      <c r="I49" s="60" t="s">
        <v>404</v>
      </c>
      <c r="J49" s="61"/>
      <c r="K49" s="60" t="s">
        <v>390</v>
      </c>
      <c r="L49" s="60"/>
      <c r="M49" s="62" t="s">
        <v>225</v>
      </c>
      <c r="N49" s="60" t="s">
        <v>162</v>
      </c>
      <c r="O49" s="60"/>
      <c r="P49" s="61"/>
      <c r="Q49" s="63" t="n">
        <v>500</v>
      </c>
      <c r="R49" s="60" t="s">
        <v>227</v>
      </c>
      <c r="S49" s="64" t="n">
        <v>507</v>
      </c>
      <c r="T49" s="60" t="s">
        <v>180</v>
      </c>
      <c r="U49" s="65" t="n">
        <f aca="false">IF(AND(T49="",S49=""),"",IF(T49="",1,IFERROR(INDEX(Settings!$B$12:$B$16,MATCH(T49,Settings!$A$12:$A$16,0)),1)))</f>
        <v>1</v>
      </c>
      <c r="V49" s="64" t="n">
        <v>524.68</v>
      </c>
      <c r="W49" s="66" t="n">
        <f aca="false">IF(OR(Q49="",S49=""),"",Q49*S49*U49)</f>
        <v>253500</v>
      </c>
      <c r="X49" s="65" t="n">
        <f aca="false">IF(OR(W49="",N(Q49)=0),"",W49/Q49)</f>
        <v>507</v>
      </c>
      <c r="Y49" s="65" t="str">
        <f aca="false">IF(OR(X49="",P49="",E49=""),"",IF(_xlfn.MAXIFS($P$6:$P$205,$E$6:$E$205,E49,$P$6:$P$205,"&lt;"&amp;P49,$X$6:$X$205,"&gt;0")=0,"",IFERROR(AVERAGEIFS($X$6:$X$205,$E$6:$E$205,E49,$P$6:$P$205,_xlfn.MAXIFS($P$6:$P$205,$E$6:$E$205,E49,$P$6:$P$205,"&lt;"&amp;P49,$X$6:$X$205,"&gt;0"),$X$6:$X$205,"&gt;0"),"")))</f>
        <v/>
      </c>
      <c r="Z49" s="67" t="str">
        <f aca="false">IF(OR(Y49="",X49=""),"",X49/Y49-1)</f>
        <v/>
      </c>
      <c r="AA49" s="68" t="n">
        <f aca="false">IF(OR(W49="",V49=""),"",W49-Q49*V49)</f>
        <v>-8840</v>
      </c>
      <c r="AB49" s="69" t="n">
        <f aca="false">IF(AA49="","",IF(N(V49)*N(Q49)=0,"",AA49/(Q49*V49)))</f>
        <v>-0.0336967294350842</v>
      </c>
      <c r="AC49" s="70" t="n">
        <v>0.075</v>
      </c>
      <c r="AD49" s="66" t="n">
        <f aca="false">IF(W49="","",W49*(1+N(AC49)))</f>
        <v>272512.5</v>
      </c>
      <c r="AE49" s="62"/>
      <c r="AF49" s="71"/>
      <c r="AG49" s="71"/>
      <c r="AH49" s="71"/>
      <c r="AI49" s="66" t="n">
        <f aca="false">IF(A49="","",N(AF49)+N(AG49)+N(AH49))</f>
        <v>0</v>
      </c>
      <c r="AJ49" s="72" t="n">
        <f aca="false">IF(AD49="","",IF(N(AD49)=0,"",AI49/AD49))</f>
        <v>0</v>
      </c>
      <c r="AK49" s="66" t="n">
        <f aca="false">IF(AD49="","",IF(AD49-AI49&lt;1,0,ROUND(AD49-AI49,2)))</f>
        <v>272512.5</v>
      </c>
      <c r="AL49" s="66" t="str">
        <f aca="false">IF(OR(O49="",AD49=""),"",MAX(0,ROUND(N(AI49)-(AD49-N(AW49)),0)))</f>
        <v/>
      </c>
      <c r="AM49" s="73" t="str">
        <f aca="false">IF(A49="","",IF(O49="","No PO Yet",IF(AI49=0,"Not Paid",IF(N(AJ49)&gt;=0.999,"Fully Paid",IF(N(AG49)+N(AH49)&gt;0,"Partially Paid","Initial / Advance Paid")))))</f>
        <v>No PO Yet</v>
      </c>
      <c r="AN49" s="61"/>
      <c r="AO49" s="61"/>
      <c r="AP49" s="74" t="str">
        <f aca="false">IF(AK49="","",IF(OR(N(AK49)=0,AO49=""),"",MAX(0,Settings!$B$4-AO49)))</f>
        <v/>
      </c>
      <c r="AQ49" s="73" t="str">
        <f aca="false">IF(AK49="","",IF(N(AK49)&lt;=0,"",IF(AO49="","No Due Date",IF(Settings!$B$4&lt;=AO49,"Not Yet Due",IF(Settings!$B$4-AO49&lt;=30,"1-30 Days",IF(Settings!$B$4-AO49&lt;=60,"31-60 Days",IF(Settings!$B$4-AO49&lt;=90,"61-90 Days","90+ Days")))))))</f>
        <v>No Due Date</v>
      </c>
      <c r="AR49" s="61"/>
      <c r="AS49" s="61"/>
      <c r="AT49" s="63"/>
      <c r="AU49" s="72" t="n">
        <f aca="false">IF(Q49="","",IF(N(Q49)=0,"",N(AT49)/Q49))</f>
        <v>0</v>
      </c>
      <c r="AV49" s="75" t="str">
        <f aca="false">IF(OR(A49="",O49="",Q49=""),"",MAX(0,Q49-N(AT49)))</f>
        <v/>
      </c>
      <c r="AW49" s="66" t="str">
        <f aca="false">IF(OR(AV49="",W49=""),"",IF(N(Q49)=0,0,AV49/Q49*AD49))</f>
        <v/>
      </c>
      <c r="AX49" s="76" t="str">
        <f aca="false">IF(A49="","",IF(O49="","No PO Yet",IF(Q49="","Order Qty Missing",IF(N(AT49)&gt;=Q49,IF(N(AT49)&gt;Q49,"All In-house (+"&amp;TEXT(N(AT49)-Q49,"#,##0")&amp;" "&amp;R49&amp;" excess)","All In-house"),IF(AY49&lt;&gt;"","Short Closed - "&amp;TEXT(AV49,"#,##0")&amp;" "&amp;R49&amp;" not received",IF(N(AT49)=0,"Not Started - "&amp;TEXT(AV49,"#,##0")&amp;" "&amp;R49&amp;" pending","Pending "&amp;TEXT(AV49,"#,##0")&amp;" "&amp;R49&amp;" ("&amp;TEXT(AU49,"0%")&amp;" received)"))))))</f>
        <v>No PO Yet</v>
      </c>
      <c r="AY49" s="61"/>
      <c r="AZ49" s="77" t="str">
        <f aca="false">IF(OR(B49="",J49=""),"",J49-B49)</f>
        <v/>
      </c>
      <c r="BA49" s="77" t="str">
        <f aca="false">IF(OR(J49="",P49=""),"",P49-J49)</f>
        <v/>
      </c>
      <c r="BB49" s="77" t="str">
        <f aca="false">IF(OR(P49="",AY49=""),"",AY49-P49)</f>
        <v/>
      </c>
      <c r="BC49" s="77" t="str">
        <f aca="false">IF(OR(B49="",AY49=""),"",AY49-B49)</f>
        <v/>
      </c>
      <c r="BD49" s="74" t="str">
        <f aca="false">IF(OR(AR49="",O49=""),"",MAX(0,IF(AY49="",Settings!$B$4,AY49)-AR49))</f>
        <v/>
      </c>
      <c r="BE49" s="73" t="str">
        <f aca="false">IF(OR(AY49="",AR49=""),"",IF(AND(AY49&lt;=AR49,N(AU49)&gt;=Settings!$B$6),"OTIF","Not OTIF"))</f>
        <v/>
      </c>
      <c r="BF49" s="60"/>
      <c r="BG49" s="62"/>
      <c r="BH49" s="78"/>
      <c r="BI49" s="76" t="str">
        <f aca="false">IF(A49="","",IF(K49="Rejected","Rejected",IF(K49&lt;&gt;"Approved","Awaiting Approval",IF(O49="","Approved - PO Pending",IF(AY49&lt;&gt;"",IF(N(AJ49)&gt;=0.999,"Closed","In-house Closed - Payment Due"),IF(AS49&lt;&gt;"","Receiving In-house","PO Issued - Awaiting Delivery"))))))</f>
        <v>Awaiting Approval</v>
      </c>
      <c r="BJ49" s="76" t="str">
        <f aca="false">IF(A49="","",IF(IF(AND(A49&lt;&gt;"",OR(B49="",C49="",E49="",F49="",H49="")),"PR info missing; ","")&amp;IF(AND(K49="Approved",OR(J49="",I49="")),"Approval ref/date missing; ","")&amp;IF(AND(O49&lt;&gt;"",K49&lt;&gt;"Approved"),"PO without approval; ","")&amp;IF(AND(O49&lt;&gt;"",OR(P49="",M49="",Q49="",S49="",T49="")),"PO details missing; ","")&amp;IF(AND(O49&lt;&gt;"",AR49=""),"Committed date missing; ","")&amp;IF(AND(ISNUMBER(J49),ISNUMBER(B49),N(J49)&lt;N(B49)),"Approval dated before PR; ","")&amp;IF(AND(ISNUMBER(P49),ISNUMBER(J49),N(P49)&lt;N(J49)),"PO dated before approval; ","")&amp;IF(AND(ISNUMBER(AY49),ISNUMBER(AS49),N(AY49)&lt;N(AS49)),"Close before in-house start; ","")&amp;IF(AND(AY49&lt;&gt;"",AS49=""),"In-house start date missing; ","")&amp;IF(AND(AY49&lt;&gt;"",AT49=""),"Qty received missing; ","")&amp;IF(AND(AY49&lt;&gt;"",BF49=""),"QC status missing; ","")&amp;IF(N(AT49)&gt;N(Q49)*1.05,"Received &gt; ordered +5%; ","")&amp;IF(AND(N(AI49)&gt;0,AE49=""),"Payment terms missing; ","")&amp;IF(N(AI49)&gt;N(AD49)+1,"Overpaid vs PO; ","")&amp;IF(AND(N(AK49)&gt;0,AY49&lt;&gt;"",AO49=""),"Payment due date missing; ","")="","OK",IF(AND(A49&lt;&gt;"",OR(B49="",C49="",E49="",F49="",H49="")),"PR info missing; ","")&amp;IF(AND(K49="Approved",OR(J49="",I49="")),"Approval ref/date missing; ","")&amp;IF(AND(O49&lt;&gt;"",K49&lt;&gt;"Approved"),"PO without approval; ","")&amp;IF(AND(O49&lt;&gt;"",OR(P49="",M49="",Q49="",S49="",T49="")),"PO details missing; ","")&amp;IF(AND(O49&lt;&gt;"",AR49=""),"Committed date missing; ","")&amp;IF(AND(ISNUMBER(J49),ISNUMBER(B49),N(J49)&lt;N(B49)),"Approval dated before PR; ","")&amp;IF(AND(ISNUMBER(P49),ISNUMBER(J49),N(P49)&lt;N(J49)),"PO dated before approval; ","")&amp;IF(AND(ISNUMBER(AY49),ISNUMBER(AS49),N(AY49)&lt;N(AS49)),"Close before in-house start; ","")&amp;IF(AND(AY49&lt;&gt;"",AS49=""),"In-house start date missing; ","")&amp;IF(AND(AY49&lt;&gt;"",AT49=""),"Qty received missing; ","")&amp;IF(AND(AY49&lt;&gt;"",BF49=""),"QC status missing; ","")&amp;IF(N(AT49)&gt;N(Q49)*1.05,"Received &gt; ordered +5%; ","")&amp;IF(AND(N(AI49)&gt;0,AE49=""),"Payment terms missing; ","")&amp;IF(N(AI49)&gt;N(AD49)+1,"Overpaid vs PO; ","")&amp;IF(AND(N(AK49)&gt;0,AY49&lt;&gt;"",AO49=""),"Payment due date missing; ","")))</f>
        <v>OK</v>
      </c>
      <c r="BK49" s="76" t="str">
        <f aca="false">IF(A49="","",IF(N(AP49)&gt;0,"Pay supplier: "&amp;N(AP49)&amp;" days overdue; ","")&amp;IF(AND(O49&lt;&gt;"",AY49="",N(BD49)&gt;0),"Expedite delivery: "&amp;N(BD49)&amp;" days late; ","")&amp;IF(AND(BI49="Awaiting Approval",ISNUMBER(B49),Settings!$B$4-N(B49)&gt;Settings!$B$19),"Get approval: PR waiting "&amp;(Settings!$B$4-N(B49))&amp;" days; ","")&amp;IF(AND(BI49="Approved - PO Pending",ISNUMBER(J49),Settings!$B$4-N(J49)&gt;Settings!$B$20),"Issue PO: approved "&amp;(Settings!$B$4-N(J49))&amp;" days ago; ","")&amp;IF(AND(OR(BI49="Awaiting Approval",BI49="Approved - PO Pending"),N(AB49)&gt;Settings!$B$7),"Negotiate price: "&amp;TEXT(AB49,"0%")&amp;" above budget; ","")&amp;IF(LEFT(AX49,12)="Short Closed","Short closed: claim balance / credit note"&amp;IF(N(AL49)&gt;0," BDT "&amp;TEXT(AL49,"#,##0"),"")&amp;"; ","")&amp;IF(BF49="Rejected","QC rejected: return / replace; ","")&amp;IF(AND(O49&lt;&gt;"",AY49="",N(AL49)&gt;0,N(BD49)&gt;0),"Advance at risk: BDT "&amp;TEXT(AL49,"#,##0")&amp;" paid, goods late; ","")&amp;IF(AND(BJ49&lt;&gt;"",BJ49&lt;&gt;"OK"),"Fix data entry (see Data Check); ",""))</f>
        <v>Get approval: PR waiting 6 days; </v>
      </c>
      <c r="BL49" s="73" t="str">
        <f aca="false">IF(BK49="","",IF(OR(N(AP49)&gt;30,AND(AY49="",N(BD49)&gt;15),BF49="Rejected",AND(LEFT(AX49,12)="Short Closed",N(AL49)&gt;0),AND(O49&lt;&gt;"",AY49="",N(AL49)&gt;0,N(BD49)&gt;0)),"High",IF(OR(N(AP49)&gt;0,AND(AY49="",N(BD49)&gt;7),LEFT(AX49,12)="Short Closed",AND(BI49="Awaiting Approval",ISNUMBER(B49),Settings!$B$4-N(B49)&gt;2*Settings!$B$19),AND(BI49="Approved - PO Pending",ISNUMBER(J49),Settings!$B$4-N(J49)&gt;2*Settings!$B$20)),"Medium","Low")))</f>
        <v>Low</v>
      </c>
      <c r="BM49" s="77" t="n">
        <f aca="false">IF(BL49="","",IF(BL49="High",1,IF(BL49="Medium",2,3))*10000+ROW())</f>
        <v>30049</v>
      </c>
      <c r="BN49" s="62"/>
    </row>
    <row r="50" customFormat="false" ht="18" hidden="false" customHeight="true" outlineLevel="0" collapsed="false">
      <c r="A50" s="60" t="s">
        <v>405</v>
      </c>
      <c r="B50" s="61" t="n">
        <v>46307</v>
      </c>
      <c r="C50" s="62"/>
      <c r="D50" s="62"/>
      <c r="E50" s="62" t="s">
        <v>406</v>
      </c>
      <c r="F50" s="62"/>
      <c r="G50" s="62"/>
      <c r="H50" s="60"/>
      <c r="I50" s="60"/>
      <c r="J50" s="61"/>
      <c r="K50" s="60"/>
      <c r="L50" s="60"/>
      <c r="M50" s="62"/>
      <c r="N50" s="60"/>
      <c r="O50" s="60"/>
      <c r="P50" s="61"/>
      <c r="Q50" s="63"/>
      <c r="R50" s="60"/>
      <c r="S50" s="64"/>
      <c r="T50" s="60"/>
      <c r="U50" s="65" t="str">
        <f aca="false">IF(AND(T50="",S50=""),"",IF(T50="",1,IFERROR(INDEX(Settings!$B$12:$B$16,MATCH(T50,Settings!$A$12:$A$16,0)),1)))</f>
        <v/>
      </c>
      <c r="V50" s="64"/>
      <c r="W50" s="66" t="str">
        <f aca="false">IF(OR(Q50="",S50=""),"",Q50*S50*U50)</f>
        <v/>
      </c>
      <c r="X50" s="65" t="str">
        <f aca="false">IF(OR(W50="",N(Q50)=0),"",W50/Q50)</f>
        <v/>
      </c>
      <c r="Y50" s="65" t="str">
        <f aca="false">IF(OR(X50="",P50="",E50=""),"",IF(_xlfn.MAXIFS($P$6:$P$205,$E$6:$E$205,E50,$P$6:$P$205,"&lt;"&amp;P50,$X$6:$X$205,"&gt;0")=0,"",IFERROR(AVERAGEIFS($X$6:$X$205,$E$6:$E$205,E50,$P$6:$P$205,_xlfn.MAXIFS($P$6:$P$205,$E$6:$E$205,E50,$P$6:$P$205,"&lt;"&amp;P50,$X$6:$X$205,"&gt;0"),$X$6:$X$205,"&gt;0"),"")))</f>
        <v/>
      </c>
      <c r="Z50" s="67" t="str">
        <f aca="false">IF(OR(Y50="",X50=""),"",X50/Y50-1)</f>
        <v/>
      </c>
      <c r="AA50" s="68" t="str">
        <f aca="false">IF(OR(W50="",V50=""),"",W50-Q50*V50)</f>
        <v/>
      </c>
      <c r="AB50" s="69" t="str">
        <f aca="false">IF(AA50="","",IF(N(V50)*N(Q50)=0,"",AA50/(Q50*V50)))</f>
        <v/>
      </c>
      <c r="AC50" s="70"/>
      <c r="AD50" s="66" t="str">
        <f aca="false">IF(W50="","",W50*(1+N(AC50)))</f>
        <v/>
      </c>
      <c r="AE50" s="62"/>
      <c r="AF50" s="71"/>
      <c r="AG50" s="71"/>
      <c r="AH50" s="71"/>
      <c r="AI50" s="66" t="n">
        <f aca="false">IF(A50="","",N(AF50)+N(AG50)+N(AH50))</f>
        <v>0</v>
      </c>
      <c r="AJ50" s="72" t="str">
        <f aca="false">IF(AD50="","",IF(N(AD50)=0,"",AI50/AD50))</f>
        <v/>
      </c>
      <c r="AK50" s="66" t="str">
        <f aca="false">IF(AD50="","",IF(AD50-AI50&lt;1,0,ROUND(AD50-AI50,2)))</f>
        <v/>
      </c>
      <c r="AL50" s="66" t="str">
        <f aca="false">IF(OR(O50="",AD50=""),"",MAX(0,ROUND(N(AI50)-(AD50-N(AW50)),0)))</f>
        <v/>
      </c>
      <c r="AM50" s="73" t="str">
        <f aca="false">IF(A50="","",IF(O50="","No PO Yet",IF(AI50=0,"Not Paid",IF(N(AJ50)&gt;=0.999,"Fully Paid",IF(N(AG50)+N(AH50)&gt;0,"Partially Paid","Initial / Advance Paid")))))</f>
        <v>No PO Yet</v>
      </c>
      <c r="AN50" s="61"/>
      <c r="AO50" s="61"/>
      <c r="AP50" s="74" t="str">
        <f aca="false">IF(AK50="","",IF(OR(N(AK50)=0,AO50=""),"",MAX(0,Settings!$B$4-AO50)))</f>
        <v/>
      </c>
      <c r="AQ50" s="73" t="str">
        <f aca="false">IF(AK50="","",IF(N(AK50)&lt;=0,"",IF(AO50="","No Due Date",IF(Settings!$B$4&lt;=AO50,"Not Yet Due",IF(Settings!$B$4-AO50&lt;=30,"1-30 Days",IF(Settings!$B$4-AO50&lt;=60,"31-60 Days",IF(Settings!$B$4-AO50&lt;=90,"61-90 Days","90+ Days")))))))</f>
        <v/>
      </c>
      <c r="AR50" s="61"/>
      <c r="AS50" s="61"/>
      <c r="AT50" s="63"/>
      <c r="AU50" s="72" t="str">
        <f aca="false">IF(Q50="","",IF(N(Q50)=0,"",N(AT50)/Q50))</f>
        <v/>
      </c>
      <c r="AV50" s="75" t="str">
        <f aca="false">IF(OR(A50="",O50="",Q50=""),"",MAX(0,Q50-N(AT50)))</f>
        <v/>
      </c>
      <c r="AW50" s="66" t="str">
        <f aca="false">IF(OR(AV50="",W50=""),"",IF(N(Q50)=0,0,AV50/Q50*AD50))</f>
        <v/>
      </c>
      <c r="AX50" s="76" t="str">
        <f aca="false">IF(A50="","",IF(O50="","No PO Yet",IF(Q50="","Order Qty Missing",IF(N(AT50)&gt;=Q50,IF(N(AT50)&gt;Q50,"All In-house (+"&amp;TEXT(N(AT50)-Q50,"#,##0")&amp;" "&amp;R50&amp;" excess)","All In-house"),IF(AY50&lt;&gt;"","Short Closed - "&amp;TEXT(AV50,"#,##0")&amp;" "&amp;R50&amp;" not received",IF(N(AT50)=0,"Not Started - "&amp;TEXT(AV50,"#,##0")&amp;" "&amp;R50&amp;" pending","Pending "&amp;TEXT(AV50,"#,##0")&amp;" "&amp;R50&amp;" ("&amp;TEXT(AU50,"0%")&amp;" received)"))))))</f>
        <v>No PO Yet</v>
      </c>
      <c r="AY50" s="61"/>
      <c r="AZ50" s="77" t="str">
        <f aca="false">IF(OR(B50="",J50=""),"",J50-B50)</f>
        <v/>
      </c>
      <c r="BA50" s="77" t="str">
        <f aca="false">IF(OR(J50="",P50=""),"",P50-J50)</f>
        <v/>
      </c>
      <c r="BB50" s="77" t="str">
        <f aca="false">IF(OR(P50="",AY50=""),"",AY50-P50)</f>
        <v/>
      </c>
      <c r="BC50" s="77" t="str">
        <f aca="false">IF(OR(B50="",AY50=""),"",AY50-B50)</f>
        <v/>
      </c>
      <c r="BD50" s="74" t="str">
        <f aca="false">IF(OR(AR50="",O50=""),"",MAX(0,IF(AY50="",Settings!$B$4,AY50)-AR50))</f>
        <v/>
      </c>
      <c r="BE50" s="73" t="str">
        <f aca="false">IF(OR(AY50="",AR50=""),"",IF(AND(AY50&lt;=AR50,N(AU50)&gt;=Settings!$B$6),"OTIF","Not OTIF"))</f>
        <v/>
      </c>
      <c r="BF50" s="60"/>
      <c r="BG50" s="62"/>
      <c r="BH50" s="78"/>
      <c r="BI50" s="76" t="str">
        <f aca="false">IF(A50="","",IF(K50="Rejected","Rejected",IF(K50&lt;&gt;"Approved","Awaiting Approval",IF(O50="","Approved - PO Pending",IF(AY50&lt;&gt;"",IF(N(AJ50)&gt;=0.999,"Closed","In-house Closed - Payment Due"),IF(AS50&lt;&gt;"","Receiving In-house","PO Issued - Awaiting Delivery"))))))</f>
        <v>Awaiting Approval</v>
      </c>
      <c r="BJ50" s="76" t="str">
        <f aca="false">IF(A50="","",IF(IF(AND(A50&lt;&gt;"",OR(B50="",C50="",E50="",F50="",H50="")),"PR info missing; ","")&amp;IF(AND(K50="Approved",OR(J50="",I50="")),"Approval ref/date missing; ","")&amp;IF(AND(O50&lt;&gt;"",K50&lt;&gt;"Approved"),"PO without approval; ","")&amp;IF(AND(O50&lt;&gt;"",OR(P50="",M50="",Q50="",S50="",T50="")),"PO details missing; ","")&amp;IF(AND(O50&lt;&gt;"",AR50=""),"Committed date missing; ","")&amp;IF(AND(ISNUMBER(J50),ISNUMBER(B50),N(J50)&lt;N(B50)),"Approval dated before PR; ","")&amp;IF(AND(ISNUMBER(P50),ISNUMBER(J50),N(P50)&lt;N(J50)),"PO dated before approval; ","")&amp;IF(AND(ISNUMBER(AY50),ISNUMBER(AS50),N(AY50)&lt;N(AS50)),"Close before in-house start; ","")&amp;IF(AND(AY50&lt;&gt;"",AS50=""),"In-house start date missing; ","")&amp;IF(AND(AY50&lt;&gt;"",AT50=""),"Qty received missing; ","")&amp;IF(AND(AY50&lt;&gt;"",BF50=""),"QC status missing; ","")&amp;IF(N(AT50)&gt;N(Q50)*1.05,"Received &gt; ordered +5%; ","")&amp;IF(AND(N(AI50)&gt;0,AE50=""),"Payment terms missing; ","")&amp;IF(N(AI50)&gt;N(AD50)+1,"Overpaid vs PO; ","")&amp;IF(AND(N(AK50)&gt;0,AY50&lt;&gt;"",AO50=""),"Payment due date missing; ","")="","OK",IF(AND(A50&lt;&gt;"",OR(B50="",C50="",E50="",F50="",H50="")),"PR info missing; ","")&amp;IF(AND(K50="Approved",OR(J50="",I50="")),"Approval ref/date missing; ","")&amp;IF(AND(O50&lt;&gt;"",K50&lt;&gt;"Approved"),"PO without approval; ","")&amp;IF(AND(O50&lt;&gt;"",OR(P50="",M50="",Q50="",S50="",T50="")),"PO details missing; ","")&amp;IF(AND(O50&lt;&gt;"",AR50=""),"Committed date missing; ","")&amp;IF(AND(ISNUMBER(J50),ISNUMBER(B50),N(J50)&lt;N(B50)),"Approval dated before PR; ","")&amp;IF(AND(ISNUMBER(P50),ISNUMBER(J50),N(P50)&lt;N(J50)),"PO dated before approval; ","")&amp;IF(AND(ISNUMBER(AY50),ISNUMBER(AS50),N(AY50)&lt;N(AS50)),"Close before in-house start; ","")&amp;IF(AND(AY50&lt;&gt;"",AS50=""),"In-house start date missing; ","")&amp;IF(AND(AY50&lt;&gt;"",AT50=""),"Qty received missing; ","")&amp;IF(AND(AY50&lt;&gt;"",BF50=""),"QC status missing; ","")&amp;IF(N(AT50)&gt;N(Q50)*1.05,"Received &gt; ordered +5%; ","")&amp;IF(AND(N(AI50)&gt;0,AE50=""),"Payment terms missing; ","")&amp;IF(N(AI50)&gt;N(AD50)+1,"Overpaid vs PO; ","")&amp;IF(AND(N(AK50)&gt;0,AY50&lt;&gt;"",AO50=""),"Payment due date missing; ","")))</f>
        <v>PR info missing; </v>
      </c>
      <c r="BK50" s="76" t="str">
        <f aca="false">IF(A50="","",IF(N(AP50)&gt;0,"Pay supplier: "&amp;N(AP50)&amp;" days overdue; ","")&amp;IF(AND(O50&lt;&gt;"",AY50="",N(BD50)&gt;0),"Expedite delivery: "&amp;N(BD50)&amp;" days late; ","")&amp;IF(AND(BI50="Awaiting Approval",ISNUMBER(B50),Settings!$B$4-N(B50)&gt;Settings!$B$19),"Get approval: PR waiting "&amp;(Settings!$B$4-N(B50))&amp;" days; ","")&amp;IF(AND(BI50="Approved - PO Pending",ISNUMBER(J50),Settings!$B$4-N(J50)&gt;Settings!$B$20),"Issue PO: approved "&amp;(Settings!$B$4-N(J50))&amp;" days ago; ","")&amp;IF(AND(OR(BI50="Awaiting Approval",BI50="Approved - PO Pending"),N(AB50)&gt;Settings!$B$7),"Negotiate price: "&amp;TEXT(AB50,"0%")&amp;" above budget; ","")&amp;IF(LEFT(AX50,12)="Short Closed","Short closed: claim balance / credit note"&amp;IF(N(AL50)&gt;0," BDT "&amp;TEXT(AL50,"#,##0"),"")&amp;"; ","")&amp;IF(BF50="Rejected","QC rejected: return / replace; ","")&amp;IF(AND(O50&lt;&gt;"",AY50="",N(AL50)&gt;0,N(BD50)&gt;0),"Advance at risk: BDT "&amp;TEXT(AL50,"#,##0")&amp;" paid, goods late; ","")&amp;IF(AND(BJ50&lt;&gt;"",BJ50&lt;&gt;"OK"),"Fix data entry (see Data Check); ",""))</f>
        <v>Fix data entry (see Data Check); </v>
      </c>
      <c r="BL50" s="73" t="str">
        <f aca="false">IF(BK50="","",IF(OR(N(AP50)&gt;30,AND(AY50="",N(BD50)&gt;15),BF50="Rejected",AND(LEFT(AX50,12)="Short Closed",N(AL50)&gt;0),AND(O50&lt;&gt;"",AY50="",N(AL50)&gt;0,N(BD50)&gt;0)),"High",IF(OR(N(AP50)&gt;0,AND(AY50="",N(BD50)&gt;7),LEFT(AX50,12)="Short Closed",AND(BI50="Awaiting Approval",ISNUMBER(B50),Settings!$B$4-N(B50)&gt;2*Settings!$B$19),AND(BI50="Approved - PO Pending",ISNUMBER(J50),Settings!$B$4-N(J50)&gt;2*Settings!$B$20)),"Medium","Low")))</f>
        <v>Low</v>
      </c>
      <c r="BM50" s="77" t="n">
        <f aca="false">IF(BL50="","",IF(BL50="High",1,IF(BL50="Medium",2,3))*10000+ROW())</f>
        <v>30050</v>
      </c>
      <c r="BN50" s="62" t="s">
        <v>407</v>
      </c>
    </row>
    <row r="51" customFormat="false" ht="18" hidden="false" customHeight="true" outlineLevel="0" collapsed="false">
      <c r="A51" s="60"/>
      <c r="B51" s="61"/>
      <c r="C51" s="62"/>
      <c r="D51" s="62"/>
      <c r="E51" s="62"/>
      <c r="F51" s="62"/>
      <c r="G51" s="62"/>
      <c r="H51" s="60"/>
      <c r="I51" s="60"/>
      <c r="J51" s="61"/>
      <c r="K51" s="60"/>
      <c r="L51" s="60"/>
      <c r="M51" s="62"/>
      <c r="N51" s="60"/>
      <c r="O51" s="60"/>
      <c r="P51" s="61"/>
      <c r="Q51" s="63"/>
      <c r="R51" s="60"/>
      <c r="S51" s="64"/>
      <c r="T51" s="60"/>
      <c r="U51" s="65" t="str">
        <f aca="false">IF(AND(T51="",S51=""),"",IF(T51="",1,IFERROR(INDEX(Settings!$B$12:$B$16,MATCH(T51,Settings!$A$12:$A$16,0)),1)))</f>
        <v/>
      </c>
      <c r="V51" s="64"/>
      <c r="W51" s="66" t="str">
        <f aca="false">IF(OR(Q51="",S51=""),"",Q51*S51*U51)</f>
        <v/>
      </c>
      <c r="X51" s="65" t="str">
        <f aca="false">IF(OR(W51="",N(Q51)=0),"",W51/Q51)</f>
        <v/>
      </c>
      <c r="Y51" s="65" t="str">
        <f aca="false">IF(OR(X51="",P51="",E51=""),"",IF(_xlfn.MAXIFS($P$6:$P$205,$E$6:$E$205,E51,$P$6:$P$205,"&lt;"&amp;P51,$X$6:$X$205,"&gt;0")=0,"",IFERROR(AVERAGEIFS($X$6:$X$205,$E$6:$E$205,E51,$P$6:$P$205,_xlfn.MAXIFS($P$6:$P$205,$E$6:$E$205,E51,$P$6:$P$205,"&lt;"&amp;P51,$X$6:$X$205,"&gt;0"),$X$6:$X$205,"&gt;0"),"")))</f>
        <v/>
      </c>
      <c r="Z51" s="67" t="str">
        <f aca="false">IF(OR(Y51="",X51=""),"",X51/Y51-1)</f>
        <v/>
      </c>
      <c r="AA51" s="68" t="str">
        <f aca="false">IF(OR(W51="",V51=""),"",W51-Q51*V51)</f>
        <v/>
      </c>
      <c r="AB51" s="69" t="str">
        <f aca="false">IF(AA51="","",IF(N(V51)*N(Q51)=0,"",AA51/(Q51*V51)))</f>
        <v/>
      </c>
      <c r="AC51" s="70"/>
      <c r="AD51" s="66" t="str">
        <f aca="false">IF(W51="","",W51*(1+N(AC51)))</f>
        <v/>
      </c>
      <c r="AE51" s="62"/>
      <c r="AF51" s="71"/>
      <c r="AG51" s="71"/>
      <c r="AH51" s="71"/>
      <c r="AI51" s="66" t="str">
        <f aca="false">IF(A51="","",N(AF51)+N(AG51)+N(AH51))</f>
        <v/>
      </c>
      <c r="AJ51" s="72" t="str">
        <f aca="false">IF(AD51="","",IF(N(AD51)=0,"",AI51/AD51))</f>
        <v/>
      </c>
      <c r="AK51" s="66" t="str">
        <f aca="false">IF(AD51="","",IF(AD51-AI51&lt;1,0,ROUND(AD51-AI51,2)))</f>
        <v/>
      </c>
      <c r="AL51" s="66" t="str">
        <f aca="false">IF(OR(O51="",AD51=""),"",MAX(0,ROUND(N(AI51)-(AD51-N(AW51)),0)))</f>
        <v/>
      </c>
      <c r="AM51" s="73" t="str">
        <f aca="false">IF(A51="","",IF(O51="","No PO Yet",IF(AI51=0,"Not Paid",IF(N(AJ51)&gt;=0.999,"Fully Paid",IF(N(AG51)+N(AH51)&gt;0,"Partially Paid","Initial / Advance Paid")))))</f>
        <v/>
      </c>
      <c r="AN51" s="61"/>
      <c r="AO51" s="61"/>
      <c r="AP51" s="74" t="str">
        <f aca="false">IF(AK51="","",IF(OR(N(AK51)=0,AO51=""),"",MAX(0,Settings!$B$4-AO51)))</f>
        <v/>
      </c>
      <c r="AQ51" s="73" t="str">
        <f aca="false">IF(AK51="","",IF(N(AK51)&lt;=0,"",IF(AO51="","No Due Date",IF(Settings!$B$4&lt;=AO51,"Not Yet Due",IF(Settings!$B$4-AO51&lt;=30,"1-30 Days",IF(Settings!$B$4-AO51&lt;=60,"31-60 Days",IF(Settings!$B$4-AO51&lt;=90,"61-90 Days","90+ Days")))))))</f>
        <v/>
      </c>
      <c r="AR51" s="61"/>
      <c r="AS51" s="61"/>
      <c r="AT51" s="63"/>
      <c r="AU51" s="72" t="str">
        <f aca="false">IF(Q51="","",IF(N(Q51)=0,"",N(AT51)/Q51))</f>
        <v/>
      </c>
      <c r="AV51" s="75" t="str">
        <f aca="false">IF(OR(A51="",O51="",Q51=""),"",MAX(0,Q51-N(AT51)))</f>
        <v/>
      </c>
      <c r="AW51" s="66" t="str">
        <f aca="false">IF(OR(AV51="",W51=""),"",IF(N(Q51)=0,0,AV51/Q51*AD51))</f>
        <v/>
      </c>
      <c r="AX51" s="76" t="str">
        <f aca="false">IF(A51="","",IF(O51="","No PO Yet",IF(Q51="","Order Qty Missing",IF(N(AT51)&gt;=Q51,IF(N(AT51)&gt;Q51,"All In-house (+"&amp;TEXT(N(AT51)-Q51,"#,##0")&amp;" "&amp;R51&amp;" excess)","All In-house"),IF(AY51&lt;&gt;"","Short Closed - "&amp;TEXT(AV51,"#,##0")&amp;" "&amp;R51&amp;" not received",IF(N(AT51)=0,"Not Started - "&amp;TEXT(AV51,"#,##0")&amp;" "&amp;R51&amp;" pending","Pending "&amp;TEXT(AV51,"#,##0")&amp;" "&amp;R51&amp;" ("&amp;TEXT(AU51,"0%")&amp;" received)"))))))</f>
        <v/>
      </c>
      <c r="AY51" s="61"/>
      <c r="AZ51" s="77" t="str">
        <f aca="false">IF(OR(B51="",J51=""),"",J51-B51)</f>
        <v/>
      </c>
      <c r="BA51" s="77" t="str">
        <f aca="false">IF(OR(J51="",P51=""),"",P51-J51)</f>
        <v/>
      </c>
      <c r="BB51" s="77" t="str">
        <f aca="false">IF(OR(P51="",AY51=""),"",AY51-P51)</f>
        <v/>
      </c>
      <c r="BC51" s="77" t="str">
        <f aca="false">IF(OR(B51="",AY51=""),"",AY51-B51)</f>
        <v/>
      </c>
      <c r="BD51" s="74" t="str">
        <f aca="false">IF(OR(AR51="",O51=""),"",MAX(0,IF(AY51="",Settings!$B$4,AY51)-AR51))</f>
        <v/>
      </c>
      <c r="BE51" s="73" t="str">
        <f aca="false">IF(OR(AY51="",AR51=""),"",IF(AND(AY51&lt;=AR51,N(AU51)&gt;=Settings!$B$6),"OTIF","Not OTIF"))</f>
        <v/>
      </c>
      <c r="BF51" s="60"/>
      <c r="BG51" s="62"/>
      <c r="BH51" s="78"/>
      <c r="BI51" s="76" t="str">
        <f aca="false">IF(A51="","",IF(K51="Rejected","Rejected",IF(K51&lt;&gt;"Approved","Awaiting Approval",IF(O51="","Approved - PO Pending",IF(AY51&lt;&gt;"",IF(N(AJ51)&gt;=0.999,"Closed","In-house Closed - Payment Due"),IF(AS51&lt;&gt;"","Receiving In-house","PO Issued - Awaiting Delivery"))))))</f>
        <v/>
      </c>
      <c r="BJ51" s="76" t="str">
        <f aca="false">IF(A51="","",IF(IF(AND(A51&lt;&gt;"",OR(B51="",C51="",E51="",F51="",H51="")),"PR info missing; ","")&amp;IF(AND(K51="Approved",OR(J51="",I51="")),"Approval ref/date missing; ","")&amp;IF(AND(O51&lt;&gt;"",K51&lt;&gt;"Approved"),"PO without approval; ","")&amp;IF(AND(O51&lt;&gt;"",OR(P51="",M51="",Q51="",S51="",T51="")),"PO details missing; ","")&amp;IF(AND(O51&lt;&gt;"",AR51=""),"Committed date missing; ","")&amp;IF(AND(ISNUMBER(J51),ISNUMBER(B51),N(J51)&lt;N(B51)),"Approval dated before PR; ","")&amp;IF(AND(ISNUMBER(P51),ISNUMBER(J51),N(P51)&lt;N(J51)),"PO dated before approval; ","")&amp;IF(AND(ISNUMBER(AY51),ISNUMBER(AS51),N(AY51)&lt;N(AS51)),"Close before in-house start; ","")&amp;IF(AND(AY51&lt;&gt;"",AS51=""),"In-house start date missing; ","")&amp;IF(AND(AY51&lt;&gt;"",AT51=""),"Qty received missing; ","")&amp;IF(AND(AY51&lt;&gt;"",BF51=""),"QC status missing; ","")&amp;IF(N(AT51)&gt;N(Q51)*1.05,"Received &gt; ordered +5%; ","")&amp;IF(AND(N(AI51)&gt;0,AE51=""),"Payment terms missing; ","")&amp;IF(N(AI51)&gt;N(AD51)+1,"Overpaid vs PO; ","")&amp;IF(AND(N(AK51)&gt;0,AY51&lt;&gt;"",AO51=""),"Payment due date missing; ","")="","OK",IF(AND(A51&lt;&gt;"",OR(B51="",C51="",E51="",F51="",H51="")),"PR info missing; ","")&amp;IF(AND(K51="Approved",OR(J51="",I51="")),"Approval ref/date missing; ","")&amp;IF(AND(O51&lt;&gt;"",K51&lt;&gt;"Approved"),"PO without approval; ","")&amp;IF(AND(O51&lt;&gt;"",OR(P51="",M51="",Q51="",S51="",T51="")),"PO details missing; ","")&amp;IF(AND(O51&lt;&gt;"",AR51=""),"Committed date missing; ","")&amp;IF(AND(ISNUMBER(J51),ISNUMBER(B51),N(J51)&lt;N(B51)),"Approval dated before PR; ","")&amp;IF(AND(ISNUMBER(P51),ISNUMBER(J51),N(P51)&lt;N(J51)),"PO dated before approval; ","")&amp;IF(AND(ISNUMBER(AY51),ISNUMBER(AS51),N(AY51)&lt;N(AS51)),"Close before in-house start; ","")&amp;IF(AND(AY51&lt;&gt;"",AS51=""),"In-house start date missing; ","")&amp;IF(AND(AY51&lt;&gt;"",AT51=""),"Qty received missing; ","")&amp;IF(AND(AY51&lt;&gt;"",BF51=""),"QC status missing; ","")&amp;IF(N(AT51)&gt;N(Q51)*1.05,"Received &gt; ordered +5%; ","")&amp;IF(AND(N(AI51)&gt;0,AE51=""),"Payment terms missing; ","")&amp;IF(N(AI51)&gt;N(AD51)+1,"Overpaid vs PO; ","")&amp;IF(AND(N(AK51)&gt;0,AY51&lt;&gt;"",AO51=""),"Payment due date missing; ","")))</f>
        <v/>
      </c>
      <c r="BK51" s="76" t="str">
        <f aca="false">IF(A51="","",IF(N(AP51)&gt;0,"Pay supplier: "&amp;N(AP51)&amp;" days overdue; ","")&amp;IF(AND(O51&lt;&gt;"",AY51="",N(BD51)&gt;0),"Expedite delivery: "&amp;N(BD51)&amp;" days late; ","")&amp;IF(AND(BI51="Awaiting Approval",ISNUMBER(B51),Settings!$B$4-N(B51)&gt;Settings!$B$19),"Get approval: PR waiting "&amp;(Settings!$B$4-N(B51))&amp;" days; ","")&amp;IF(AND(BI51="Approved - PO Pending",ISNUMBER(J51),Settings!$B$4-N(J51)&gt;Settings!$B$20),"Issue PO: approved "&amp;(Settings!$B$4-N(J51))&amp;" days ago; ","")&amp;IF(AND(OR(BI51="Awaiting Approval",BI51="Approved - PO Pending"),N(AB51)&gt;Settings!$B$7),"Negotiate price: "&amp;TEXT(AB51,"0%")&amp;" above budget; ","")&amp;IF(LEFT(AX51,12)="Short Closed","Short closed: claim balance / credit note"&amp;IF(N(AL51)&gt;0," BDT "&amp;TEXT(AL51,"#,##0"),"")&amp;"; ","")&amp;IF(BF51="Rejected","QC rejected: return / replace; ","")&amp;IF(AND(O51&lt;&gt;"",AY51="",N(AL51)&gt;0,N(BD51)&gt;0),"Advance at risk: BDT "&amp;TEXT(AL51,"#,##0")&amp;" paid, goods late; ","")&amp;IF(AND(BJ51&lt;&gt;"",BJ51&lt;&gt;"OK"),"Fix data entry (see Data Check); ",""))</f>
        <v/>
      </c>
      <c r="BL51" s="73" t="str">
        <f aca="false">IF(BK51="","",IF(OR(N(AP51)&gt;30,AND(AY51="",N(BD51)&gt;15),BF51="Rejected",AND(LEFT(AX51,12)="Short Closed",N(AL51)&gt;0),AND(O51&lt;&gt;"",AY51="",N(AL51)&gt;0,N(BD51)&gt;0)),"High",IF(OR(N(AP51)&gt;0,AND(AY51="",N(BD51)&gt;7),LEFT(AX51,12)="Short Closed",AND(BI51="Awaiting Approval",ISNUMBER(B51),Settings!$B$4-N(B51)&gt;2*Settings!$B$19),AND(BI51="Approved - PO Pending",ISNUMBER(J51),Settings!$B$4-N(J51)&gt;2*Settings!$B$20)),"Medium","Low")))</f>
        <v/>
      </c>
      <c r="BM51" s="77" t="str">
        <f aca="false">IF(BL51="","",IF(BL51="High",1,IF(BL51="Medium",2,3))*10000+ROW())</f>
        <v/>
      </c>
      <c r="BN51" s="62"/>
    </row>
    <row r="52" customFormat="false" ht="18" hidden="false" customHeight="true" outlineLevel="0" collapsed="false">
      <c r="A52" s="60"/>
      <c r="B52" s="61"/>
      <c r="C52" s="62"/>
      <c r="D52" s="62"/>
      <c r="E52" s="62"/>
      <c r="F52" s="62"/>
      <c r="G52" s="62"/>
      <c r="H52" s="60"/>
      <c r="I52" s="60"/>
      <c r="J52" s="61"/>
      <c r="K52" s="60"/>
      <c r="L52" s="60"/>
      <c r="M52" s="62"/>
      <c r="N52" s="60"/>
      <c r="O52" s="60"/>
      <c r="P52" s="61"/>
      <c r="Q52" s="63"/>
      <c r="R52" s="60"/>
      <c r="S52" s="64"/>
      <c r="T52" s="60"/>
      <c r="U52" s="65" t="str">
        <f aca="false">IF(AND(T52="",S52=""),"",IF(T52="",1,IFERROR(INDEX(Settings!$B$12:$B$16,MATCH(T52,Settings!$A$12:$A$16,0)),1)))</f>
        <v/>
      </c>
      <c r="V52" s="64"/>
      <c r="W52" s="66" t="str">
        <f aca="false">IF(OR(Q52="",S52=""),"",Q52*S52*U52)</f>
        <v/>
      </c>
      <c r="X52" s="65" t="str">
        <f aca="false">IF(OR(W52="",N(Q52)=0),"",W52/Q52)</f>
        <v/>
      </c>
      <c r="Y52" s="65" t="str">
        <f aca="false">IF(OR(X52="",P52="",E52=""),"",IF(_xlfn.MAXIFS($P$6:$P$205,$E$6:$E$205,E52,$P$6:$P$205,"&lt;"&amp;P52,$X$6:$X$205,"&gt;0")=0,"",IFERROR(AVERAGEIFS($X$6:$X$205,$E$6:$E$205,E52,$P$6:$P$205,_xlfn.MAXIFS($P$6:$P$205,$E$6:$E$205,E52,$P$6:$P$205,"&lt;"&amp;P52,$X$6:$X$205,"&gt;0"),$X$6:$X$205,"&gt;0"),"")))</f>
        <v/>
      </c>
      <c r="Z52" s="67" t="str">
        <f aca="false">IF(OR(Y52="",X52=""),"",X52/Y52-1)</f>
        <v/>
      </c>
      <c r="AA52" s="68" t="str">
        <f aca="false">IF(OR(W52="",V52=""),"",W52-Q52*V52)</f>
        <v/>
      </c>
      <c r="AB52" s="69" t="str">
        <f aca="false">IF(AA52="","",IF(N(V52)*N(Q52)=0,"",AA52/(Q52*V52)))</f>
        <v/>
      </c>
      <c r="AC52" s="70"/>
      <c r="AD52" s="66" t="str">
        <f aca="false">IF(W52="","",W52*(1+N(AC52)))</f>
        <v/>
      </c>
      <c r="AE52" s="62"/>
      <c r="AF52" s="71"/>
      <c r="AG52" s="71"/>
      <c r="AH52" s="71"/>
      <c r="AI52" s="66" t="str">
        <f aca="false">IF(A52="","",N(AF52)+N(AG52)+N(AH52))</f>
        <v/>
      </c>
      <c r="AJ52" s="72" t="str">
        <f aca="false">IF(AD52="","",IF(N(AD52)=0,"",AI52/AD52))</f>
        <v/>
      </c>
      <c r="AK52" s="66" t="str">
        <f aca="false">IF(AD52="","",IF(AD52-AI52&lt;1,0,ROUND(AD52-AI52,2)))</f>
        <v/>
      </c>
      <c r="AL52" s="66" t="str">
        <f aca="false">IF(OR(O52="",AD52=""),"",MAX(0,ROUND(N(AI52)-(AD52-N(AW52)),0)))</f>
        <v/>
      </c>
      <c r="AM52" s="73" t="str">
        <f aca="false">IF(A52="","",IF(O52="","No PO Yet",IF(AI52=0,"Not Paid",IF(N(AJ52)&gt;=0.999,"Fully Paid",IF(N(AG52)+N(AH52)&gt;0,"Partially Paid","Initial / Advance Paid")))))</f>
        <v/>
      </c>
      <c r="AN52" s="61"/>
      <c r="AO52" s="61"/>
      <c r="AP52" s="74" t="str">
        <f aca="false">IF(AK52="","",IF(OR(N(AK52)=0,AO52=""),"",MAX(0,Settings!$B$4-AO52)))</f>
        <v/>
      </c>
      <c r="AQ52" s="73" t="str">
        <f aca="false">IF(AK52="","",IF(N(AK52)&lt;=0,"",IF(AO52="","No Due Date",IF(Settings!$B$4&lt;=AO52,"Not Yet Due",IF(Settings!$B$4-AO52&lt;=30,"1-30 Days",IF(Settings!$B$4-AO52&lt;=60,"31-60 Days",IF(Settings!$B$4-AO52&lt;=90,"61-90 Days","90+ Days")))))))</f>
        <v/>
      </c>
      <c r="AR52" s="61"/>
      <c r="AS52" s="61"/>
      <c r="AT52" s="63"/>
      <c r="AU52" s="72" t="str">
        <f aca="false">IF(Q52="","",IF(N(Q52)=0,"",N(AT52)/Q52))</f>
        <v/>
      </c>
      <c r="AV52" s="75" t="str">
        <f aca="false">IF(OR(A52="",O52="",Q52=""),"",MAX(0,Q52-N(AT52)))</f>
        <v/>
      </c>
      <c r="AW52" s="66" t="str">
        <f aca="false">IF(OR(AV52="",W52=""),"",IF(N(Q52)=0,0,AV52/Q52*AD52))</f>
        <v/>
      </c>
      <c r="AX52" s="76" t="str">
        <f aca="false">IF(A52="","",IF(O52="","No PO Yet",IF(Q52="","Order Qty Missing",IF(N(AT52)&gt;=Q52,IF(N(AT52)&gt;Q52,"All In-house (+"&amp;TEXT(N(AT52)-Q52,"#,##0")&amp;" "&amp;R52&amp;" excess)","All In-house"),IF(AY52&lt;&gt;"","Short Closed - "&amp;TEXT(AV52,"#,##0")&amp;" "&amp;R52&amp;" not received",IF(N(AT52)=0,"Not Started - "&amp;TEXT(AV52,"#,##0")&amp;" "&amp;R52&amp;" pending","Pending "&amp;TEXT(AV52,"#,##0")&amp;" "&amp;R52&amp;" ("&amp;TEXT(AU52,"0%")&amp;" received)"))))))</f>
        <v/>
      </c>
      <c r="AY52" s="61"/>
      <c r="AZ52" s="77" t="str">
        <f aca="false">IF(OR(B52="",J52=""),"",J52-B52)</f>
        <v/>
      </c>
      <c r="BA52" s="77" t="str">
        <f aca="false">IF(OR(J52="",P52=""),"",P52-J52)</f>
        <v/>
      </c>
      <c r="BB52" s="77" t="str">
        <f aca="false">IF(OR(P52="",AY52=""),"",AY52-P52)</f>
        <v/>
      </c>
      <c r="BC52" s="77" t="str">
        <f aca="false">IF(OR(B52="",AY52=""),"",AY52-B52)</f>
        <v/>
      </c>
      <c r="BD52" s="74" t="str">
        <f aca="false">IF(OR(AR52="",O52=""),"",MAX(0,IF(AY52="",Settings!$B$4,AY52)-AR52))</f>
        <v/>
      </c>
      <c r="BE52" s="73" t="str">
        <f aca="false">IF(OR(AY52="",AR52=""),"",IF(AND(AY52&lt;=AR52,N(AU52)&gt;=Settings!$B$6),"OTIF","Not OTIF"))</f>
        <v/>
      </c>
      <c r="BF52" s="60"/>
      <c r="BG52" s="62"/>
      <c r="BH52" s="78"/>
      <c r="BI52" s="76" t="str">
        <f aca="false">IF(A52="","",IF(K52="Rejected","Rejected",IF(K52&lt;&gt;"Approved","Awaiting Approval",IF(O52="","Approved - PO Pending",IF(AY52&lt;&gt;"",IF(N(AJ52)&gt;=0.999,"Closed","In-house Closed - Payment Due"),IF(AS52&lt;&gt;"","Receiving In-house","PO Issued - Awaiting Delivery"))))))</f>
        <v/>
      </c>
      <c r="BJ52" s="76" t="str">
        <f aca="false">IF(A52="","",IF(IF(AND(A52&lt;&gt;"",OR(B52="",C52="",E52="",F52="",H52="")),"PR info missing; ","")&amp;IF(AND(K52="Approved",OR(J52="",I52="")),"Approval ref/date missing; ","")&amp;IF(AND(O52&lt;&gt;"",K52&lt;&gt;"Approved"),"PO without approval; ","")&amp;IF(AND(O52&lt;&gt;"",OR(P52="",M52="",Q52="",S52="",T52="")),"PO details missing; ","")&amp;IF(AND(O52&lt;&gt;"",AR52=""),"Committed date missing; ","")&amp;IF(AND(ISNUMBER(J52),ISNUMBER(B52),N(J52)&lt;N(B52)),"Approval dated before PR; ","")&amp;IF(AND(ISNUMBER(P52),ISNUMBER(J52),N(P52)&lt;N(J52)),"PO dated before approval; ","")&amp;IF(AND(ISNUMBER(AY52),ISNUMBER(AS52),N(AY52)&lt;N(AS52)),"Close before in-house start; ","")&amp;IF(AND(AY52&lt;&gt;"",AS52=""),"In-house start date missing; ","")&amp;IF(AND(AY52&lt;&gt;"",AT52=""),"Qty received missing; ","")&amp;IF(AND(AY52&lt;&gt;"",BF52=""),"QC status missing; ","")&amp;IF(N(AT52)&gt;N(Q52)*1.05,"Received &gt; ordered +5%; ","")&amp;IF(AND(N(AI52)&gt;0,AE52=""),"Payment terms missing; ","")&amp;IF(N(AI52)&gt;N(AD52)+1,"Overpaid vs PO; ","")&amp;IF(AND(N(AK52)&gt;0,AY52&lt;&gt;"",AO52=""),"Payment due date missing; ","")="","OK",IF(AND(A52&lt;&gt;"",OR(B52="",C52="",E52="",F52="",H52="")),"PR info missing; ","")&amp;IF(AND(K52="Approved",OR(J52="",I52="")),"Approval ref/date missing; ","")&amp;IF(AND(O52&lt;&gt;"",K52&lt;&gt;"Approved"),"PO without approval; ","")&amp;IF(AND(O52&lt;&gt;"",OR(P52="",M52="",Q52="",S52="",T52="")),"PO details missing; ","")&amp;IF(AND(O52&lt;&gt;"",AR52=""),"Committed date missing; ","")&amp;IF(AND(ISNUMBER(J52),ISNUMBER(B52),N(J52)&lt;N(B52)),"Approval dated before PR; ","")&amp;IF(AND(ISNUMBER(P52),ISNUMBER(J52),N(P52)&lt;N(J52)),"PO dated before approval; ","")&amp;IF(AND(ISNUMBER(AY52),ISNUMBER(AS52),N(AY52)&lt;N(AS52)),"Close before in-house start; ","")&amp;IF(AND(AY52&lt;&gt;"",AS52=""),"In-house start date missing; ","")&amp;IF(AND(AY52&lt;&gt;"",AT52=""),"Qty received missing; ","")&amp;IF(AND(AY52&lt;&gt;"",BF52=""),"QC status missing; ","")&amp;IF(N(AT52)&gt;N(Q52)*1.05,"Received &gt; ordered +5%; ","")&amp;IF(AND(N(AI52)&gt;0,AE52=""),"Payment terms missing; ","")&amp;IF(N(AI52)&gt;N(AD52)+1,"Overpaid vs PO; ","")&amp;IF(AND(N(AK52)&gt;0,AY52&lt;&gt;"",AO52=""),"Payment due date missing; ","")))</f>
        <v/>
      </c>
      <c r="BK52" s="76" t="str">
        <f aca="false">IF(A52="","",IF(N(AP52)&gt;0,"Pay supplier: "&amp;N(AP52)&amp;" days overdue; ","")&amp;IF(AND(O52&lt;&gt;"",AY52="",N(BD52)&gt;0),"Expedite delivery: "&amp;N(BD52)&amp;" days late; ","")&amp;IF(AND(BI52="Awaiting Approval",ISNUMBER(B52),Settings!$B$4-N(B52)&gt;Settings!$B$19),"Get approval: PR waiting "&amp;(Settings!$B$4-N(B52))&amp;" days; ","")&amp;IF(AND(BI52="Approved - PO Pending",ISNUMBER(J52),Settings!$B$4-N(J52)&gt;Settings!$B$20),"Issue PO: approved "&amp;(Settings!$B$4-N(J52))&amp;" days ago; ","")&amp;IF(AND(OR(BI52="Awaiting Approval",BI52="Approved - PO Pending"),N(AB52)&gt;Settings!$B$7),"Negotiate price: "&amp;TEXT(AB52,"0%")&amp;" above budget; ","")&amp;IF(LEFT(AX52,12)="Short Closed","Short closed: claim balance / credit note"&amp;IF(N(AL52)&gt;0," BDT "&amp;TEXT(AL52,"#,##0"),"")&amp;"; ","")&amp;IF(BF52="Rejected","QC rejected: return / replace; ","")&amp;IF(AND(O52&lt;&gt;"",AY52="",N(AL52)&gt;0,N(BD52)&gt;0),"Advance at risk: BDT "&amp;TEXT(AL52,"#,##0")&amp;" paid, goods late; ","")&amp;IF(AND(BJ52&lt;&gt;"",BJ52&lt;&gt;"OK"),"Fix data entry (see Data Check); ",""))</f>
        <v/>
      </c>
      <c r="BL52" s="73" t="str">
        <f aca="false">IF(BK52="","",IF(OR(N(AP52)&gt;30,AND(AY52="",N(BD52)&gt;15),BF52="Rejected",AND(LEFT(AX52,12)="Short Closed",N(AL52)&gt;0),AND(O52&lt;&gt;"",AY52="",N(AL52)&gt;0,N(BD52)&gt;0)),"High",IF(OR(N(AP52)&gt;0,AND(AY52="",N(BD52)&gt;7),LEFT(AX52,12)="Short Closed",AND(BI52="Awaiting Approval",ISNUMBER(B52),Settings!$B$4-N(B52)&gt;2*Settings!$B$19),AND(BI52="Approved - PO Pending",ISNUMBER(J52),Settings!$B$4-N(J52)&gt;2*Settings!$B$20)),"Medium","Low")))</f>
        <v/>
      </c>
      <c r="BM52" s="77" t="str">
        <f aca="false">IF(BL52="","",IF(BL52="High",1,IF(BL52="Medium",2,3))*10000+ROW())</f>
        <v/>
      </c>
      <c r="BN52" s="62"/>
    </row>
    <row r="53" customFormat="false" ht="18" hidden="false" customHeight="true" outlineLevel="0" collapsed="false">
      <c r="A53" s="60"/>
      <c r="B53" s="61"/>
      <c r="C53" s="62"/>
      <c r="D53" s="62"/>
      <c r="E53" s="62"/>
      <c r="F53" s="62"/>
      <c r="G53" s="62"/>
      <c r="H53" s="60"/>
      <c r="I53" s="60"/>
      <c r="J53" s="61"/>
      <c r="K53" s="60"/>
      <c r="L53" s="60"/>
      <c r="M53" s="62"/>
      <c r="N53" s="60"/>
      <c r="O53" s="60"/>
      <c r="P53" s="61"/>
      <c r="Q53" s="63"/>
      <c r="R53" s="60"/>
      <c r="S53" s="64"/>
      <c r="T53" s="60"/>
      <c r="U53" s="65" t="str">
        <f aca="false">IF(AND(T53="",S53=""),"",IF(T53="",1,IFERROR(INDEX(Settings!$B$12:$B$16,MATCH(T53,Settings!$A$12:$A$16,0)),1)))</f>
        <v/>
      </c>
      <c r="V53" s="64"/>
      <c r="W53" s="66" t="str">
        <f aca="false">IF(OR(Q53="",S53=""),"",Q53*S53*U53)</f>
        <v/>
      </c>
      <c r="X53" s="65" t="str">
        <f aca="false">IF(OR(W53="",N(Q53)=0),"",W53/Q53)</f>
        <v/>
      </c>
      <c r="Y53" s="65" t="str">
        <f aca="false">IF(OR(X53="",P53="",E53=""),"",IF(_xlfn.MAXIFS($P$6:$P$205,$E$6:$E$205,E53,$P$6:$P$205,"&lt;"&amp;P53,$X$6:$X$205,"&gt;0")=0,"",IFERROR(AVERAGEIFS($X$6:$X$205,$E$6:$E$205,E53,$P$6:$P$205,_xlfn.MAXIFS($P$6:$P$205,$E$6:$E$205,E53,$P$6:$P$205,"&lt;"&amp;P53,$X$6:$X$205,"&gt;0"),$X$6:$X$205,"&gt;0"),"")))</f>
        <v/>
      </c>
      <c r="Z53" s="67" t="str">
        <f aca="false">IF(OR(Y53="",X53=""),"",X53/Y53-1)</f>
        <v/>
      </c>
      <c r="AA53" s="68" t="str">
        <f aca="false">IF(OR(W53="",V53=""),"",W53-Q53*V53)</f>
        <v/>
      </c>
      <c r="AB53" s="69" t="str">
        <f aca="false">IF(AA53="","",IF(N(V53)*N(Q53)=0,"",AA53/(Q53*V53)))</f>
        <v/>
      </c>
      <c r="AC53" s="70"/>
      <c r="AD53" s="66" t="str">
        <f aca="false">IF(W53="","",W53*(1+N(AC53)))</f>
        <v/>
      </c>
      <c r="AE53" s="62"/>
      <c r="AF53" s="71"/>
      <c r="AG53" s="71"/>
      <c r="AH53" s="71"/>
      <c r="AI53" s="66" t="str">
        <f aca="false">IF(A53="","",N(AF53)+N(AG53)+N(AH53))</f>
        <v/>
      </c>
      <c r="AJ53" s="72" t="str">
        <f aca="false">IF(AD53="","",IF(N(AD53)=0,"",AI53/AD53))</f>
        <v/>
      </c>
      <c r="AK53" s="66" t="str">
        <f aca="false">IF(AD53="","",IF(AD53-AI53&lt;1,0,ROUND(AD53-AI53,2)))</f>
        <v/>
      </c>
      <c r="AL53" s="66" t="str">
        <f aca="false">IF(OR(O53="",AD53=""),"",MAX(0,ROUND(N(AI53)-(AD53-N(AW53)),0)))</f>
        <v/>
      </c>
      <c r="AM53" s="73" t="str">
        <f aca="false">IF(A53="","",IF(O53="","No PO Yet",IF(AI53=0,"Not Paid",IF(N(AJ53)&gt;=0.999,"Fully Paid",IF(N(AG53)+N(AH53)&gt;0,"Partially Paid","Initial / Advance Paid")))))</f>
        <v/>
      </c>
      <c r="AN53" s="61"/>
      <c r="AO53" s="61"/>
      <c r="AP53" s="74" t="str">
        <f aca="false">IF(AK53="","",IF(OR(N(AK53)=0,AO53=""),"",MAX(0,Settings!$B$4-AO53)))</f>
        <v/>
      </c>
      <c r="AQ53" s="73" t="str">
        <f aca="false">IF(AK53="","",IF(N(AK53)&lt;=0,"",IF(AO53="","No Due Date",IF(Settings!$B$4&lt;=AO53,"Not Yet Due",IF(Settings!$B$4-AO53&lt;=30,"1-30 Days",IF(Settings!$B$4-AO53&lt;=60,"31-60 Days",IF(Settings!$B$4-AO53&lt;=90,"61-90 Days","90+ Days")))))))</f>
        <v/>
      </c>
      <c r="AR53" s="61"/>
      <c r="AS53" s="61"/>
      <c r="AT53" s="63"/>
      <c r="AU53" s="72" t="str">
        <f aca="false">IF(Q53="","",IF(N(Q53)=0,"",N(AT53)/Q53))</f>
        <v/>
      </c>
      <c r="AV53" s="75" t="str">
        <f aca="false">IF(OR(A53="",O53="",Q53=""),"",MAX(0,Q53-N(AT53)))</f>
        <v/>
      </c>
      <c r="AW53" s="66" t="str">
        <f aca="false">IF(OR(AV53="",W53=""),"",IF(N(Q53)=0,0,AV53/Q53*AD53))</f>
        <v/>
      </c>
      <c r="AX53" s="76" t="str">
        <f aca="false">IF(A53="","",IF(O53="","No PO Yet",IF(Q53="","Order Qty Missing",IF(N(AT53)&gt;=Q53,IF(N(AT53)&gt;Q53,"All In-house (+"&amp;TEXT(N(AT53)-Q53,"#,##0")&amp;" "&amp;R53&amp;" excess)","All In-house"),IF(AY53&lt;&gt;"","Short Closed - "&amp;TEXT(AV53,"#,##0")&amp;" "&amp;R53&amp;" not received",IF(N(AT53)=0,"Not Started - "&amp;TEXT(AV53,"#,##0")&amp;" "&amp;R53&amp;" pending","Pending "&amp;TEXT(AV53,"#,##0")&amp;" "&amp;R53&amp;" ("&amp;TEXT(AU53,"0%")&amp;" received)"))))))</f>
        <v/>
      </c>
      <c r="AY53" s="61"/>
      <c r="AZ53" s="77" t="str">
        <f aca="false">IF(OR(B53="",J53=""),"",J53-B53)</f>
        <v/>
      </c>
      <c r="BA53" s="77" t="str">
        <f aca="false">IF(OR(J53="",P53=""),"",P53-J53)</f>
        <v/>
      </c>
      <c r="BB53" s="77" t="str">
        <f aca="false">IF(OR(P53="",AY53=""),"",AY53-P53)</f>
        <v/>
      </c>
      <c r="BC53" s="77" t="str">
        <f aca="false">IF(OR(B53="",AY53=""),"",AY53-B53)</f>
        <v/>
      </c>
      <c r="BD53" s="74" t="str">
        <f aca="false">IF(OR(AR53="",O53=""),"",MAX(0,IF(AY53="",Settings!$B$4,AY53)-AR53))</f>
        <v/>
      </c>
      <c r="BE53" s="73" t="str">
        <f aca="false">IF(OR(AY53="",AR53=""),"",IF(AND(AY53&lt;=AR53,N(AU53)&gt;=Settings!$B$6),"OTIF","Not OTIF"))</f>
        <v/>
      </c>
      <c r="BF53" s="60"/>
      <c r="BG53" s="62"/>
      <c r="BH53" s="78"/>
      <c r="BI53" s="76" t="str">
        <f aca="false">IF(A53="","",IF(K53="Rejected","Rejected",IF(K53&lt;&gt;"Approved","Awaiting Approval",IF(O53="","Approved - PO Pending",IF(AY53&lt;&gt;"",IF(N(AJ53)&gt;=0.999,"Closed","In-house Closed - Payment Due"),IF(AS53&lt;&gt;"","Receiving In-house","PO Issued - Awaiting Delivery"))))))</f>
        <v/>
      </c>
      <c r="BJ53" s="76" t="str">
        <f aca="false">IF(A53="","",IF(IF(AND(A53&lt;&gt;"",OR(B53="",C53="",E53="",F53="",H53="")),"PR info missing; ","")&amp;IF(AND(K53="Approved",OR(J53="",I53="")),"Approval ref/date missing; ","")&amp;IF(AND(O53&lt;&gt;"",K53&lt;&gt;"Approved"),"PO without approval; ","")&amp;IF(AND(O53&lt;&gt;"",OR(P53="",M53="",Q53="",S53="",T53="")),"PO details missing; ","")&amp;IF(AND(O53&lt;&gt;"",AR53=""),"Committed date missing; ","")&amp;IF(AND(ISNUMBER(J53),ISNUMBER(B53),N(J53)&lt;N(B53)),"Approval dated before PR; ","")&amp;IF(AND(ISNUMBER(P53),ISNUMBER(J53),N(P53)&lt;N(J53)),"PO dated before approval; ","")&amp;IF(AND(ISNUMBER(AY53),ISNUMBER(AS53),N(AY53)&lt;N(AS53)),"Close before in-house start; ","")&amp;IF(AND(AY53&lt;&gt;"",AS53=""),"In-house start date missing; ","")&amp;IF(AND(AY53&lt;&gt;"",AT53=""),"Qty received missing; ","")&amp;IF(AND(AY53&lt;&gt;"",BF53=""),"QC status missing; ","")&amp;IF(N(AT53)&gt;N(Q53)*1.05,"Received &gt; ordered +5%; ","")&amp;IF(AND(N(AI53)&gt;0,AE53=""),"Payment terms missing; ","")&amp;IF(N(AI53)&gt;N(AD53)+1,"Overpaid vs PO; ","")&amp;IF(AND(N(AK53)&gt;0,AY53&lt;&gt;"",AO53=""),"Payment due date missing; ","")="","OK",IF(AND(A53&lt;&gt;"",OR(B53="",C53="",E53="",F53="",H53="")),"PR info missing; ","")&amp;IF(AND(K53="Approved",OR(J53="",I53="")),"Approval ref/date missing; ","")&amp;IF(AND(O53&lt;&gt;"",K53&lt;&gt;"Approved"),"PO without approval; ","")&amp;IF(AND(O53&lt;&gt;"",OR(P53="",M53="",Q53="",S53="",T53="")),"PO details missing; ","")&amp;IF(AND(O53&lt;&gt;"",AR53=""),"Committed date missing; ","")&amp;IF(AND(ISNUMBER(J53),ISNUMBER(B53),N(J53)&lt;N(B53)),"Approval dated before PR; ","")&amp;IF(AND(ISNUMBER(P53),ISNUMBER(J53),N(P53)&lt;N(J53)),"PO dated before approval; ","")&amp;IF(AND(ISNUMBER(AY53),ISNUMBER(AS53),N(AY53)&lt;N(AS53)),"Close before in-house start; ","")&amp;IF(AND(AY53&lt;&gt;"",AS53=""),"In-house start date missing; ","")&amp;IF(AND(AY53&lt;&gt;"",AT53=""),"Qty received missing; ","")&amp;IF(AND(AY53&lt;&gt;"",BF53=""),"QC status missing; ","")&amp;IF(N(AT53)&gt;N(Q53)*1.05,"Received &gt; ordered +5%; ","")&amp;IF(AND(N(AI53)&gt;0,AE53=""),"Payment terms missing; ","")&amp;IF(N(AI53)&gt;N(AD53)+1,"Overpaid vs PO; ","")&amp;IF(AND(N(AK53)&gt;0,AY53&lt;&gt;"",AO53=""),"Payment due date missing; ","")))</f>
        <v/>
      </c>
      <c r="BK53" s="76" t="str">
        <f aca="false">IF(A53="","",IF(N(AP53)&gt;0,"Pay supplier: "&amp;N(AP53)&amp;" days overdue; ","")&amp;IF(AND(O53&lt;&gt;"",AY53="",N(BD53)&gt;0),"Expedite delivery: "&amp;N(BD53)&amp;" days late; ","")&amp;IF(AND(BI53="Awaiting Approval",ISNUMBER(B53),Settings!$B$4-N(B53)&gt;Settings!$B$19),"Get approval: PR waiting "&amp;(Settings!$B$4-N(B53))&amp;" days; ","")&amp;IF(AND(BI53="Approved - PO Pending",ISNUMBER(J53),Settings!$B$4-N(J53)&gt;Settings!$B$20),"Issue PO: approved "&amp;(Settings!$B$4-N(J53))&amp;" days ago; ","")&amp;IF(AND(OR(BI53="Awaiting Approval",BI53="Approved - PO Pending"),N(AB53)&gt;Settings!$B$7),"Negotiate price: "&amp;TEXT(AB53,"0%")&amp;" above budget; ","")&amp;IF(LEFT(AX53,12)="Short Closed","Short closed: claim balance / credit note"&amp;IF(N(AL53)&gt;0," BDT "&amp;TEXT(AL53,"#,##0"),"")&amp;"; ","")&amp;IF(BF53="Rejected","QC rejected: return / replace; ","")&amp;IF(AND(O53&lt;&gt;"",AY53="",N(AL53)&gt;0,N(BD53)&gt;0),"Advance at risk: BDT "&amp;TEXT(AL53,"#,##0")&amp;" paid, goods late; ","")&amp;IF(AND(BJ53&lt;&gt;"",BJ53&lt;&gt;"OK"),"Fix data entry (see Data Check); ",""))</f>
        <v/>
      </c>
      <c r="BL53" s="73" t="str">
        <f aca="false">IF(BK53="","",IF(OR(N(AP53)&gt;30,AND(AY53="",N(BD53)&gt;15),BF53="Rejected",AND(LEFT(AX53,12)="Short Closed",N(AL53)&gt;0),AND(O53&lt;&gt;"",AY53="",N(AL53)&gt;0,N(BD53)&gt;0)),"High",IF(OR(N(AP53)&gt;0,AND(AY53="",N(BD53)&gt;7),LEFT(AX53,12)="Short Closed",AND(BI53="Awaiting Approval",ISNUMBER(B53),Settings!$B$4-N(B53)&gt;2*Settings!$B$19),AND(BI53="Approved - PO Pending",ISNUMBER(J53),Settings!$B$4-N(J53)&gt;2*Settings!$B$20)),"Medium","Low")))</f>
        <v/>
      </c>
      <c r="BM53" s="77" t="str">
        <f aca="false">IF(BL53="","",IF(BL53="High",1,IF(BL53="Medium",2,3))*10000+ROW())</f>
        <v/>
      </c>
      <c r="BN53" s="62"/>
    </row>
    <row r="54" customFormat="false" ht="18" hidden="false" customHeight="true" outlineLevel="0" collapsed="false">
      <c r="A54" s="60"/>
      <c r="B54" s="61"/>
      <c r="C54" s="62"/>
      <c r="D54" s="62"/>
      <c r="E54" s="62"/>
      <c r="F54" s="62"/>
      <c r="G54" s="62"/>
      <c r="H54" s="60"/>
      <c r="I54" s="60"/>
      <c r="J54" s="61"/>
      <c r="K54" s="60"/>
      <c r="L54" s="60"/>
      <c r="M54" s="62"/>
      <c r="N54" s="60"/>
      <c r="O54" s="60"/>
      <c r="P54" s="61"/>
      <c r="Q54" s="63"/>
      <c r="R54" s="60"/>
      <c r="S54" s="64"/>
      <c r="T54" s="60"/>
      <c r="U54" s="65" t="str">
        <f aca="false">IF(AND(T54="",S54=""),"",IF(T54="",1,IFERROR(INDEX(Settings!$B$12:$B$16,MATCH(T54,Settings!$A$12:$A$16,0)),1)))</f>
        <v/>
      </c>
      <c r="V54" s="64"/>
      <c r="W54" s="66" t="str">
        <f aca="false">IF(OR(Q54="",S54=""),"",Q54*S54*U54)</f>
        <v/>
      </c>
      <c r="X54" s="65" t="str">
        <f aca="false">IF(OR(W54="",N(Q54)=0),"",W54/Q54)</f>
        <v/>
      </c>
      <c r="Y54" s="65" t="str">
        <f aca="false">IF(OR(X54="",P54="",E54=""),"",IF(_xlfn.MAXIFS($P$6:$P$205,$E$6:$E$205,E54,$P$6:$P$205,"&lt;"&amp;P54,$X$6:$X$205,"&gt;0")=0,"",IFERROR(AVERAGEIFS($X$6:$X$205,$E$6:$E$205,E54,$P$6:$P$205,_xlfn.MAXIFS($P$6:$P$205,$E$6:$E$205,E54,$P$6:$P$205,"&lt;"&amp;P54,$X$6:$X$205,"&gt;0"),$X$6:$X$205,"&gt;0"),"")))</f>
        <v/>
      </c>
      <c r="Z54" s="67" t="str">
        <f aca="false">IF(OR(Y54="",X54=""),"",X54/Y54-1)</f>
        <v/>
      </c>
      <c r="AA54" s="68" t="str">
        <f aca="false">IF(OR(W54="",V54=""),"",W54-Q54*V54)</f>
        <v/>
      </c>
      <c r="AB54" s="69" t="str">
        <f aca="false">IF(AA54="","",IF(N(V54)*N(Q54)=0,"",AA54/(Q54*V54)))</f>
        <v/>
      </c>
      <c r="AC54" s="70"/>
      <c r="AD54" s="66" t="str">
        <f aca="false">IF(W54="","",W54*(1+N(AC54)))</f>
        <v/>
      </c>
      <c r="AE54" s="62"/>
      <c r="AF54" s="71"/>
      <c r="AG54" s="71"/>
      <c r="AH54" s="71"/>
      <c r="AI54" s="66" t="str">
        <f aca="false">IF(A54="","",N(AF54)+N(AG54)+N(AH54))</f>
        <v/>
      </c>
      <c r="AJ54" s="72" t="str">
        <f aca="false">IF(AD54="","",IF(N(AD54)=0,"",AI54/AD54))</f>
        <v/>
      </c>
      <c r="AK54" s="66" t="str">
        <f aca="false">IF(AD54="","",IF(AD54-AI54&lt;1,0,ROUND(AD54-AI54,2)))</f>
        <v/>
      </c>
      <c r="AL54" s="66" t="str">
        <f aca="false">IF(OR(O54="",AD54=""),"",MAX(0,ROUND(N(AI54)-(AD54-N(AW54)),0)))</f>
        <v/>
      </c>
      <c r="AM54" s="73" t="str">
        <f aca="false">IF(A54="","",IF(O54="","No PO Yet",IF(AI54=0,"Not Paid",IF(N(AJ54)&gt;=0.999,"Fully Paid",IF(N(AG54)+N(AH54)&gt;0,"Partially Paid","Initial / Advance Paid")))))</f>
        <v/>
      </c>
      <c r="AN54" s="61"/>
      <c r="AO54" s="61"/>
      <c r="AP54" s="74" t="str">
        <f aca="false">IF(AK54="","",IF(OR(N(AK54)=0,AO54=""),"",MAX(0,Settings!$B$4-AO54)))</f>
        <v/>
      </c>
      <c r="AQ54" s="73" t="str">
        <f aca="false">IF(AK54="","",IF(N(AK54)&lt;=0,"",IF(AO54="","No Due Date",IF(Settings!$B$4&lt;=AO54,"Not Yet Due",IF(Settings!$B$4-AO54&lt;=30,"1-30 Days",IF(Settings!$B$4-AO54&lt;=60,"31-60 Days",IF(Settings!$B$4-AO54&lt;=90,"61-90 Days","90+ Days")))))))</f>
        <v/>
      </c>
      <c r="AR54" s="61"/>
      <c r="AS54" s="61"/>
      <c r="AT54" s="63"/>
      <c r="AU54" s="72" t="str">
        <f aca="false">IF(Q54="","",IF(N(Q54)=0,"",N(AT54)/Q54))</f>
        <v/>
      </c>
      <c r="AV54" s="75" t="str">
        <f aca="false">IF(OR(A54="",O54="",Q54=""),"",MAX(0,Q54-N(AT54)))</f>
        <v/>
      </c>
      <c r="AW54" s="66" t="str">
        <f aca="false">IF(OR(AV54="",W54=""),"",IF(N(Q54)=0,0,AV54/Q54*AD54))</f>
        <v/>
      </c>
      <c r="AX54" s="76" t="str">
        <f aca="false">IF(A54="","",IF(O54="","No PO Yet",IF(Q54="","Order Qty Missing",IF(N(AT54)&gt;=Q54,IF(N(AT54)&gt;Q54,"All In-house (+"&amp;TEXT(N(AT54)-Q54,"#,##0")&amp;" "&amp;R54&amp;" excess)","All In-house"),IF(AY54&lt;&gt;"","Short Closed - "&amp;TEXT(AV54,"#,##0")&amp;" "&amp;R54&amp;" not received",IF(N(AT54)=0,"Not Started - "&amp;TEXT(AV54,"#,##0")&amp;" "&amp;R54&amp;" pending","Pending "&amp;TEXT(AV54,"#,##0")&amp;" "&amp;R54&amp;" ("&amp;TEXT(AU54,"0%")&amp;" received)"))))))</f>
        <v/>
      </c>
      <c r="AY54" s="61"/>
      <c r="AZ54" s="77" t="str">
        <f aca="false">IF(OR(B54="",J54=""),"",J54-B54)</f>
        <v/>
      </c>
      <c r="BA54" s="77" t="str">
        <f aca="false">IF(OR(J54="",P54=""),"",P54-J54)</f>
        <v/>
      </c>
      <c r="BB54" s="77" t="str">
        <f aca="false">IF(OR(P54="",AY54=""),"",AY54-P54)</f>
        <v/>
      </c>
      <c r="BC54" s="77" t="str">
        <f aca="false">IF(OR(B54="",AY54=""),"",AY54-B54)</f>
        <v/>
      </c>
      <c r="BD54" s="74" t="str">
        <f aca="false">IF(OR(AR54="",O54=""),"",MAX(0,IF(AY54="",Settings!$B$4,AY54)-AR54))</f>
        <v/>
      </c>
      <c r="BE54" s="73" t="str">
        <f aca="false">IF(OR(AY54="",AR54=""),"",IF(AND(AY54&lt;=AR54,N(AU54)&gt;=Settings!$B$6),"OTIF","Not OTIF"))</f>
        <v/>
      </c>
      <c r="BF54" s="60"/>
      <c r="BG54" s="62"/>
      <c r="BH54" s="78"/>
      <c r="BI54" s="76" t="str">
        <f aca="false">IF(A54="","",IF(K54="Rejected","Rejected",IF(K54&lt;&gt;"Approved","Awaiting Approval",IF(O54="","Approved - PO Pending",IF(AY54&lt;&gt;"",IF(N(AJ54)&gt;=0.999,"Closed","In-house Closed - Payment Due"),IF(AS54&lt;&gt;"","Receiving In-house","PO Issued - Awaiting Delivery"))))))</f>
        <v/>
      </c>
      <c r="BJ54" s="76" t="str">
        <f aca="false">IF(A54="","",IF(IF(AND(A54&lt;&gt;"",OR(B54="",C54="",E54="",F54="",H54="")),"PR info missing; ","")&amp;IF(AND(K54="Approved",OR(J54="",I54="")),"Approval ref/date missing; ","")&amp;IF(AND(O54&lt;&gt;"",K54&lt;&gt;"Approved"),"PO without approval; ","")&amp;IF(AND(O54&lt;&gt;"",OR(P54="",M54="",Q54="",S54="",T54="")),"PO details missing; ","")&amp;IF(AND(O54&lt;&gt;"",AR54=""),"Committed date missing; ","")&amp;IF(AND(ISNUMBER(J54),ISNUMBER(B54),N(J54)&lt;N(B54)),"Approval dated before PR; ","")&amp;IF(AND(ISNUMBER(P54),ISNUMBER(J54),N(P54)&lt;N(J54)),"PO dated before approval; ","")&amp;IF(AND(ISNUMBER(AY54),ISNUMBER(AS54),N(AY54)&lt;N(AS54)),"Close before in-house start; ","")&amp;IF(AND(AY54&lt;&gt;"",AS54=""),"In-house start date missing; ","")&amp;IF(AND(AY54&lt;&gt;"",AT54=""),"Qty received missing; ","")&amp;IF(AND(AY54&lt;&gt;"",BF54=""),"QC status missing; ","")&amp;IF(N(AT54)&gt;N(Q54)*1.05,"Received &gt; ordered +5%; ","")&amp;IF(AND(N(AI54)&gt;0,AE54=""),"Payment terms missing; ","")&amp;IF(N(AI54)&gt;N(AD54)+1,"Overpaid vs PO; ","")&amp;IF(AND(N(AK54)&gt;0,AY54&lt;&gt;"",AO54=""),"Payment due date missing; ","")="","OK",IF(AND(A54&lt;&gt;"",OR(B54="",C54="",E54="",F54="",H54="")),"PR info missing; ","")&amp;IF(AND(K54="Approved",OR(J54="",I54="")),"Approval ref/date missing; ","")&amp;IF(AND(O54&lt;&gt;"",K54&lt;&gt;"Approved"),"PO without approval; ","")&amp;IF(AND(O54&lt;&gt;"",OR(P54="",M54="",Q54="",S54="",T54="")),"PO details missing; ","")&amp;IF(AND(O54&lt;&gt;"",AR54=""),"Committed date missing; ","")&amp;IF(AND(ISNUMBER(J54),ISNUMBER(B54),N(J54)&lt;N(B54)),"Approval dated before PR; ","")&amp;IF(AND(ISNUMBER(P54),ISNUMBER(J54),N(P54)&lt;N(J54)),"PO dated before approval; ","")&amp;IF(AND(ISNUMBER(AY54),ISNUMBER(AS54),N(AY54)&lt;N(AS54)),"Close before in-house start; ","")&amp;IF(AND(AY54&lt;&gt;"",AS54=""),"In-house start date missing; ","")&amp;IF(AND(AY54&lt;&gt;"",AT54=""),"Qty received missing; ","")&amp;IF(AND(AY54&lt;&gt;"",BF54=""),"QC status missing; ","")&amp;IF(N(AT54)&gt;N(Q54)*1.05,"Received &gt; ordered +5%; ","")&amp;IF(AND(N(AI54)&gt;0,AE54=""),"Payment terms missing; ","")&amp;IF(N(AI54)&gt;N(AD54)+1,"Overpaid vs PO; ","")&amp;IF(AND(N(AK54)&gt;0,AY54&lt;&gt;"",AO54=""),"Payment due date missing; ","")))</f>
        <v/>
      </c>
      <c r="BK54" s="76" t="str">
        <f aca="false">IF(A54="","",IF(N(AP54)&gt;0,"Pay supplier: "&amp;N(AP54)&amp;" days overdue; ","")&amp;IF(AND(O54&lt;&gt;"",AY54="",N(BD54)&gt;0),"Expedite delivery: "&amp;N(BD54)&amp;" days late; ","")&amp;IF(AND(BI54="Awaiting Approval",ISNUMBER(B54),Settings!$B$4-N(B54)&gt;Settings!$B$19),"Get approval: PR waiting "&amp;(Settings!$B$4-N(B54))&amp;" days; ","")&amp;IF(AND(BI54="Approved - PO Pending",ISNUMBER(J54),Settings!$B$4-N(J54)&gt;Settings!$B$20),"Issue PO: approved "&amp;(Settings!$B$4-N(J54))&amp;" days ago; ","")&amp;IF(AND(OR(BI54="Awaiting Approval",BI54="Approved - PO Pending"),N(AB54)&gt;Settings!$B$7),"Negotiate price: "&amp;TEXT(AB54,"0%")&amp;" above budget; ","")&amp;IF(LEFT(AX54,12)="Short Closed","Short closed: claim balance / credit note"&amp;IF(N(AL54)&gt;0," BDT "&amp;TEXT(AL54,"#,##0"),"")&amp;"; ","")&amp;IF(BF54="Rejected","QC rejected: return / replace; ","")&amp;IF(AND(O54&lt;&gt;"",AY54="",N(AL54)&gt;0,N(BD54)&gt;0),"Advance at risk: BDT "&amp;TEXT(AL54,"#,##0")&amp;" paid, goods late; ","")&amp;IF(AND(BJ54&lt;&gt;"",BJ54&lt;&gt;"OK"),"Fix data entry (see Data Check); ",""))</f>
        <v/>
      </c>
      <c r="BL54" s="73" t="str">
        <f aca="false">IF(BK54="","",IF(OR(N(AP54)&gt;30,AND(AY54="",N(BD54)&gt;15),BF54="Rejected",AND(LEFT(AX54,12)="Short Closed",N(AL54)&gt;0),AND(O54&lt;&gt;"",AY54="",N(AL54)&gt;0,N(BD54)&gt;0)),"High",IF(OR(N(AP54)&gt;0,AND(AY54="",N(BD54)&gt;7),LEFT(AX54,12)="Short Closed",AND(BI54="Awaiting Approval",ISNUMBER(B54),Settings!$B$4-N(B54)&gt;2*Settings!$B$19),AND(BI54="Approved - PO Pending",ISNUMBER(J54),Settings!$B$4-N(J54)&gt;2*Settings!$B$20)),"Medium","Low")))</f>
        <v/>
      </c>
      <c r="BM54" s="77" t="str">
        <f aca="false">IF(BL54="","",IF(BL54="High",1,IF(BL54="Medium",2,3))*10000+ROW())</f>
        <v/>
      </c>
      <c r="BN54" s="62"/>
    </row>
    <row r="55" customFormat="false" ht="18" hidden="false" customHeight="true" outlineLevel="0" collapsed="false">
      <c r="A55" s="60"/>
      <c r="B55" s="61"/>
      <c r="C55" s="62"/>
      <c r="D55" s="62"/>
      <c r="E55" s="62"/>
      <c r="F55" s="62"/>
      <c r="G55" s="62"/>
      <c r="H55" s="60"/>
      <c r="I55" s="60"/>
      <c r="J55" s="61"/>
      <c r="K55" s="60"/>
      <c r="L55" s="60"/>
      <c r="M55" s="62"/>
      <c r="N55" s="60"/>
      <c r="O55" s="60"/>
      <c r="P55" s="61"/>
      <c r="Q55" s="63"/>
      <c r="R55" s="60"/>
      <c r="S55" s="64"/>
      <c r="T55" s="60"/>
      <c r="U55" s="65" t="str">
        <f aca="false">IF(AND(T55="",S55=""),"",IF(T55="",1,IFERROR(INDEX(Settings!$B$12:$B$16,MATCH(T55,Settings!$A$12:$A$16,0)),1)))</f>
        <v/>
      </c>
      <c r="V55" s="64"/>
      <c r="W55" s="66" t="str">
        <f aca="false">IF(OR(Q55="",S55=""),"",Q55*S55*U55)</f>
        <v/>
      </c>
      <c r="X55" s="65" t="str">
        <f aca="false">IF(OR(W55="",N(Q55)=0),"",W55/Q55)</f>
        <v/>
      </c>
      <c r="Y55" s="65" t="str">
        <f aca="false">IF(OR(X55="",P55="",E55=""),"",IF(_xlfn.MAXIFS($P$6:$P$205,$E$6:$E$205,E55,$P$6:$P$205,"&lt;"&amp;P55,$X$6:$X$205,"&gt;0")=0,"",IFERROR(AVERAGEIFS($X$6:$X$205,$E$6:$E$205,E55,$P$6:$P$205,_xlfn.MAXIFS($P$6:$P$205,$E$6:$E$205,E55,$P$6:$P$205,"&lt;"&amp;P55,$X$6:$X$205,"&gt;0"),$X$6:$X$205,"&gt;0"),"")))</f>
        <v/>
      </c>
      <c r="Z55" s="67" t="str">
        <f aca="false">IF(OR(Y55="",X55=""),"",X55/Y55-1)</f>
        <v/>
      </c>
      <c r="AA55" s="68" t="str">
        <f aca="false">IF(OR(W55="",V55=""),"",W55-Q55*V55)</f>
        <v/>
      </c>
      <c r="AB55" s="69" t="str">
        <f aca="false">IF(AA55="","",IF(N(V55)*N(Q55)=0,"",AA55/(Q55*V55)))</f>
        <v/>
      </c>
      <c r="AC55" s="70"/>
      <c r="AD55" s="66" t="str">
        <f aca="false">IF(W55="","",W55*(1+N(AC55)))</f>
        <v/>
      </c>
      <c r="AE55" s="62"/>
      <c r="AF55" s="71"/>
      <c r="AG55" s="71"/>
      <c r="AH55" s="71"/>
      <c r="AI55" s="66" t="str">
        <f aca="false">IF(A55="","",N(AF55)+N(AG55)+N(AH55))</f>
        <v/>
      </c>
      <c r="AJ55" s="72" t="str">
        <f aca="false">IF(AD55="","",IF(N(AD55)=0,"",AI55/AD55))</f>
        <v/>
      </c>
      <c r="AK55" s="66" t="str">
        <f aca="false">IF(AD55="","",IF(AD55-AI55&lt;1,0,ROUND(AD55-AI55,2)))</f>
        <v/>
      </c>
      <c r="AL55" s="66" t="str">
        <f aca="false">IF(OR(O55="",AD55=""),"",MAX(0,ROUND(N(AI55)-(AD55-N(AW55)),0)))</f>
        <v/>
      </c>
      <c r="AM55" s="73" t="str">
        <f aca="false">IF(A55="","",IF(O55="","No PO Yet",IF(AI55=0,"Not Paid",IF(N(AJ55)&gt;=0.999,"Fully Paid",IF(N(AG55)+N(AH55)&gt;0,"Partially Paid","Initial / Advance Paid")))))</f>
        <v/>
      </c>
      <c r="AN55" s="61"/>
      <c r="AO55" s="61"/>
      <c r="AP55" s="74" t="str">
        <f aca="false">IF(AK55="","",IF(OR(N(AK55)=0,AO55=""),"",MAX(0,Settings!$B$4-AO55)))</f>
        <v/>
      </c>
      <c r="AQ55" s="73" t="str">
        <f aca="false">IF(AK55="","",IF(N(AK55)&lt;=0,"",IF(AO55="","No Due Date",IF(Settings!$B$4&lt;=AO55,"Not Yet Due",IF(Settings!$B$4-AO55&lt;=30,"1-30 Days",IF(Settings!$B$4-AO55&lt;=60,"31-60 Days",IF(Settings!$B$4-AO55&lt;=90,"61-90 Days","90+ Days")))))))</f>
        <v/>
      </c>
      <c r="AR55" s="61"/>
      <c r="AS55" s="61"/>
      <c r="AT55" s="63"/>
      <c r="AU55" s="72" t="str">
        <f aca="false">IF(Q55="","",IF(N(Q55)=0,"",N(AT55)/Q55))</f>
        <v/>
      </c>
      <c r="AV55" s="75" t="str">
        <f aca="false">IF(OR(A55="",O55="",Q55=""),"",MAX(0,Q55-N(AT55)))</f>
        <v/>
      </c>
      <c r="AW55" s="66" t="str">
        <f aca="false">IF(OR(AV55="",W55=""),"",IF(N(Q55)=0,0,AV55/Q55*AD55))</f>
        <v/>
      </c>
      <c r="AX55" s="76" t="str">
        <f aca="false">IF(A55="","",IF(O55="","No PO Yet",IF(Q55="","Order Qty Missing",IF(N(AT55)&gt;=Q55,IF(N(AT55)&gt;Q55,"All In-house (+"&amp;TEXT(N(AT55)-Q55,"#,##0")&amp;" "&amp;R55&amp;" excess)","All In-house"),IF(AY55&lt;&gt;"","Short Closed - "&amp;TEXT(AV55,"#,##0")&amp;" "&amp;R55&amp;" not received",IF(N(AT55)=0,"Not Started - "&amp;TEXT(AV55,"#,##0")&amp;" "&amp;R55&amp;" pending","Pending "&amp;TEXT(AV55,"#,##0")&amp;" "&amp;R55&amp;" ("&amp;TEXT(AU55,"0%")&amp;" received)"))))))</f>
        <v/>
      </c>
      <c r="AY55" s="61"/>
      <c r="AZ55" s="77" t="str">
        <f aca="false">IF(OR(B55="",J55=""),"",J55-B55)</f>
        <v/>
      </c>
      <c r="BA55" s="77" t="str">
        <f aca="false">IF(OR(J55="",P55=""),"",P55-J55)</f>
        <v/>
      </c>
      <c r="BB55" s="77" t="str">
        <f aca="false">IF(OR(P55="",AY55=""),"",AY55-P55)</f>
        <v/>
      </c>
      <c r="BC55" s="77" t="str">
        <f aca="false">IF(OR(B55="",AY55=""),"",AY55-B55)</f>
        <v/>
      </c>
      <c r="BD55" s="74" t="str">
        <f aca="false">IF(OR(AR55="",O55=""),"",MAX(0,IF(AY55="",Settings!$B$4,AY55)-AR55))</f>
        <v/>
      </c>
      <c r="BE55" s="73" t="str">
        <f aca="false">IF(OR(AY55="",AR55=""),"",IF(AND(AY55&lt;=AR55,N(AU55)&gt;=Settings!$B$6),"OTIF","Not OTIF"))</f>
        <v/>
      </c>
      <c r="BF55" s="60"/>
      <c r="BG55" s="62"/>
      <c r="BH55" s="78"/>
      <c r="BI55" s="76" t="str">
        <f aca="false">IF(A55="","",IF(K55="Rejected","Rejected",IF(K55&lt;&gt;"Approved","Awaiting Approval",IF(O55="","Approved - PO Pending",IF(AY55&lt;&gt;"",IF(N(AJ55)&gt;=0.999,"Closed","In-house Closed - Payment Due"),IF(AS55&lt;&gt;"","Receiving In-house","PO Issued - Awaiting Delivery"))))))</f>
        <v/>
      </c>
      <c r="BJ55" s="76" t="str">
        <f aca="false">IF(A55="","",IF(IF(AND(A55&lt;&gt;"",OR(B55="",C55="",E55="",F55="",H55="")),"PR info missing; ","")&amp;IF(AND(K55="Approved",OR(J55="",I55="")),"Approval ref/date missing; ","")&amp;IF(AND(O55&lt;&gt;"",K55&lt;&gt;"Approved"),"PO without approval; ","")&amp;IF(AND(O55&lt;&gt;"",OR(P55="",M55="",Q55="",S55="",T55="")),"PO details missing; ","")&amp;IF(AND(O55&lt;&gt;"",AR55=""),"Committed date missing; ","")&amp;IF(AND(ISNUMBER(J55),ISNUMBER(B55),N(J55)&lt;N(B55)),"Approval dated before PR; ","")&amp;IF(AND(ISNUMBER(P55),ISNUMBER(J55),N(P55)&lt;N(J55)),"PO dated before approval; ","")&amp;IF(AND(ISNUMBER(AY55),ISNUMBER(AS55),N(AY55)&lt;N(AS55)),"Close before in-house start; ","")&amp;IF(AND(AY55&lt;&gt;"",AS55=""),"In-house start date missing; ","")&amp;IF(AND(AY55&lt;&gt;"",AT55=""),"Qty received missing; ","")&amp;IF(AND(AY55&lt;&gt;"",BF55=""),"QC status missing; ","")&amp;IF(N(AT55)&gt;N(Q55)*1.05,"Received &gt; ordered +5%; ","")&amp;IF(AND(N(AI55)&gt;0,AE55=""),"Payment terms missing; ","")&amp;IF(N(AI55)&gt;N(AD55)+1,"Overpaid vs PO; ","")&amp;IF(AND(N(AK55)&gt;0,AY55&lt;&gt;"",AO55=""),"Payment due date missing; ","")="","OK",IF(AND(A55&lt;&gt;"",OR(B55="",C55="",E55="",F55="",H55="")),"PR info missing; ","")&amp;IF(AND(K55="Approved",OR(J55="",I55="")),"Approval ref/date missing; ","")&amp;IF(AND(O55&lt;&gt;"",K55&lt;&gt;"Approved"),"PO without approval; ","")&amp;IF(AND(O55&lt;&gt;"",OR(P55="",M55="",Q55="",S55="",T55="")),"PO details missing; ","")&amp;IF(AND(O55&lt;&gt;"",AR55=""),"Committed date missing; ","")&amp;IF(AND(ISNUMBER(J55),ISNUMBER(B55),N(J55)&lt;N(B55)),"Approval dated before PR; ","")&amp;IF(AND(ISNUMBER(P55),ISNUMBER(J55),N(P55)&lt;N(J55)),"PO dated before approval; ","")&amp;IF(AND(ISNUMBER(AY55),ISNUMBER(AS55),N(AY55)&lt;N(AS55)),"Close before in-house start; ","")&amp;IF(AND(AY55&lt;&gt;"",AS55=""),"In-house start date missing; ","")&amp;IF(AND(AY55&lt;&gt;"",AT55=""),"Qty received missing; ","")&amp;IF(AND(AY55&lt;&gt;"",BF55=""),"QC status missing; ","")&amp;IF(N(AT55)&gt;N(Q55)*1.05,"Received &gt; ordered +5%; ","")&amp;IF(AND(N(AI55)&gt;0,AE55=""),"Payment terms missing; ","")&amp;IF(N(AI55)&gt;N(AD55)+1,"Overpaid vs PO; ","")&amp;IF(AND(N(AK55)&gt;0,AY55&lt;&gt;"",AO55=""),"Payment due date missing; ","")))</f>
        <v/>
      </c>
      <c r="BK55" s="76" t="str">
        <f aca="false">IF(A55="","",IF(N(AP55)&gt;0,"Pay supplier: "&amp;N(AP55)&amp;" days overdue; ","")&amp;IF(AND(O55&lt;&gt;"",AY55="",N(BD55)&gt;0),"Expedite delivery: "&amp;N(BD55)&amp;" days late; ","")&amp;IF(AND(BI55="Awaiting Approval",ISNUMBER(B55),Settings!$B$4-N(B55)&gt;Settings!$B$19),"Get approval: PR waiting "&amp;(Settings!$B$4-N(B55))&amp;" days; ","")&amp;IF(AND(BI55="Approved - PO Pending",ISNUMBER(J55),Settings!$B$4-N(J55)&gt;Settings!$B$20),"Issue PO: approved "&amp;(Settings!$B$4-N(J55))&amp;" days ago; ","")&amp;IF(AND(OR(BI55="Awaiting Approval",BI55="Approved - PO Pending"),N(AB55)&gt;Settings!$B$7),"Negotiate price: "&amp;TEXT(AB55,"0%")&amp;" above budget; ","")&amp;IF(LEFT(AX55,12)="Short Closed","Short closed: claim balance / credit note"&amp;IF(N(AL55)&gt;0," BDT "&amp;TEXT(AL55,"#,##0"),"")&amp;"; ","")&amp;IF(BF55="Rejected","QC rejected: return / replace; ","")&amp;IF(AND(O55&lt;&gt;"",AY55="",N(AL55)&gt;0,N(BD55)&gt;0),"Advance at risk: BDT "&amp;TEXT(AL55,"#,##0")&amp;" paid, goods late; ","")&amp;IF(AND(BJ55&lt;&gt;"",BJ55&lt;&gt;"OK"),"Fix data entry (see Data Check); ",""))</f>
        <v/>
      </c>
      <c r="BL55" s="73" t="str">
        <f aca="false">IF(BK55="","",IF(OR(N(AP55)&gt;30,AND(AY55="",N(BD55)&gt;15),BF55="Rejected",AND(LEFT(AX55,12)="Short Closed",N(AL55)&gt;0),AND(O55&lt;&gt;"",AY55="",N(AL55)&gt;0,N(BD55)&gt;0)),"High",IF(OR(N(AP55)&gt;0,AND(AY55="",N(BD55)&gt;7),LEFT(AX55,12)="Short Closed",AND(BI55="Awaiting Approval",ISNUMBER(B55),Settings!$B$4-N(B55)&gt;2*Settings!$B$19),AND(BI55="Approved - PO Pending",ISNUMBER(J55),Settings!$B$4-N(J55)&gt;2*Settings!$B$20)),"Medium","Low")))</f>
        <v/>
      </c>
      <c r="BM55" s="77" t="str">
        <f aca="false">IF(BL55="","",IF(BL55="High",1,IF(BL55="Medium",2,3))*10000+ROW())</f>
        <v/>
      </c>
      <c r="BN55" s="62"/>
    </row>
    <row r="56" customFormat="false" ht="18" hidden="false" customHeight="true" outlineLevel="0" collapsed="false">
      <c r="A56" s="60"/>
      <c r="B56" s="61"/>
      <c r="C56" s="62"/>
      <c r="D56" s="62"/>
      <c r="E56" s="62"/>
      <c r="F56" s="62"/>
      <c r="G56" s="62"/>
      <c r="H56" s="60"/>
      <c r="I56" s="60"/>
      <c r="J56" s="61"/>
      <c r="K56" s="60"/>
      <c r="L56" s="60"/>
      <c r="M56" s="62"/>
      <c r="N56" s="60"/>
      <c r="O56" s="60"/>
      <c r="P56" s="61"/>
      <c r="Q56" s="63"/>
      <c r="R56" s="60"/>
      <c r="S56" s="64"/>
      <c r="T56" s="60"/>
      <c r="U56" s="65" t="str">
        <f aca="false">IF(AND(T56="",S56=""),"",IF(T56="",1,IFERROR(INDEX(Settings!$B$12:$B$16,MATCH(T56,Settings!$A$12:$A$16,0)),1)))</f>
        <v/>
      </c>
      <c r="V56" s="64"/>
      <c r="W56" s="66" t="str">
        <f aca="false">IF(OR(Q56="",S56=""),"",Q56*S56*U56)</f>
        <v/>
      </c>
      <c r="X56" s="65" t="str">
        <f aca="false">IF(OR(W56="",N(Q56)=0),"",W56/Q56)</f>
        <v/>
      </c>
      <c r="Y56" s="65" t="str">
        <f aca="false">IF(OR(X56="",P56="",E56=""),"",IF(_xlfn.MAXIFS($P$6:$P$205,$E$6:$E$205,E56,$P$6:$P$205,"&lt;"&amp;P56,$X$6:$X$205,"&gt;0")=0,"",IFERROR(AVERAGEIFS($X$6:$X$205,$E$6:$E$205,E56,$P$6:$P$205,_xlfn.MAXIFS($P$6:$P$205,$E$6:$E$205,E56,$P$6:$P$205,"&lt;"&amp;P56,$X$6:$X$205,"&gt;0"),$X$6:$X$205,"&gt;0"),"")))</f>
        <v/>
      </c>
      <c r="Z56" s="67" t="str">
        <f aca="false">IF(OR(Y56="",X56=""),"",X56/Y56-1)</f>
        <v/>
      </c>
      <c r="AA56" s="68" t="str">
        <f aca="false">IF(OR(W56="",V56=""),"",W56-Q56*V56)</f>
        <v/>
      </c>
      <c r="AB56" s="69" t="str">
        <f aca="false">IF(AA56="","",IF(N(V56)*N(Q56)=0,"",AA56/(Q56*V56)))</f>
        <v/>
      </c>
      <c r="AC56" s="70"/>
      <c r="AD56" s="66" t="str">
        <f aca="false">IF(W56="","",W56*(1+N(AC56)))</f>
        <v/>
      </c>
      <c r="AE56" s="62"/>
      <c r="AF56" s="71"/>
      <c r="AG56" s="71"/>
      <c r="AH56" s="71"/>
      <c r="AI56" s="66" t="str">
        <f aca="false">IF(A56="","",N(AF56)+N(AG56)+N(AH56))</f>
        <v/>
      </c>
      <c r="AJ56" s="72" t="str">
        <f aca="false">IF(AD56="","",IF(N(AD56)=0,"",AI56/AD56))</f>
        <v/>
      </c>
      <c r="AK56" s="66" t="str">
        <f aca="false">IF(AD56="","",IF(AD56-AI56&lt;1,0,ROUND(AD56-AI56,2)))</f>
        <v/>
      </c>
      <c r="AL56" s="66" t="str">
        <f aca="false">IF(OR(O56="",AD56=""),"",MAX(0,ROUND(N(AI56)-(AD56-N(AW56)),0)))</f>
        <v/>
      </c>
      <c r="AM56" s="73" t="str">
        <f aca="false">IF(A56="","",IF(O56="","No PO Yet",IF(AI56=0,"Not Paid",IF(N(AJ56)&gt;=0.999,"Fully Paid",IF(N(AG56)+N(AH56)&gt;0,"Partially Paid","Initial / Advance Paid")))))</f>
        <v/>
      </c>
      <c r="AN56" s="61"/>
      <c r="AO56" s="61"/>
      <c r="AP56" s="74" t="str">
        <f aca="false">IF(AK56="","",IF(OR(N(AK56)=0,AO56=""),"",MAX(0,Settings!$B$4-AO56)))</f>
        <v/>
      </c>
      <c r="AQ56" s="73" t="str">
        <f aca="false">IF(AK56="","",IF(N(AK56)&lt;=0,"",IF(AO56="","No Due Date",IF(Settings!$B$4&lt;=AO56,"Not Yet Due",IF(Settings!$B$4-AO56&lt;=30,"1-30 Days",IF(Settings!$B$4-AO56&lt;=60,"31-60 Days",IF(Settings!$B$4-AO56&lt;=90,"61-90 Days","90+ Days")))))))</f>
        <v/>
      </c>
      <c r="AR56" s="61"/>
      <c r="AS56" s="61"/>
      <c r="AT56" s="63"/>
      <c r="AU56" s="72" t="str">
        <f aca="false">IF(Q56="","",IF(N(Q56)=0,"",N(AT56)/Q56))</f>
        <v/>
      </c>
      <c r="AV56" s="75" t="str">
        <f aca="false">IF(OR(A56="",O56="",Q56=""),"",MAX(0,Q56-N(AT56)))</f>
        <v/>
      </c>
      <c r="AW56" s="66" t="str">
        <f aca="false">IF(OR(AV56="",W56=""),"",IF(N(Q56)=0,0,AV56/Q56*AD56))</f>
        <v/>
      </c>
      <c r="AX56" s="76" t="str">
        <f aca="false">IF(A56="","",IF(O56="","No PO Yet",IF(Q56="","Order Qty Missing",IF(N(AT56)&gt;=Q56,IF(N(AT56)&gt;Q56,"All In-house (+"&amp;TEXT(N(AT56)-Q56,"#,##0")&amp;" "&amp;R56&amp;" excess)","All In-house"),IF(AY56&lt;&gt;"","Short Closed - "&amp;TEXT(AV56,"#,##0")&amp;" "&amp;R56&amp;" not received",IF(N(AT56)=0,"Not Started - "&amp;TEXT(AV56,"#,##0")&amp;" "&amp;R56&amp;" pending","Pending "&amp;TEXT(AV56,"#,##0")&amp;" "&amp;R56&amp;" ("&amp;TEXT(AU56,"0%")&amp;" received)"))))))</f>
        <v/>
      </c>
      <c r="AY56" s="61"/>
      <c r="AZ56" s="77" t="str">
        <f aca="false">IF(OR(B56="",J56=""),"",J56-B56)</f>
        <v/>
      </c>
      <c r="BA56" s="77" t="str">
        <f aca="false">IF(OR(J56="",P56=""),"",P56-J56)</f>
        <v/>
      </c>
      <c r="BB56" s="77" t="str">
        <f aca="false">IF(OR(P56="",AY56=""),"",AY56-P56)</f>
        <v/>
      </c>
      <c r="BC56" s="77" t="str">
        <f aca="false">IF(OR(B56="",AY56=""),"",AY56-B56)</f>
        <v/>
      </c>
      <c r="BD56" s="74" t="str">
        <f aca="false">IF(OR(AR56="",O56=""),"",MAX(0,IF(AY56="",Settings!$B$4,AY56)-AR56))</f>
        <v/>
      </c>
      <c r="BE56" s="73" t="str">
        <f aca="false">IF(OR(AY56="",AR56=""),"",IF(AND(AY56&lt;=AR56,N(AU56)&gt;=Settings!$B$6),"OTIF","Not OTIF"))</f>
        <v/>
      </c>
      <c r="BF56" s="60"/>
      <c r="BG56" s="62"/>
      <c r="BH56" s="78"/>
      <c r="BI56" s="76" t="str">
        <f aca="false">IF(A56="","",IF(K56="Rejected","Rejected",IF(K56&lt;&gt;"Approved","Awaiting Approval",IF(O56="","Approved - PO Pending",IF(AY56&lt;&gt;"",IF(N(AJ56)&gt;=0.999,"Closed","In-house Closed - Payment Due"),IF(AS56&lt;&gt;"","Receiving In-house","PO Issued - Awaiting Delivery"))))))</f>
        <v/>
      </c>
      <c r="BJ56" s="76" t="str">
        <f aca="false">IF(A56="","",IF(IF(AND(A56&lt;&gt;"",OR(B56="",C56="",E56="",F56="",H56="")),"PR info missing; ","")&amp;IF(AND(K56="Approved",OR(J56="",I56="")),"Approval ref/date missing; ","")&amp;IF(AND(O56&lt;&gt;"",K56&lt;&gt;"Approved"),"PO without approval; ","")&amp;IF(AND(O56&lt;&gt;"",OR(P56="",M56="",Q56="",S56="",T56="")),"PO details missing; ","")&amp;IF(AND(O56&lt;&gt;"",AR56=""),"Committed date missing; ","")&amp;IF(AND(ISNUMBER(J56),ISNUMBER(B56),N(J56)&lt;N(B56)),"Approval dated before PR; ","")&amp;IF(AND(ISNUMBER(P56),ISNUMBER(J56),N(P56)&lt;N(J56)),"PO dated before approval; ","")&amp;IF(AND(ISNUMBER(AY56),ISNUMBER(AS56),N(AY56)&lt;N(AS56)),"Close before in-house start; ","")&amp;IF(AND(AY56&lt;&gt;"",AS56=""),"In-house start date missing; ","")&amp;IF(AND(AY56&lt;&gt;"",AT56=""),"Qty received missing; ","")&amp;IF(AND(AY56&lt;&gt;"",BF56=""),"QC status missing; ","")&amp;IF(N(AT56)&gt;N(Q56)*1.05,"Received &gt; ordered +5%; ","")&amp;IF(AND(N(AI56)&gt;0,AE56=""),"Payment terms missing; ","")&amp;IF(N(AI56)&gt;N(AD56)+1,"Overpaid vs PO; ","")&amp;IF(AND(N(AK56)&gt;0,AY56&lt;&gt;"",AO56=""),"Payment due date missing; ","")="","OK",IF(AND(A56&lt;&gt;"",OR(B56="",C56="",E56="",F56="",H56="")),"PR info missing; ","")&amp;IF(AND(K56="Approved",OR(J56="",I56="")),"Approval ref/date missing; ","")&amp;IF(AND(O56&lt;&gt;"",K56&lt;&gt;"Approved"),"PO without approval; ","")&amp;IF(AND(O56&lt;&gt;"",OR(P56="",M56="",Q56="",S56="",T56="")),"PO details missing; ","")&amp;IF(AND(O56&lt;&gt;"",AR56=""),"Committed date missing; ","")&amp;IF(AND(ISNUMBER(J56),ISNUMBER(B56),N(J56)&lt;N(B56)),"Approval dated before PR; ","")&amp;IF(AND(ISNUMBER(P56),ISNUMBER(J56),N(P56)&lt;N(J56)),"PO dated before approval; ","")&amp;IF(AND(ISNUMBER(AY56),ISNUMBER(AS56),N(AY56)&lt;N(AS56)),"Close before in-house start; ","")&amp;IF(AND(AY56&lt;&gt;"",AS56=""),"In-house start date missing; ","")&amp;IF(AND(AY56&lt;&gt;"",AT56=""),"Qty received missing; ","")&amp;IF(AND(AY56&lt;&gt;"",BF56=""),"QC status missing; ","")&amp;IF(N(AT56)&gt;N(Q56)*1.05,"Received &gt; ordered +5%; ","")&amp;IF(AND(N(AI56)&gt;0,AE56=""),"Payment terms missing; ","")&amp;IF(N(AI56)&gt;N(AD56)+1,"Overpaid vs PO; ","")&amp;IF(AND(N(AK56)&gt;0,AY56&lt;&gt;"",AO56=""),"Payment due date missing; ","")))</f>
        <v/>
      </c>
      <c r="BK56" s="76" t="str">
        <f aca="false">IF(A56="","",IF(N(AP56)&gt;0,"Pay supplier: "&amp;N(AP56)&amp;" days overdue; ","")&amp;IF(AND(O56&lt;&gt;"",AY56="",N(BD56)&gt;0),"Expedite delivery: "&amp;N(BD56)&amp;" days late; ","")&amp;IF(AND(BI56="Awaiting Approval",ISNUMBER(B56),Settings!$B$4-N(B56)&gt;Settings!$B$19),"Get approval: PR waiting "&amp;(Settings!$B$4-N(B56))&amp;" days; ","")&amp;IF(AND(BI56="Approved - PO Pending",ISNUMBER(J56),Settings!$B$4-N(J56)&gt;Settings!$B$20),"Issue PO: approved "&amp;(Settings!$B$4-N(J56))&amp;" days ago; ","")&amp;IF(AND(OR(BI56="Awaiting Approval",BI56="Approved - PO Pending"),N(AB56)&gt;Settings!$B$7),"Negotiate price: "&amp;TEXT(AB56,"0%")&amp;" above budget; ","")&amp;IF(LEFT(AX56,12)="Short Closed","Short closed: claim balance / credit note"&amp;IF(N(AL56)&gt;0," BDT "&amp;TEXT(AL56,"#,##0"),"")&amp;"; ","")&amp;IF(BF56="Rejected","QC rejected: return / replace; ","")&amp;IF(AND(O56&lt;&gt;"",AY56="",N(AL56)&gt;0,N(BD56)&gt;0),"Advance at risk: BDT "&amp;TEXT(AL56,"#,##0")&amp;" paid, goods late; ","")&amp;IF(AND(BJ56&lt;&gt;"",BJ56&lt;&gt;"OK"),"Fix data entry (see Data Check); ",""))</f>
        <v/>
      </c>
      <c r="BL56" s="73" t="str">
        <f aca="false">IF(BK56="","",IF(OR(N(AP56)&gt;30,AND(AY56="",N(BD56)&gt;15),BF56="Rejected",AND(LEFT(AX56,12)="Short Closed",N(AL56)&gt;0),AND(O56&lt;&gt;"",AY56="",N(AL56)&gt;0,N(BD56)&gt;0)),"High",IF(OR(N(AP56)&gt;0,AND(AY56="",N(BD56)&gt;7),LEFT(AX56,12)="Short Closed",AND(BI56="Awaiting Approval",ISNUMBER(B56),Settings!$B$4-N(B56)&gt;2*Settings!$B$19),AND(BI56="Approved - PO Pending",ISNUMBER(J56),Settings!$B$4-N(J56)&gt;2*Settings!$B$20)),"Medium","Low")))</f>
        <v/>
      </c>
      <c r="BM56" s="77" t="str">
        <f aca="false">IF(BL56="","",IF(BL56="High",1,IF(BL56="Medium",2,3))*10000+ROW())</f>
        <v/>
      </c>
      <c r="BN56" s="62"/>
    </row>
    <row r="57" customFormat="false" ht="18" hidden="false" customHeight="true" outlineLevel="0" collapsed="false">
      <c r="A57" s="60"/>
      <c r="B57" s="61"/>
      <c r="C57" s="62"/>
      <c r="D57" s="62"/>
      <c r="E57" s="62"/>
      <c r="F57" s="62"/>
      <c r="G57" s="62"/>
      <c r="H57" s="60"/>
      <c r="I57" s="60"/>
      <c r="J57" s="61"/>
      <c r="K57" s="60"/>
      <c r="L57" s="60"/>
      <c r="M57" s="62"/>
      <c r="N57" s="60"/>
      <c r="O57" s="60"/>
      <c r="P57" s="61"/>
      <c r="Q57" s="63"/>
      <c r="R57" s="60"/>
      <c r="S57" s="64"/>
      <c r="T57" s="60"/>
      <c r="U57" s="65" t="str">
        <f aca="false">IF(AND(T57="",S57=""),"",IF(T57="",1,IFERROR(INDEX(Settings!$B$12:$B$16,MATCH(T57,Settings!$A$12:$A$16,0)),1)))</f>
        <v/>
      </c>
      <c r="V57" s="64"/>
      <c r="W57" s="66" t="str">
        <f aca="false">IF(OR(Q57="",S57=""),"",Q57*S57*U57)</f>
        <v/>
      </c>
      <c r="X57" s="65" t="str">
        <f aca="false">IF(OR(W57="",N(Q57)=0),"",W57/Q57)</f>
        <v/>
      </c>
      <c r="Y57" s="65" t="str">
        <f aca="false">IF(OR(X57="",P57="",E57=""),"",IF(_xlfn.MAXIFS($P$6:$P$205,$E$6:$E$205,E57,$P$6:$P$205,"&lt;"&amp;P57,$X$6:$X$205,"&gt;0")=0,"",IFERROR(AVERAGEIFS($X$6:$X$205,$E$6:$E$205,E57,$P$6:$P$205,_xlfn.MAXIFS($P$6:$P$205,$E$6:$E$205,E57,$P$6:$P$205,"&lt;"&amp;P57,$X$6:$X$205,"&gt;0"),$X$6:$X$205,"&gt;0"),"")))</f>
        <v/>
      </c>
      <c r="Z57" s="67" t="str">
        <f aca="false">IF(OR(Y57="",X57=""),"",X57/Y57-1)</f>
        <v/>
      </c>
      <c r="AA57" s="68" t="str">
        <f aca="false">IF(OR(W57="",V57=""),"",W57-Q57*V57)</f>
        <v/>
      </c>
      <c r="AB57" s="69" t="str">
        <f aca="false">IF(AA57="","",IF(N(V57)*N(Q57)=0,"",AA57/(Q57*V57)))</f>
        <v/>
      </c>
      <c r="AC57" s="70"/>
      <c r="AD57" s="66" t="str">
        <f aca="false">IF(W57="","",W57*(1+N(AC57)))</f>
        <v/>
      </c>
      <c r="AE57" s="62"/>
      <c r="AF57" s="71"/>
      <c r="AG57" s="71"/>
      <c r="AH57" s="71"/>
      <c r="AI57" s="66" t="str">
        <f aca="false">IF(A57="","",N(AF57)+N(AG57)+N(AH57))</f>
        <v/>
      </c>
      <c r="AJ57" s="72" t="str">
        <f aca="false">IF(AD57="","",IF(N(AD57)=0,"",AI57/AD57))</f>
        <v/>
      </c>
      <c r="AK57" s="66" t="str">
        <f aca="false">IF(AD57="","",IF(AD57-AI57&lt;1,0,ROUND(AD57-AI57,2)))</f>
        <v/>
      </c>
      <c r="AL57" s="66" t="str">
        <f aca="false">IF(OR(O57="",AD57=""),"",MAX(0,ROUND(N(AI57)-(AD57-N(AW57)),0)))</f>
        <v/>
      </c>
      <c r="AM57" s="73" t="str">
        <f aca="false">IF(A57="","",IF(O57="","No PO Yet",IF(AI57=0,"Not Paid",IF(N(AJ57)&gt;=0.999,"Fully Paid",IF(N(AG57)+N(AH57)&gt;0,"Partially Paid","Initial / Advance Paid")))))</f>
        <v/>
      </c>
      <c r="AN57" s="61"/>
      <c r="AO57" s="61"/>
      <c r="AP57" s="74" t="str">
        <f aca="false">IF(AK57="","",IF(OR(N(AK57)=0,AO57=""),"",MAX(0,Settings!$B$4-AO57)))</f>
        <v/>
      </c>
      <c r="AQ57" s="73" t="str">
        <f aca="false">IF(AK57="","",IF(N(AK57)&lt;=0,"",IF(AO57="","No Due Date",IF(Settings!$B$4&lt;=AO57,"Not Yet Due",IF(Settings!$B$4-AO57&lt;=30,"1-30 Days",IF(Settings!$B$4-AO57&lt;=60,"31-60 Days",IF(Settings!$B$4-AO57&lt;=90,"61-90 Days","90+ Days")))))))</f>
        <v/>
      </c>
      <c r="AR57" s="61"/>
      <c r="AS57" s="61"/>
      <c r="AT57" s="63"/>
      <c r="AU57" s="72" t="str">
        <f aca="false">IF(Q57="","",IF(N(Q57)=0,"",N(AT57)/Q57))</f>
        <v/>
      </c>
      <c r="AV57" s="75" t="str">
        <f aca="false">IF(OR(A57="",O57="",Q57=""),"",MAX(0,Q57-N(AT57)))</f>
        <v/>
      </c>
      <c r="AW57" s="66" t="str">
        <f aca="false">IF(OR(AV57="",W57=""),"",IF(N(Q57)=0,0,AV57/Q57*AD57))</f>
        <v/>
      </c>
      <c r="AX57" s="76" t="str">
        <f aca="false">IF(A57="","",IF(O57="","No PO Yet",IF(Q57="","Order Qty Missing",IF(N(AT57)&gt;=Q57,IF(N(AT57)&gt;Q57,"All In-house (+"&amp;TEXT(N(AT57)-Q57,"#,##0")&amp;" "&amp;R57&amp;" excess)","All In-house"),IF(AY57&lt;&gt;"","Short Closed - "&amp;TEXT(AV57,"#,##0")&amp;" "&amp;R57&amp;" not received",IF(N(AT57)=0,"Not Started - "&amp;TEXT(AV57,"#,##0")&amp;" "&amp;R57&amp;" pending","Pending "&amp;TEXT(AV57,"#,##0")&amp;" "&amp;R57&amp;" ("&amp;TEXT(AU57,"0%")&amp;" received)"))))))</f>
        <v/>
      </c>
      <c r="AY57" s="61"/>
      <c r="AZ57" s="77" t="str">
        <f aca="false">IF(OR(B57="",J57=""),"",J57-B57)</f>
        <v/>
      </c>
      <c r="BA57" s="77" t="str">
        <f aca="false">IF(OR(J57="",P57=""),"",P57-J57)</f>
        <v/>
      </c>
      <c r="BB57" s="77" t="str">
        <f aca="false">IF(OR(P57="",AY57=""),"",AY57-P57)</f>
        <v/>
      </c>
      <c r="BC57" s="77" t="str">
        <f aca="false">IF(OR(B57="",AY57=""),"",AY57-B57)</f>
        <v/>
      </c>
      <c r="BD57" s="74" t="str">
        <f aca="false">IF(OR(AR57="",O57=""),"",MAX(0,IF(AY57="",Settings!$B$4,AY57)-AR57))</f>
        <v/>
      </c>
      <c r="BE57" s="73" t="str">
        <f aca="false">IF(OR(AY57="",AR57=""),"",IF(AND(AY57&lt;=AR57,N(AU57)&gt;=Settings!$B$6),"OTIF","Not OTIF"))</f>
        <v/>
      </c>
      <c r="BF57" s="60"/>
      <c r="BG57" s="62"/>
      <c r="BH57" s="78"/>
      <c r="BI57" s="76" t="str">
        <f aca="false">IF(A57="","",IF(K57="Rejected","Rejected",IF(K57&lt;&gt;"Approved","Awaiting Approval",IF(O57="","Approved - PO Pending",IF(AY57&lt;&gt;"",IF(N(AJ57)&gt;=0.999,"Closed","In-house Closed - Payment Due"),IF(AS57&lt;&gt;"","Receiving In-house","PO Issued - Awaiting Delivery"))))))</f>
        <v/>
      </c>
      <c r="BJ57" s="76" t="str">
        <f aca="false">IF(A57="","",IF(IF(AND(A57&lt;&gt;"",OR(B57="",C57="",E57="",F57="",H57="")),"PR info missing; ","")&amp;IF(AND(K57="Approved",OR(J57="",I57="")),"Approval ref/date missing; ","")&amp;IF(AND(O57&lt;&gt;"",K57&lt;&gt;"Approved"),"PO without approval; ","")&amp;IF(AND(O57&lt;&gt;"",OR(P57="",M57="",Q57="",S57="",T57="")),"PO details missing; ","")&amp;IF(AND(O57&lt;&gt;"",AR57=""),"Committed date missing; ","")&amp;IF(AND(ISNUMBER(J57),ISNUMBER(B57),N(J57)&lt;N(B57)),"Approval dated before PR; ","")&amp;IF(AND(ISNUMBER(P57),ISNUMBER(J57),N(P57)&lt;N(J57)),"PO dated before approval; ","")&amp;IF(AND(ISNUMBER(AY57),ISNUMBER(AS57),N(AY57)&lt;N(AS57)),"Close before in-house start; ","")&amp;IF(AND(AY57&lt;&gt;"",AS57=""),"In-house start date missing; ","")&amp;IF(AND(AY57&lt;&gt;"",AT57=""),"Qty received missing; ","")&amp;IF(AND(AY57&lt;&gt;"",BF57=""),"QC status missing; ","")&amp;IF(N(AT57)&gt;N(Q57)*1.05,"Received &gt; ordered +5%; ","")&amp;IF(AND(N(AI57)&gt;0,AE57=""),"Payment terms missing; ","")&amp;IF(N(AI57)&gt;N(AD57)+1,"Overpaid vs PO; ","")&amp;IF(AND(N(AK57)&gt;0,AY57&lt;&gt;"",AO57=""),"Payment due date missing; ","")="","OK",IF(AND(A57&lt;&gt;"",OR(B57="",C57="",E57="",F57="",H57="")),"PR info missing; ","")&amp;IF(AND(K57="Approved",OR(J57="",I57="")),"Approval ref/date missing; ","")&amp;IF(AND(O57&lt;&gt;"",K57&lt;&gt;"Approved"),"PO without approval; ","")&amp;IF(AND(O57&lt;&gt;"",OR(P57="",M57="",Q57="",S57="",T57="")),"PO details missing; ","")&amp;IF(AND(O57&lt;&gt;"",AR57=""),"Committed date missing; ","")&amp;IF(AND(ISNUMBER(J57),ISNUMBER(B57),N(J57)&lt;N(B57)),"Approval dated before PR; ","")&amp;IF(AND(ISNUMBER(P57),ISNUMBER(J57),N(P57)&lt;N(J57)),"PO dated before approval; ","")&amp;IF(AND(ISNUMBER(AY57),ISNUMBER(AS57),N(AY57)&lt;N(AS57)),"Close before in-house start; ","")&amp;IF(AND(AY57&lt;&gt;"",AS57=""),"In-house start date missing; ","")&amp;IF(AND(AY57&lt;&gt;"",AT57=""),"Qty received missing; ","")&amp;IF(AND(AY57&lt;&gt;"",BF57=""),"QC status missing; ","")&amp;IF(N(AT57)&gt;N(Q57)*1.05,"Received &gt; ordered +5%; ","")&amp;IF(AND(N(AI57)&gt;0,AE57=""),"Payment terms missing; ","")&amp;IF(N(AI57)&gt;N(AD57)+1,"Overpaid vs PO; ","")&amp;IF(AND(N(AK57)&gt;0,AY57&lt;&gt;"",AO57=""),"Payment due date missing; ","")))</f>
        <v/>
      </c>
      <c r="BK57" s="76" t="str">
        <f aca="false">IF(A57="","",IF(N(AP57)&gt;0,"Pay supplier: "&amp;N(AP57)&amp;" days overdue; ","")&amp;IF(AND(O57&lt;&gt;"",AY57="",N(BD57)&gt;0),"Expedite delivery: "&amp;N(BD57)&amp;" days late; ","")&amp;IF(AND(BI57="Awaiting Approval",ISNUMBER(B57),Settings!$B$4-N(B57)&gt;Settings!$B$19),"Get approval: PR waiting "&amp;(Settings!$B$4-N(B57))&amp;" days; ","")&amp;IF(AND(BI57="Approved - PO Pending",ISNUMBER(J57),Settings!$B$4-N(J57)&gt;Settings!$B$20),"Issue PO: approved "&amp;(Settings!$B$4-N(J57))&amp;" days ago; ","")&amp;IF(AND(OR(BI57="Awaiting Approval",BI57="Approved - PO Pending"),N(AB57)&gt;Settings!$B$7),"Negotiate price: "&amp;TEXT(AB57,"0%")&amp;" above budget; ","")&amp;IF(LEFT(AX57,12)="Short Closed","Short closed: claim balance / credit note"&amp;IF(N(AL57)&gt;0," BDT "&amp;TEXT(AL57,"#,##0"),"")&amp;"; ","")&amp;IF(BF57="Rejected","QC rejected: return / replace; ","")&amp;IF(AND(O57&lt;&gt;"",AY57="",N(AL57)&gt;0,N(BD57)&gt;0),"Advance at risk: BDT "&amp;TEXT(AL57,"#,##0")&amp;" paid, goods late; ","")&amp;IF(AND(BJ57&lt;&gt;"",BJ57&lt;&gt;"OK"),"Fix data entry (see Data Check); ",""))</f>
        <v/>
      </c>
      <c r="BL57" s="73" t="str">
        <f aca="false">IF(BK57="","",IF(OR(N(AP57)&gt;30,AND(AY57="",N(BD57)&gt;15),BF57="Rejected",AND(LEFT(AX57,12)="Short Closed",N(AL57)&gt;0),AND(O57&lt;&gt;"",AY57="",N(AL57)&gt;0,N(BD57)&gt;0)),"High",IF(OR(N(AP57)&gt;0,AND(AY57="",N(BD57)&gt;7),LEFT(AX57,12)="Short Closed",AND(BI57="Awaiting Approval",ISNUMBER(B57),Settings!$B$4-N(B57)&gt;2*Settings!$B$19),AND(BI57="Approved - PO Pending",ISNUMBER(J57),Settings!$B$4-N(J57)&gt;2*Settings!$B$20)),"Medium","Low")))</f>
        <v/>
      </c>
      <c r="BM57" s="77" t="str">
        <f aca="false">IF(BL57="","",IF(BL57="High",1,IF(BL57="Medium",2,3))*10000+ROW())</f>
        <v/>
      </c>
      <c r="BN57" s="62"/>
    </row>
    <row r="58" customFormat="false" ht="18" hidden="false" customHeight="true" outlineLevel="0" collapsed="false">
      <c r="A58" s="60"/>
      <c r="B58" s="61"/>
      <c r="C58" s="62"/>
      <c r="D58" s="62"/>
      <c r="E58" s="62"/>
      <c r="F58" s="62"/>
      <c r="G58" s="62"/>
      <c r="H58" s="60"/>
      <c r="I58" s="60"/>
      <c r="J58" s="61"/>
      <c r="K58" s="60"/>
      <c r="L58" s="60"/>
      <c r="M58" s="62"/>
      <c r="N58" s="60"/>
      <c r="O58" s="60"/>
      <c r="P58" s="61"/>
      <c r="Q58" s="63"/>
      <c r="R58" s="60"/>
      <c r="S58" s="64"/>
      <c r="T58" s="60"/>
      <c r="U58" s="65" t="str">
        <f aca="false">IF(AND(T58="",S58=""),"",IF(T58="",1,IFERROR(INDEX(Settings!$B$12:$B$16,MATCH(T58,Settings!$A$12:$A$16,0)),1)))</f>
        <v/>
      </c>
      <c r="V58" s="64"/>
      <c r="W58" s="66" t="str">
        <f aca="false">IF(OR(Q58="",S58=""),"",Q58*S58*U58)</f>
        <v/>
      </c>
      <c r="X58" s="65" t="str">
        <f aca="false">IF(OR(W58="",N(Q58)=0),"",W58/Q58)</f>
        <v/>
      </c>
      <c r="Y58" s="65" t="str">
        <f aca="false">IF(OR(X58="",P58="",E58=""),"",IF(_xlfn.MAXIFS($P$6:$P$205,$E$6:$E$205,E58,$P$6:$P$205,"&lt;"&amp;P58,$X$6:$X$205,"&gt;0")=0,"",IFERROR(AVERAGEIFS($X$6:$X$205,$E$6:$E$205,E58,$P$6:$P$205,_xlfn.MAXIFS($P$6:$P$205,$E$6:$E$205,E58,$P$6:$P$205,"&lt;"&amp;P58,$X$6:$X$205,"&gt;0"),$X$6:$X$205,"&gt;0"),"")))</f>
        <v/>
      </c>
      <c r="Z58" s="67" t="str">
        <f aca="false">IF(OR(Y58="",X58=""),"",X58/Y58-1)</f>
        <v/>
      </c>
      <c r="AA58" s="68" t="str">
        <f aca="false">IF(OR(W58="",V58=""),"",W58-Q58*V58)</f>
        <v/>
      </c>
      <c r="AB58" s="69" t="str">
        <f aca="false">IF(AA58="","",IF(N(V58)*N(Q58)=0,"",AA58/(Q58*V58)))</f>
        <v/>
      </c>
      <c r="AC58" s="70"/>
      <c r="AD58" s="66" t="str">
        <f aca="false">IF(W58="","",W58*(1+N(AC58)))</f>
        <v/>
      </c>
      <c r="AE58" s="62"/>
      <c r="AF58" s="71"/>
      <c r="AG58" s="71"/>
      <c r="AH58" s="71"/>
      <c r="AI58" s="66" t="str">
        <f aca="false">IF(A58="","",N(AF58)+N(AG58)+N(AH58))</f>
        <v/>
      </c>
      <c r="AJ58" s="72" t="str">
        <f aca="false">IF(AD58="","",IF(N(AD58)=0,"",AI58/AD58))</f>
        <v/>
      </c>
      <c r="AK58" s="66" t="str">
        <f aca="false">IF(AD58="","",IF(AD58-AI58&lt;1,0,ROUND(AD58-AI58,2)))</f>
        <v/>
      </c>
      <c r="AL58" s="66" t="str">
        <f aca="false">IF(OR(O58="",AD58=""),"",MAX(0,ROUND(N(AI58)-(AD58-N(AW58)),0)))</f>
        <v/>
      </c>
      <c r="AM58" s="73" t="str">
        <f aca="false">IF(A58="","",IF(O58="","No PO Yet",IF(AI58=0,"Not Paid",IF(N(AJ58)&gt;=0.999,"Fully Paid",IF(N(AG58)+N(AH58)&gt;0,"Partially Paid","Initial / Advance Paid")))))</f>
        <v/>
      </c>
      <c r="AN58" s="61"/>
      <c r="AO58" s="61"/>
      <c r="AP58" s="74" t="str">
        <f aca="false">IF(AK58="","",IF(OR(N(AK58)=0,AO58=""),"",MAX(0,Settings!$B$4-AO58)))</f>
        <v/>
      </c>
      <c r="AQ58" s="73" t="str">
        <f aca="false">IF(AK58="","",IF(N(AK58)&lt;=0,"",IF(AO58="","No Due Date",IF(Settings!$B$4&lt;=AO58,"Not Yet Due",IF(Settings!$B$4-AO58&lt;=30,"1-30 Days",IF(Settings!$B$4-AO58&lt;=60,"31-60 Days",IF(Settings!$B$4-AO58&lt;=90,"61-90 Days","90+ Days")))))))</f>
        <v/>
      </c>
      <c r="AR58" s="61"/>
      <c r="AS58" s="61"/>
      <c r="AT58" s="63"/>
      <c r="AU58" s="72" t="str">
        <f aca="false">IF(Q58="","",IF(N(Q58)=0,"",N(AT58)/Q58))</f>
        <v/>
      </c>
      <c r="AV58" s="75" t="str">
        <f aca="false">IF(OR(A58="",O58="",Q58=""),"",MAX(0,Q58-N(AT58)))</f>
        <v/>
      </c>
      <c r="AW58" s="66" t="str">
        <f aca="false">IF(OR(AV58="",W58=""),"",IF(N(Q58)=0,0,AV58/Q58*AD58))</f>
        <v/>
      </c>
      <c r="AX58" s="76" t="str">
        <f aca="false">IF(A58="","",IF(O58="","No PO Yet",IF(Q58="","Order Qty Missing",IF(N(AT58)&gt;=Q58,IF(N(AT58)&gt;Q58,"All In-house (+"&amp;TEXT(N(AT58)-Q58,"#,##0")&amp;" "&amp;R58&amp;" excess)","All In-house"),IF(AY58&lt;&gt;"","Short Closed - "&amp;TEXT(AV58,"#,##0")&amp;" "&amp;R58&amp;" not received",IF(N(AT58)=0,"Not Started - "&amp;TEXT(AV58,"#,##0")&amp;" "&amp;R58&amp;" pending","Pending "&amp;TEXT(AV58,"#,##0")&amp;" "&amp;R58&amp;" ("&amp;TEXT(AU58,"0%")&amp;" received)"))))))</f>
        <v/>
      </c>
      <c r="AY58" s="61"/>
      <c r="AZ58" s="77" t="str">
        <f aca="false">IF(OR(B58="",J58=""),"",J58-B58)</f>
        <v/>
      </c>
      <c r="BA58" s="77" t="str">
        <f aca="false">IF(OR(J58="",P58=""),"",P58-J58)</f>
        <v/>
      </c>
      <c r="BB58" s="77" t="str">
        <f aca="false">IF(OR(P58="",AY58=""),"",AY58-P58)</f>
        <v/>
      </c>
      <c r="BC58" s="77" t="str">
        <f aca="false">IF(OR(B58="",AY58=""),"",AY58-B58)</f>
        <v/>
      </c>
      <c r="BD58" s="74" t="str">
        <f aca="false">IF(OR(AR58="",O58=""),"",MAX(0,IF(AY58="",Settings!$B$4,AY58)-AR58))</f>
        <v/>
      </c>
      <c r="BE58" s="73" t="str">
        <f aca="false">IF(OR(AY58="",AR58=""),"",IF(AND(AY58&lt;=AR58,N(AU58)&gt;=Settings!$B$6),"OTIF","Not OTIF"))</f>
        <v/>
      </c>
      <c r="BF58" s="60"/>
      <c r="BG58" s="62"/>
      <c r="BH58" s="78"/>
      <c r="BI58" s="76" t="str">
        <f aca="false">IF(A58="","",IF(K58="Rejected","Rejected",IF(K58&lt;&gt;"Approved","Awaiting Approval",IF(O58="","Approved - PO Pending",IF(AY58&lt;&gt;"",IF(N(AJ58)&gt;=0.999,"Closed","In-house Closed - Payment Due"),IF(AS58&lt;&gt;"","Receiving In-house","PO Issued - Awaiting Delivery"))))))</f>
        <v/>
      </c>
      <c r="BJ58" s="76" t="str">
        <f aca="false">IF(A58="","",IF(IF(AND(A58&lt;&gt;"",OR(B58="",C58="",E58="",F58="",H58="")),"PR info missing; ","")&amp;IF(AND(K58="Approved",OR(J58="",I58="")),"Approval ref/date missing; ","")&amp;IF(AND(O58&lt;&gt;"",K58&lt;&gt;"Approved"),"PO without approval; ","")&amp;IF(AND(O58&lt;&gt;"",OR(P58="",M58="",Q58="",S58="",T58="")),"PO details missing; ","")&amp;IF(AND(O58&lt;&gt;"",AR58=""),"Committed date missing; ","")&amp;IF(AND(ISNUMBER(J58),ISNUMBER(B58),N(J58)&lt;N(B58)),"Approval dated before PR; ","")&amp;IF(AND(ISNUMBER(P58),ISNUMBER(J58),N(P58)&lt;N(J58)),"PO dated before approval; ","")&amp;IF(AND(ISNUMBER(AY58),ISNUMBER(AS58),N(AY58)&lt;N(AS58)),"Close before in-house start; ","")&amp;IF(AND(AY58&lt;&gt;"",AS58=""),"In-house start date missing; ","")&amp;IF(AND(AY58&lt;&gt;"",AT58=""),"Qty received missing; ","")&amp;IF(AND(AY58&lt;&gt;"",BF58=""),"QC status missing; ","")&amp;IF(N(AT58)&gt;N(Q58)*1.05,"Received &gt; ordered +5%; ","")&amp;IF(AND(N(AI58)&gt;0,AE58=""),"Payment terms missing; ","")&amp;IF(N(AI58)&gt;N(AD58)+1,"Overpaid vs PO; ","")&amp;IF(AND(N(AK58)&gt;0,AY58&lt;&gt;"",AO58=""),"Payment due date missing; ","")="","OK",IF(AND(A58&lt;&gt;"",OR(B58="",C58="",E58="",F58="",H58="")),"PR info missing; ","")&amp;IF(AND(K58="Approved",OR(J58="",I58="")),"Approval ref/date missing; ","")&amp;IF(AND(O58&lt;&gt;"",K58&lt;&gt;"Approved"),"PO without approval; ","")&amp;IF(AND(O58&lt;&gt;"",OR(P58="",M58="",Q58="",S58="",T58="")),"PO details missing; ","")&amp;IF(AND(O58&lt;&gt;"",AR58=""),"Committed date missing; ","")&amp;IF(AND(ISNUMBER(J58),ISNUMBER(B58),N(J58)&lt;N(B58)),"Approval dated before PR; ","")&amp;IF(AND(ISNUMBER(P58),ISNUMBER(J58),N(P58)&lt;N(J58)),"PO dated before approval; ","")&amp;IF(AND(ISNUMBER(AY58),ISNUMBER(AS58),N(AY58)&lt;N(AS58)),"Close before in-house start; ","")&amp;IF(AND(AY58&lt;&gt;"",AS58=""),"In-house start date missing; ","")&amp;IF(AND(AY58&lt;&gt;"",AT58=""),"Qty received missing; ","")&amp;IF(AND(AY58&lt;&gt;"",BF58=""),"QC status missing; ","")&amp;IF(N(AT58)&gt;N(Q58)*1.05,"Received &gt; ordered +5%; ","")&amp;IF(AND(N(AI58)&gt;0,AE58=""),"Payment terms missing; ","")&amp;IF(N(AI58)&gt;N(AD58)+1,"Overpaid vs PO; ","")&amp;IF(AND(N(AK58)&gt;0,AY58&lt;&gt;"",AO58=""),"Payment due date missing; ","")))</f>
        <v/>
      </c>
      <c r="BK58" s="76" t="str">
        <f aca="false">IF(A58="","",IF(N(AP58)&gt;0,"Pay supplier: "&amp;N(AP58)&amp;" days overdue; ","")&amp;IF(AND(O58&lt;&gt;"",AY58="",N(BD58)&gt;0),"Expedite delivery: "&amp;N(BD58)&amp;" days late; ","")&amp;IF(AND(BI58="Awaiting Approval",ISNUMBER(B58),Settings!$B$4-N(B58)&gt;Settings!$B$19),"Get approval: PR waiting "&amp;(Settings!$B$4-N(B58))&amp;" days; ","")&amp;IF(AND(BI58="Approved - PO Pending",ISNUMBER(J58),Settings!$B$4-N(J58)&gt;Settings!$B$20),"Issue PO: approved "&amp;(Settings!$B$4-N(J58))&amp;" days ago; ","")&amp;IF(AND(OR(BI58="Awaiting Approval",BI58="Approved - PO Pending"),N(AB58)&gt;Settings!$B$7),"Negotiate price: "&amp;TEXT(AB58,"0%")&amp;" above budget; ","")&amp;IF(LEFT(AX58,12)="Short Closed","Short closed: claim balance / credit note"&amp;IF(N(AL58)&gt;0," BDT "&amp;TEXT(AL58,"#,##0"),"")&amp;"; ","")&amp;IF(BF58="Rejected","QC rejected: return / replace; ","")&amp;IF(AND(O58&lt;&gt;"",AY58="",N(AL58)&gt;0,N(BD58)&gt;0),"Advance at risk: BDT "&amp;TEXT(AL58,"#,##0")&amp;" paid, goods late; ","")&amp;IF(AND(BJ58&lt;&gt;"",BJ58&lt;&gt;"OK"),"Fix data entry (see Data Check); ",""))</f>
        <v/>
      </c>
      <c r="BL58" s="73" t="str">
        <f aca="false">IF(BK58="","",IF(OR(N(AP58)&gt;30,AND(AY58="",N(BD58)&gt;15),BF58="Rejected",AND(LEFT(AX58,12)="Short Closed",N(AL58)&gt;0),AND(O58&lt;&gt;"",AY58="",N(AL58)&gt;0,N(BD58)&gt;0)),"High",IF(OR(N(AP58)&gt;0,AND(AY58="",N(BD58)&gt;7),LEFT(AX58,12)="Short Closed",AND(BI58="Awaiting Approval",ISNUMBER(B58),Settings!$B$4-N(B58)&gt;2*Settings!$B$19),AND(BI58="Approved - PO Pending",ISNUMBER(J58),Settings!$B$4-N(J58)&gt;2*Settings!$B$20)),"Medium","Low")))</f>
        <v/>
      </c>
      <c r="BM58" s="77" t="str">
        <f aca="false">IF(BL58="","",IF(BL58="High",1,IF(BL58="Medium",2,3))*10000+ROW())</f>
        <v/>
      </c>
      <c r="BN58" s="62"/>
    </row>
    <row r="59" customFormat="false" ht="18" hidden="false" customHeight="true" outlineLevel="0" collapsed="false">
      <c r="A59" s="60"/>
      <c r="B59" s="61"/>
      <c r="C59" s="62"/>
      <c r="D59" s="62"/>
      <c r="E59" s="62"/>
      <c r="F59" s="62"/>
      <c r="G59" s="62"/>
      <c r="H59" s="60"/>
      <c r="I59" s="60"/>
      <c r="J59" s="61"/>
      <c r="K59" s="60"/>
      <c r="L59" s="60"/>
      <c r="M59" s="62"/>
      <c r="N59" s="60"/>
      <c r="O59" s="60"/>
      <c r="P59" s="61"/>
      <c r="Q59" s="63"/>
      <c r="R59" s="60"/>
      <c r="S59" s="64"/>
      <c r="T59" s="60"/>
      <c r="U59" s="65" t="str">
        <f aca="false">IF(AND(T59="",S59=""),"",IF(T59="",1,IFERROR(INDEX(Settings!$B$12:$B$16,MATCH(T59,Settings!$A$12:$A$16,0)),1)))</f>
        <v/>
      </c>
      <c r="V59" s="64"/>
      <c r="W59" s="66" t="str">
        <f aca="false">IF(OR(Q59="",S59=""),"",Q59*S59*U59)</f>
        <v/>
      </c>
      <c r="X59" s="65" t="str">
        <f aca="false">IF(OR(W59="",N(Q59)=0),"",W59/Q59)</f>
        <v/>
      </c>
      <c r="Y59" s="65" t="str">
        <f aca="false">IF(OR(X59="",P59="",E59=""),"",IF(_xlfn.MAXIFS($P$6:$P$205,$E$6:$E$205,E59,$P$6:$P$205,"&lt;"&amp;P59,$X$6:$X$205,"&gt;0")=0,"",IFERROR(AVERAGEIFS($X$6:$X$205,$E$6:$E$205,E59,$P$6:$P$205,_xlfn.MAXIFS($P$6:$P$205,$E$6:$E$205,E59,$P$6:$P$205,"&lt;"&amp;P59,$X$6:$X$205,"&gt;0"),$X$6:$X$205,"&gt;0"),"")))</f>
        <v/>
      </c>
      <c r="Z59" s="67" t="str">
        <f aca="false">IF(OR(Y59="",X59=""),"",X59/Y59-1)</f>
        <v/>
      </c>
      <c r="AA59" s="68" t="str">
        <f aca="false">IF(OR(W59="",V59=""),"",W59-Q59*V59)</f>
        <v/>
      </c>
      <c r="AB59" s="69" t="str">
        <f aca="false">IF(AA59="","",IF(N(V59)*N(Q59)=0,"",AA59/(Q59*V59)))</f>
        <v/>
      </c>
      <c r="AC59" s="70"/>
      <c r="AD59" s="66" t="str">
        <f aca="false">IF(W59="","",W59*(1+N(AC59)))</f>
        <v/>
      </c>
      <c r="AE59" s="62"/>
      <c r="AF59" s="71"/>
      <c r="AG59" s="71"/>
      <c r="AH59" s="71"/>
      <c r="AI59" s="66" t="str">
        <f aca="false">IF(A59="","",N(AF59)+N(AG59)+N(AH59))</f>
        <v/>
      </c>
      <c r="AJ59" s="72" t="str">
        <f aca="false">IF(AD59="","",IF(N(AD59)=0,"",AI59/AD59))</f>
        <v/>
      </c>
      <c r="AK59" s="66" t="str">
        <f aca="false">IF(AD59="","",IF(AD59-AI59&lt;1,0,ROUND(AD59-AI59,2)))</f>
        <v/>
      </c>
      <c r="AL59" s="66" t="str">
        <f aca="false">IF(OR(O59="",AD59=""),"",MAX(0,ROUND(N(AI59)-(AD59-N(AW59)),0)))</f>
        <v/>
      </c>
      <c r="AM59" s="73" t="str">
        <f aca="false">IF(A59="","",IF(O59="","No PO Yet",IF(AI59=0,"Not Paid",IF(N(AJ59)&gt;=0.999,"Fully Paid",IF(N(AG59)+N(AH59)&gt;0,"Partially Paid","Initial / Advance Paid")))))</f>
        <v/>
      </c>
      <c r="AN59" s="61"/>
      <c r="AO59" s="61"/>
      <c r="AP59" s="74" t="str">
        <f aca="false">IF(AK59="","",IF(OR(N(AK59)=0,AO59=""),"",MAX(0,Settings!$B$4-AO59)))</f>
        <v/>
      </c>
      <c r="AQ59" s="73" t="str">
        <f aca="false">IF(AK59="","",IF(N(AK59)&lt;=0,"",IF(AO59="","No Due Date",IF(Settings!$B$4&lt;=AO59,"Not Yet Due",IF(Settings!$B$4-AO59&lt;=30,"1-30 Days",IF(Settings!$B$4-AO59&lt;=60,"31-60 Days",IF(Settings!$B$4-AO59&lt;=90,"61-90 Days","90+ Days")))))))</f>
        <v/>
      </c>
      <c r="AR59" s="61"/>
      <c r="AS59" s="61"/>
      <c r="AT59" s="63"/>
      <c r="AU59" s="72" t="str">
        <f aca="false">IF(Q59="","",IF(N(Q59)=0,"",N(AT59)/Q59))</f>
        <v/>
      </c>
      <c r="AV59" s="75" t="str">
        <f aca="false">IF(OR(A59="",O59="",Q59=""),"",MAX(0,Q59-N(AT59)))</f>
        <v/>
      </c>
      <c r="AW59" s="66" t="str">
        <f aca="false">IF(OR(AV59="",W59=""),"",IF(N(Q59)=0,0,AV59/Q59*AD59))</f>
        <v/>
      </c>
      <c r="AX59" s="76" t="str">
        <f aca="false">IF(A59="","",IF(O59="","No PO Yet",IF(Q59="","Order Qty Missing",IF(N(AT59)&gt;=Q59,IF(N(AT59)&gt;Q59,"All In-house (+"&amp;TEXT(N(AT59)-Q59,"#,##0")&amp;" "&amp;R59&amp;" excess)","All In-house"),IF(AY59&lt;&gt;"","Short Closed - "&amp;TEXT(AV59,"#,##0")&amp;" "&amp;R59&amp;" not received",IF(N(AT59)=0,"Not Started - "&amp;TEXT(AV59,"#,##0")&amp;" "&amp;R59&amp;" pending","Pending "&amp;TEXT(AV59,"#,##0")&amp;" "&amp;R59&amp;" ("&amp;TEXT(AU59,"0%")&amp;" received)"))))))</f>
        <v/>
      </c>
      <c r="AY59" s="61"/>
      <c r="AZ59" s="77" t="str">
        <f aca="false">IF(OR(B59="",J59=""),"",J59-B59)</f>
        <v/>
      </c>
      <c r="BA59" s="77" t="str">
        <f aca="false">IF(OR(J59="",P59=""),"",P59-J59)</f>
        <v/>
      </c>
      <c r="BB59" s="77" t="str">
        <f aca="false">IF(OR(P59="",AY59=""),"",AY59-P59)</f>
        <v/>
      </c>
      <c r="BC59" s="77" t="str">
        <f aca="false">IF(OR(B59="",AY59=""),"",AY59-B59)</f>
        <v/>
      </c>
      <c r="BD59" s="74" t="str">
        <f aca="false">IF(OR(AR59="",O59=""),"",MAX(0,IF(AY59="",Settings!$B$4,AY59)-AR59))</f>
        <v/>
      </c>
      <c r="BE59" s="73" t="str">
        <f aca="false">IF(OR(AY59="",AR59=""),"",IF(AND(AY59&lt;=AR59,N(AU59)&gt;=Settings!$B$6),"OTIF","Not OTIF"))</f>
        <v/>
      </c>
      <c r="BF59" s="60"/>
      <c r="BG59" s="62"/>
      <c r="BH59" s="78"/>
      <c r="BI59" s="76" t="str">
        <f aca="false">IF(A59="","",IF(K59="Rejected","Rejected",IF(K59&lt;&gt;"Approved","Awaiting Approval",IF(O59="","Approved - PO Pending",IF(AY59&lt;&gt;"",IF(N(AJ59)&gt;=0.999,"Closed","In-house Closed - Payment Due"),IF(AS59&lt;&gt;"","Receiving In-house","PO Issued - Awaiting Delivery"))))))</f>
        <v/>
      </c>
      <c r="BJ59" s="76" t="str">
        <f aca="false">IF(A59="","",IF(IF(AND(A59&lt;&gt;"",OR(B59="",C59="",E59="",F59="",H59="")),"PR info missing; ","")&amp;IF(AND(K59="Approved",OR(J59="",I59="")),"Approval ref/date missing; ","")&amp;IF(AND(O59&lt;&gt;"",K59&lt;&gt;"Approved"),"PO without approval; ","")&amp;IF(AND(O59&lt;&gt;"",OR(P59="",M59="",Q59="",S59="",T59="")),"PO details missing; ","")&amp;IF(AND(O59&lt;&gt;"",AR59=""),"Committed date missing; ","")&amp;IF(AND(ISNUMBER(J59),ISNUMBER(B59),N(J59)&lt;N(B59)),"Approval dated before PR; ","")&amp;IF(AND(ISNUMBER(P59),ISNUMBER(J59),N(P59)&lt;N(J59)),"PO dated before approval; ","")&amp;IF(AND(ISNUMBER(AY59),ISNUMBER(AS59),N(AY59)&lt;N(AS59)),"Close before in-house start; ","")&amp;IF(AND(AY59&lt;&gt;"",AS59=""),"In-house start date missing; ","")&amp;IF(AND(AY59&lt;&gt;"",AT59=""),"Qty received missing; ","")&amp;IF(AND(AY59&lt;&gt;"",BF59=""),"QC status missing; ","")&amp;IF(N(AT59)&gt;N(Q59)*1.05,"Received &gt; ordered +5%; ","")&amp;IF(AND(N(AI59)&gt;0,AE59=""),"Payment terms missing; ","")&amp;IF(N(AI59)&gt;N(AD59)+1,"Overpaid vs PO; ","")&amp;IF(AND(N(AK59)&gt;0,AY59&lt;&gt;"",AO59=""),"Payment due date missing; ","")="","OK",IF(AND(A59&lt;&gt;"",OR(B59="",C59="",E59="",F59="",H59="")),"PR info missing; ","")&amp;IF(AND(K59="Approved",OR(J59="",I59="")),"Approval ref/date missing; ","")&amp;IF(AND(O59&lt;&gt;"",K59&lt;&gt;"Approved"),"PO without approval; ","")&amp;IF(AND(O59&lt;&gt;"",OR(P59="",M59="",Q59="",S59="",T59="")),"PO details missing; ","")&amp;IF(AND(O59&lt;&gt;"",AR59=""),"Committed date missing; ","")&amp;IF(AND(ISNUMBER(J59),ISNUMBER(B59),N(J59)&lt;N(B59)),"Approval dated before PR; ","")&amp;IF(AND(ISNUMBER(P59),ISNUMBER(J59),N(P59)&lt;N(J59)),"PO dated before approval; ","")&amp;IF(AND(ISNUMBER(AY59),ISNUMBER(AS59),N(AY59)&lt;N(AS59)),"Close before in-house start; ","")&amp;IF(AND(AY59&lt;&gt;"",AS59=""),"In-house start date missing; ","")&amp;IF(AND(AY59&lt;&gt;"",AT59=""),"Qty received missing; ","")&amp;IF(AND(AY59&lt;&gt;"",BF59=""),"QC status missing; ","")&amp;IF(N(AT59)&gt;N(Q59)*1.05,"Received &gt; ordered +5%; ","")&amp;IF(AND(N(AI59)&gt;0,AE59=""),"Payment terms missing; ","")&amp;IF(N(AI59)&gt;N(AD59)+1,"Overpaid vs PO; ","")&amp;IF(AND(N(AK59)&gt;0,AY59&lt;&gt;"",AO59=""),"Payment due date missing; ","")))</f>
        <v/>
      </c>
      <c r="BK59" s="76" t="str">
        <f aca="false">IF(A59="","",IF(N(AP59)&gt;0,"Pay supplier: "&amp;N(AP59)&amp;" days overdue; ","")&amp;IF(AND(O59&lt;&gt;"",AY59="",N(BD59)&gt;0),"Expedite delivery: "&amp;N(BD59)&amp;" days late; ","")&amp;IF(AND(BI59="Awaiting Approval",ISNUMBER(B59),Settings!$B$4-N(B59)&gt;Settings!$B$19),"Get approval: PR waiting "&amp;(Settings!$B$4-N(B59))&amp;" days; ","")&amp;IF(AND(BI59="Approved - PO Pending",ISNUMBER(J59),Settings!$B$4-N(J59)&gt;Settings!$B$20),"Issue PO: approved "&amp;(Settings!$B$4-N(J59))&amp;" days ago; ","")&amp;IF(AND(OR(BI59="Awaiting Approval",BI59="Approved - PO Pending"),N(AB59)&gt;Settings!$B$7),"Negotiate price: "&amp;TEXT(AB59,"0%")&amp;" above budget; ","")&amp;IF(LEFT(AX59,12)="Short Closed","Short closed: claim balance / credit note"&amp;IF(N(AL59)&gt;0," BDT "&amp;TEXT(AL59,"#,##0"),"")&amp;"; ","")&amp;IF(BF59="Rejected","QC rejected: return / replace; ","")&amp;IF(AND(O59&lt;&gt;"",AY59="",N(AL59)&gt;0,N(BD59)&gt;0),"Advance at risk: BDT "&amp;TEXT(AL59,"#,##0")&amp;" paid, goods late; ","")&amp;IF(AND(BJ59&lt;&gt;"",BJ59&lt;&gt;"OK"),"Fix data entry (see Data Check); ",""))</f>
        <v/>
      </c>
      <c r="BL59" s="73" t="str">
        <f aca="false">IF(BK59="","",IF(OR(N(AP59)&gt;30,AND(AY59="",N(BD59)&gt;15),BF59="Rejected",AND(LEFT(AX59,12)="Short Closed",N(AL59)&gt;0),AND(O59&lt;&gt;"",AY59="",N(AL59)&gt;0,N(BD59)&gt;0)),"High",IF(OR(N(AP59)&gt;0,AND(AY59="",N(BD59)&gt;7),LEFT(AX59,12)="Short Closed",AND(BI59="Awaiting Approval",ISNUMBER(B59),Settings!$B$4-N(B59)&gt;2*Settings!$B$19),AND(BI59="Approved - PO Pending",ISNUMBER(J59),Settings!$B$4-N(J59)&gt;2*Settings!$B$20)),"Medium","Low")))</f>
        <v/>
      </c>
      <c r="BM59" s="77" t="str">
        <f aca="false">IF(BL59="","",IF(BL59="High",1,IF(BL59="Medium",2,3))*10000+ROW())</f>
        <v/>
      </c>
      <c r="BN59" s="62"/>
    </row>
    <row r="60" customFormat="false" ht="18" hidden="false" customHeight="true" outlineLevel="0" collapsed="false">
      <c r="A60" s="60"/>
      <c r="B60" s="61"/>
      <c r="C60" s="62"/>
      <c r="D60" s="62"/>
      <c r="E60" s="62"/>
      <c r="F60" s="62"/>
      <c r="G60" s="62"/>
      <c r="H60" s="60"/>
      <c r="I60" s="60"/>
      <c r="J60" s="61"/>
      <c r="K60" s="60"/>
      <c r="L60" s="60"/>
      <c r="M60" s="62"/>
      <c r="N60" s="60"/>
      <c r="O60" s="60"/>
      <c r="P60" s="61"/>
      <c r="Q60" s="63"/>
      <c r="R60" s="60"/>
      <c r="S60" s="64"/>
      <c r="T60" s="60"/>
      <c r="U60" s="65" t="str">
        <f aca="false">IF(AND(T60="",S60=""),"",IF(T60="",1,IFERROR(INDEX(Settings!$B$12:$B$16,MATCH(T60,Settings!$A$12:$A$16,0)),1)))</f>
        <v/>
      </c>
      <c r="V60" s="64"/>
      <c r="W60" s="66" t="str">
        <f aca="false">IF(OR(Q60="",S60=""),"",Q60*S60*U60)</f>
        <v/>
      </c>
      <c r="X60" s="65" t="str">
        <f aca="false">IF(OR(W60="",N(Q60)=0),"",W60/Q60)</f>
        <v/>
      </c>
      <c r="Y60" s="65" t="str">
        <f aca="false">IF(OR(X60="",P60="",E60=""),"",IF(_xlfn.MAXIFS($P$6:$P$205,$E$6:$E$205,E60,$P$6:$P$205,"&lt;"&amp;P60,$X$6:$X$205,"&gt;0")=0,"",IFERROR(AVERAGEIFS($X$6:$X$205,$E$6:$E$205,E60,$P$6:$P$205,_xlfn.MAXIFS($P$6:$P$205,$E$6:$E$205,E60,$P$6:$P$205,"&lt;"&amp;P60,$X$6:$X$205,"&gt;0"),$X$6:$X$205,"&gt;0"),"")))</f>
        <v/>
      </c>
      <c r="Z60" s="67" t="str">
        <f aca="false">IF(OR(Y60="",X60=""),"",X60/Y60-1)</f>
        <v/>
      </c>
      <c r="AA60" s="68" t="str">
        <f aca="false">IF(OR(W60="",V60=""),"",W60-Q60*V60)</f>
        <v/>
      </c>
      <c r="AB60" s="69" t="str">
        <f aca="false">IF(AA60="","",IF(N(V60)*N(Q60)=0,"",AA60/(Q60*V60)))</f>
        <v/>
      </c>
      <c r="AC60" s="70"/>
      <c r="AD60" s="66" t="str">
        <f aca="false">IF(W60="","",W60*(1+N(AC60)))</f>
        <v/>
      </c>
      <c r="AE60" s="62"/>
      <c r="AF60" s="71"/>
      <c r="AG60" s="71"/>
      <c r="AH60" s="71"/>
      <c r="AI60" s="66" t="str">
        <f aca="false">IF(A60="","",N(AF60)+N(AG60)+N(AH60))</f>
        <v/>
      </c>
      <c r="AJ60" s="72" t="str">
        <f aca="false">IF(AD60="","",IF(N(AD60)=0,"",AI60/AD60))</f>
        <v/>
      </c>
      <c r="AK60" s="66" t="str">
        <f aca="false">IF(AD60="","",IF(AD60-AI60&lt;1,0,ROUND(AD60-AI60,2)))</f>
        <v/>
      </c>
      <c r="AL60" s="66" t="str">
        <f aca="false">IF(OR(O60="",AD60=""),"",MAX(0,ROUND(N(AI60)-(AD60-N(AW60)),0)))</f>
        <v/>
      </c>
      <c r="AM60" s="73" t="str">
        <f aca="false">IF(A60="","",IF(O60="","No PO Yet",IF(AI60=0,"Not Paid",IF(N(AJ60)&gt;=0.999,"Fully Paid",IF(N(AG60)+N(AH60)&gt;0,"Partially Paid","Initial / Advance Paid")))))</f>
        <v/>
      </c>
      <c r="AN60" s="61"/>
      <c r="AO60" s="61"/>
      <c r="AP60" s="74" t="str">
        <f aca="false">IF(AK60="","",IF(OR(N(AK60)=0,AO60=""),"",MAX(0,Settings!$B$4-AO60)))</f>
        <v/>
      </c>
      <c r="AQ60" s="73" t="str">
        <f aca="false">IF(AK60="","",IF(N(AK60)&lt;=0,"",IF(AO60="","No Due Date",IF(Settings!$B$4&lt;=AO60,"Not Yet Due",IF(Settings!$B$4-AO60&lt;=30,"1-30 Days",IF(Settings!$B$4-AO60&lt;=60,"31-60 Days",IF(Settings!$B$4-AO60&lt;=90,"61-90 Days","90+ Days")))))))</f>
        <v/>
      </c>
      <c r="AR60" s="61"/>
      <c r="AS60" s="61"/>
      <c r="AT60" s="63"/>
      <c r="AU60" s="72" t="str">
        <f aca="false">IF(Q60="","",IF(N(Q60)=0,"",N(AT60)/Q60))</f>
        <v/>
      </c>
      <c r="AV60" s="75" t="str">
        <f aca="false">IF(OR(A60="",O60="",Q60=""),"",MAX(0,Q60-N(AT60)))</f>
        <v/>
      </c>
      <c r="AW60" s="66" t="str">
        <f aca="false">IF(OR(AV60="",W60=""),"",IF(N(Q60)=0,0,AV60/Q60*AD60))</f>
        <v/>
      </c>
      <c r="AX60" s="76" t="str">
        <f aca="false">IF(A60="","",IF(O60="","No PO Yet",IF(Q60="","Order Qty Missing",IF(N(AT60)&gt;=Q60,IF(N(AT60)&gt;Q60,"All In-house (+"&amp;TEXT(N(AT60)-Q60,"#,##0")&amp;" "&amp;R60&amp;" excess)","All In-house"),IF(AY60&lt;&gt;"","Short Closed - "&amp;TEXT(AV60,"#,##0")&amp;" "&amp;R60&amp;" not received",IF(N(AT60)=0,"Not Started - "&amp;TEXT(AV60,"#,##0")&amp;" "&amp;R60&amp;" pending","Pending "&amp;TEXT(AV60,"#,##0")&amp;" "&amp;R60&amp;" ("&amp;TEXT(AU60,"0%")&amp;" received)"))))))</f>
        <v/>
      </c>
      <c r="AY60" s="61"/>
      <c r="AZ60" s="77" t="str">
        <f aca="false">IF(OR(B60="",J60=""),"",J60-B60)</f>
        <v/>
      </c>
      <c r="BA60" s="77" t="str">
        <f aca="false">IF(OR(J60="",P60=""),"",P60-J60)</f>
        <v/>
      </c>
      <c r="BB60" s="77" t="str">
        <f aca="false">IF(OR(P60="",AY60=""),"",AY60-P60)</f>
        <v/>
      </c>
      <c r="BC60" s="77" t="str">
        <f aca="false">IF(OR(B60="",AY60=""),"",AY60-B60)</f>
        <v/>
      </c>
      <c r="BD60" s="74" t="str">
        <f aca="false">IF(OR(AR60="",O60=""),"",MAX(0,IF(AY60="",Settings!$B$4,AY60)-AR60))</f>
        <v/>
      </c>
      <c r="BE60" s="73" t="str">
        <f aca="false">IF(OR(AY60="",AR60=""),"",IF(AND(AY60&lt;=AR60,N(AU60)&gt;=Settings!$B$6),"OTIF","Not OTIF"))</f>
        <v/>
      </c>
      <c r="BF60" s="60"/>
      <c r="BG60" s="62"/>
      <c r="BH60" s="78"/>
      <c r="BI60" s="76" t="str">
        <f aca="false">IF(A60="","",IF(K60="Rejected","Rejected",IF(K60&lt;&gt;"Approved","Awaiting Approval",IF(O60="","Approved - PO Pending",IF(AY60&lt;&gt;"",IF(N(AJ60)&gt;=0.999,"Closed","In-house Closed - Payment Due"),IF(AS60&lt;&gt;"","Receiving In-house","PO Issued - Awaiting Delivery"))))))</f>
        <v/>
      </c>
      <c r="BJ60" s="76" t="str">
        <f aca="false">IF(A60="","",IF(IF(AND(A60&lt;&gt;"",OR(B60="",C60="",E60="",F60="",H60="")),"PR info missing; ","")&amp;IF(AND(K60="Approved",OR(J60="",I60="")),"Approval ref/date missing; ","")&amp;IF(AND(O60&lt;&gt;"",K60&lt;&gt;"Approved"),"PO without approval; ","")&amp;IF(AND(O60&lt;&gt;"",OR(P60="",M60="",Q60="",S60="",T60="")),"PO details missing; ","")&amp;IF(AND(O60&lt;&gt;"",AR60=""),"Committed date missing; ","")&amp;IF(AND(ISNUMBER(J60),ISNUMBER(B60),N(J60)&lt;N(B60)),"Approval dated before PR; ","")&amp;IF(AND(ISNUMBER(P60),ISNUMBER(J60),N(P60)&lt;N(J60)),"PO dated before approval; ","")&amp;IF(AND(ISNUMBER(AY60),ISNUMBER(AS60),N(AY60)&lt;N(AS60)),"Close before in-house start; ","")&amp;IF(AND(AY60&lt;&gt;"",AS60=""),"In-house start date missing; ","")&amp;IF(AND(AY60&lt;&gt;"",AT60=""),"Qty received missing; ","")&amp;IF(AND(AY60&lt;&gt;"",BF60=""),"QC status missing; ","")&amp;IF(N(AT60)&gt;N(Q60)*1.05,"Received &gt; ordered +5%; ","")&amp;IF(AND(N(AI60)&gt;0,AE60=""),"Payment terms missing; ","")&amp;IF(N(AI60)&gt;N(AD60)+1,"Overpaid vs PO; ","")&amp;IF(AND(N(AK60)&gt;0,AY60&lt;&gt;"",AO60=""),"Payment due date missing; ","")="","OK",IF(AND(A60&lt;&gt;"",OR(B60="",C60="",E60="",F60="",H60="")),"PR info missing; ","")&amp;IF(AND(K60="Approved",OR(J60="",I60="")),"Approval ref/date missing; ","")&amp;IF(AND(O60&lt;&gt;"",K60&lt;&gt;"Approved"),"PO without approval; ","")&amp;IF(AND(O60&lt;&gt;"",OR(P60="",M60="",Q60="",S60="",T60="")),"PO details missing; ","")&amp;IF(AND(O60&lt;&gt;"",AR60=""),"Committed date missing; ","")&amp;IF(AND(ISNUMBER(J60),ISNUMBER(B60),N(J60)&lt;N(B60)),"Approval dated before PR; ","")&amp;IF(AND(ISNUMBER(P60),ISNUMBER(J60),N(P60)&lt;N(J60)),"PO dated before approval; ","")&amp;IF(AND(ISNUMBER(AY60),ISNUMBER(AS60),N(AY60)&lt;N(AS60)),"Close before in-house start; ","")&amp;IF(AND(AY60&lt;&gt;"",AS60=""),"In-house start date missing; ","")&amp;IF(AND(AY60&lt;&gt;"",AT60=""),"Qty received missing; ","")&amp;IF(AND(AY60&lt;&gt;"",BF60=""),"QC status missing; ","")&amp;IF(N(AT60)&gt;N(Q60)*1.05,"Received &gt; ordered +5%; ","")&amp;IF(AND(N(AI60)&gt;0,AE60=""),"Payment terms missing; ","")&amp;IF(N(AI60)&gt;N(AD60)+1,"Overpaid vs PO; ","")&amp;IF(AND(N(AK60)&gt;0,AY60&lt;&gt;"",AO60=""),"Payment due date missing; ","")))</f>
        <v/>
      </c>
      <c r="BK60" s="76" t="str">
        <f aca="false">IF(A60="","",IF(N(AP60)&gt;0,"Pay supplier: "&amp;N(AP60)&amp;" days overdue; ","")&amp;IF(AND(O60&lt;&gt;"",AY60="",N(BD60)&gt;0),"Expedite delivery: "&amp;N(BD60)&amp;" days late; ","")&amp;IF(AND(BI60="Awaiting Approval",ISNUMBER(B60),Settings!$B$4-N(B60)&gt;Settings!$B$19),"Get approval: PR waiting "&amp;(Settings!$B$4-N(B60))&amp;" days; ","")&amp;IF(AND(BI60="Approved - PO Pending",ISNUMBER(J60),Settings!$B$4-N(J60)&gt;Settings!$B$20),"Issue PO: approved "&amp;(Settings!$B$4-N(J60))&amp;" days ago; ","")&amp;IF(AND(OR(BI60="Awaiting Approval",BI60="Approved - PO Pending"),N(AB60)&gt;Settings!$B$7),"Negotiate price: "&amp;TEXT(AB60,"0%")&amp;" above budget; ","")&amp;IF(LEFT(AX60,12)="Short Closed","Short closed: claim balance / credit note"&amp;IF(N(AL60)&gt;0," BDT "&amp;TEXT(AL60,"#,##0"),"")&amp;"; ","")&amp;IF(BF60="Rejected","QC rejected: return / replace; ","")&amp;IF(AND(O60&lt;&gt;"",AY60="",N(AL60)&gt;0,N(BD60)&gt;0),"Advance at risk: BDT "&amp;TEXT(AL60,"#,##0")&amp;" paid, goods late; ","")&amp;IF(AND(BJ60&lt;&gt;"",BJ60&lt;&gt;"OK"),"Fix data entry (see Data Check); ",""))</f>
        <v/>
      </c>
      <c r="BL60" s="73" t="str">
        <f aca="false">IF(BK60="","",IF(OR(N(AP60)&gt;30,AND(AY60="",N(BD60)&gt;15),BF60="Rejected",AND(LEFT(AX60,12)="Short Closed",N(AL60)&gt;0),AND(O60&lt;&gt;"",AY60="",N(AL60)&gt;0,N(BD60)&gt;0)),"High",IF(OR(N(AP60)&gt;0,AND(AY60="",N(BD60)&gt;7),LEFT(AX60,12)="Short Closed",AND(BI60="Awaiting Approval",ISNUMBER(B60),Settings!$B$4-N(B60)&gt;2*Settings!$B$19),AND(BI60="Approved - PO Pending",ISNUMBER(J60),Settings!$B$4-N(J60)&gt;2*Settings!$B$20)),"Medium","Low")))</f>
        <v/>
      </c>
      <c r="BM60" s="77" t="str">
        <f aca="false">IF(BL60="","",IF(BL60="High",1,IF(BL60="Medium",2,3))*10000+ROW())</f>
        <v/>
      </c>
      <c r="BN60" s="62"/>
    </row>
    <row r="61" customFormat="false" ht="18" hidden="false" customHeight="true" outlineLevel="0" collapsed="false">
      <c r="A61" s="60"/>
      <c r="B61" s="61"/>
      <c r="C61" s="62"/>
      <c r="D61" s="62"/>
      <c r="E61" s="62"/>
      <c r="F61" s="62"/>
      <c r="G61" s="62"/>
      <c r="H61" s="60"/>
      <c r="I61" s="60"/>
      <c r="J61" s="61"/>
      <c r="K61" s="60"/>
      <c r="L61" s="60"/>
      <c r="M61" s="62"/>
      <c r="N61" s="60"/>
      <c r="O61" s="60"/>
      <c r="P61" s="61"/>
      <c r="Q61" s="63"/>
      <c r="R61" s="60"/>
      <c r="S61" s="64"/>
      <c r="T61" s="60"/>
      <c r="U61" s="65" t="str">
        <f aca="false">IF(AND(T61="",S61=""),"",IF(T61="",1,IFERROR(INDEX(Settings!$B$12:$B$16,MATCH(T61,Settings!$A$12:$A$16,0)),1)))</f>
        <v/>
      </c>
      <c r="V61" s="64"/>
      <c r="W61" s="66" t="str">
        <f aca="false">IF(OR(Q61="",S61=""),"",Q61*S61*U61)</f>
        <v/>
      </c>
      <c r="X61" s="65" t="str">
        <f aca="false">IF(OR(W61="",N(Q61)=0),"",W61/Q61)</f>
        <v/>
      </c>
      <c r="Y61" s="65" t="str">
        <f aca="false">IF(OR(X61="",P61="",E61=""),"",IF(_xlfn.MAXIFS($P$6:$P$205,$E$6:$E$205,E61,$P$6:$P$205,"&lt;"&amp;P61,$X$6:$X$205,"&gt;0")=0,"",IFERROR(AVERAGEIFS($X$6:$X$205,$E$6:$E$205,E61,$P$6:$P$205,_xlfn.MAXIFS($P$6:$P$205,$E$6:$E$205,E61,$P$6:$P$205,"&lt;"&amp;P61,$X$6:$X$205,"&gt;0"),$X$6:$X$205,"&gt;0"),"")))</f>
        <v/>
      </c>
      <c r="Z61" s="67" t="str">
        <f aca="false">IF(OR(Y61="",X61=""),"",X61/Y61-1)</f>
        <v/>
      </c>
      <c r="AA61" s="68" t="str">
        <f aca="false">IF(OR(W61="",V61=""),"",W61-Q61*V61)</f>
        <v/>
      </c>
      <c r="AB61" s="69" t="str">
        <f aca="false">IF(AA61="","",IF(N(V61)*N(Q61)=0,"",AA61/(Q61*V61)))</f>
        <v/>
      </c>
      <c r="AC61" s="70"/>
      <c r="AD61" s="66" t="str">
        <f aca="false">IF(W61="","",W61*(1+N(AC61)))</f>
        <v/>
      </c>
      <c r="AE61" s="62"/>
      <c r="AF61" s="71"/>
      <c r="AG61" s="71"/>
      <c r="AH61" s="71"/>
      <c r="AI61" s="66" t="str">
        <f aca="false">IF(A61="","",N(AF61)+N(AG61)+N(AH61))</f>
        <v/>
      </c>
      <c r="AJ61" s="72" t="str">
        <f aca="false">IF(AD61="","",IF(N(AD61)=0,"",AI61/AD61))</f>
        <v/>
      </c>
      <c r="AK61" s="66" t="str">
        <f aca="false">IF(AD61="","",IF(AD61-AI61&lt;1,0,ROUND(AD61-AI61,2)))</f>
        <v/>
      </c>
      <c r="AL61" s="66" t="str">
        <f aca="false">IF(OR(O61="",AD61=""),"",MAX(0,ROUND(N(AI61)-(AD61-N(AW61)),0)))</f>
        <v/>
      </c>
      <c r="AM61" s="73" t="str">
        <f aca="false">IF(A61="","",IF(O61="","No PO Yet",IF(AI61=0,"Not Paid",IF(N(AJ61)&gt;=0.999,"Fully Paid",IF(N(AG61)+N(AH61)&gt;0,"Partially Paid","Initial / Advance Paid")))))</f>
        <v/>
      </c>
      <c r="AN61" s="61"/>
      <c r="AO61" s="61"/>
      <c r="AP61" s="74" t="str">
        <f aca="false">IF(AK61="","",IF(OR(N(AK61)=0,AO61=""),"",MAX(0,Settings!$B$4-AO61)))</f>
        <v/>
      </c>
      <c r="AQ61" s="73" t="str">
        <f aca="false">IF(AK61="","",IF(N(AK61)&lt;=0,"",IF(AO61="","No Due Date",IF(Settings!$B$4&lt;=AO61,"Not Yet Due",IF(Settings!$B$4-AO61&lt;=30,"1-30 Days",IF(Settings!$B$4-AO61&lt;=60,"31-60 Days",IF(Settings!$B$4-AO61&lt;=90,"61-90 Days","90+ Days")))))))</f>
        <v/>
      </c>
      <c r="AR61" s="61"/>
      <c r="AS61" s="61"/>
      <c r="AT61" s="63"/>
      <c r="AU61" s="72" t="str">
        <f aca="false">IF(Q61="","",IF(N(Q61)=0,"",N(AT61)/Q61))</f>
        <v/>
      </c>
      <c r="AV61" s="75" t="str">
        <f aca="false">IF(OR(A61="",O61="",Q61=""),"",MAX(0,Q61-N(AT61)))</f>
        <v/>
      </c>
      <c r="AW61" s="66" t="str">
        <f aca="false">IF(OR(AV61="",W61=""),"",IF(N(Q61)=0,0,AV61/Q61*AD61))</f>
        <v/>
      </c>
      <c r="AX61" s="76" t="str">
        <f aca="false">IF(A61="","",IF(O61="","No PO Yet",IF(Q61="","Order Qty Missing",IF(N(AT61)&gt;=Q61,IF(N(AT61)&gt;Q61,"All In-house (+"&amp;TEXT(N(AT61)-Q61,"#,##0")&amp;" "&amp;R61&amp;" excess)","All In-house"),IF(AY61&lt;&gt;"","Short Closed - "&amp;TEXT(AV61,"#,##0")&amp;" "&amp;R61&amp;" not received",IF(N(AT61)=0,"Not Started - "&amp;TEXT(AV61,"#,##0")&amp;" "&amp;R61&amp;" pending","Pending "&amp;TEXT(AV61,"#,##0")&amp;" "&amp;R61&amp;" ("&amp;TEXT(AU61,"0%")&amp;" received)"))))))</f>
        <v/>
      </c>
      <c r="AY61" s="61"/>
      <c r="AZ61" s="77" t="str">
        <f aca="false">IF(OR(B61="",J61=""),"",J61-B61)</f>
        <v/>
      </c>
      <c r="BA61" s="77" t="str">
        <f aca="false">IF(OR(J61="",P61=""),"",P61-J61)</f>
        <v/>
      </c>
      <c r="BB61" s="77" t="str">
        <f aca="false">IF(OR(P61="",AY61=""),"",AY61-P61)</f>
        <v/>
      </c>
      <c r="BC61" s="77" t="str">
        <f aca="false">IF(OR(B61="",AY61=""),"",AY61-B61)</f>
        <v/>
      </c>
      <c r="BD61" s="74" t="str">
        <f aca="false">IF(OR(AR61="",O61=""),"",MAX(0,IF(AY61="",Settings!$B$4,AY61)-AR61))</f>
        <v/>
      </c>
      <c r="BE61" s="73" t="str">
        <f aca="false">IF(OR(AY61="",AR61=""),"",IF(AND(AY61&lt;=AR61,N(AU61)&gt;=Settings!$B$6),"OTIF","Not OTIF"))</f>
        <v/>
      </c>
      <c r="BF61" s="60"/>
      <c r="BG61" s="62"/>
      <c r="BH61" s="78"/>
      <c r="BI61" s="76" t="str">
        <f aca="false">IF(A61="","",IF(K61="Rejected","Rejected",IF(K61&lt;&gt;"Approved","Awaiting Approval",IF(O61="","Approved - PO Pending",IF(AY61&lt;&gt;"",IF(N(AJ61)&gt;=0.999,"Closed","In-house Closed - Payment Due"),IF(AS61&lt;&gt;"","Receiving In-house","PO Issued - Awaiting Delivery"))))))</f>
        <v/>
      </c>
      <c r="BJ61" s="76" t="str">
        <f aca="false">IF(A61="","",IF(IF(AND(A61&lt;&gt;"",OR(B61="",C61="",E61="",F61="",H61="")),"PR info missing; ","")&amp;IF(AND(K61="Approved",OR(J61="",I61="")),"Approval ref/date missing; ","")&amp;IF(AND(O61&lt;&gt;"",K61&lt;&gt;"Approved"),"PO without approval; ","")&amp;IF(AND(O61&lt;&gt;"",OR(P61="",M61="",Q61="",S61="",T61="")),"PO details missing; ","")&amp;IF(AND(O61&lt;&gt;"",AR61=""),"Committed date missing; ","")&amp;IF(AND(ISNUMBER(J61),ISNUMBER(B61),N(J61)&lt;N(B61)),"Approval dated before PR; ","")&amp;IF(AND(ISNUMBER(P61),ISNUMBER(J61),N(P61)&lt;N(J61)),"PO dated before approval; ","")&amp;IF(AND(ISNUMBER(AY61),ISNUMBER(AS61),N(AY61)&lt;N(AS61)),"Close before in-house start; ","")&amp;IF(AND(AY61&lt;&gt;"",AS61=""),"In-house start date missing; ","")&amp;IF(AND(AY61&lt;&gt;"",AT61=""),"Qty received missing; ","")&amp;IF(AND(AY61&lt;&gt;"",BF61=""),"QC status missing; ","")&amp;IF(N(AT61)&gt;N(Q61)*1.05,"Received &gt; ordered +5%; ","")&amp;IF(AND(N(AI61)&gt;0,AE61=""),"Payment terms missing; ","")&amp;IF(N(AI61)&gt;N(AD61)+1,"Overpaid vs PO; ","")&amp;IF(AND(N(AK61)&gt;0,AY61&lt;&gt;"",AO61=""),"Payment due date missing; ","")="","OK",IF(AND(A61&lt;&gt;"",OR(B61="",C61="",E61="",F61="",H61="")),"PR info missing; ","")&amp;IF(AND(K61="Approved",OR(J61="",I61="")),"Approval ref/date missing; ","")&amp;IF(AND(O61&lt;&gt;"",K61&lt;&gt;"Approved"),"PO without approval; ","")&amp;IF(AND(O61&lt;&gt;"",OR(P61="",M61="",Q61="",S61="",T61="")),"PO details missing; ","")&amp;IF(AND(O61&lt;&gt;"",AR61=""),"Committed date missing; ","")&amp;IF(AND(ISNUMBER(J61),ISNUMBER(B61),N(J61)&lt;N(B61)),"Approval dated before PR; ","")&amp;IF(AND(ISNUMBER(P61),ISNUMBER(J61),N(P61)&lt;N(J61)),"PO dated before approval; ","")&amp;IF(AND(ISNUMBER(AY61),ISNUMBER(AS61),N(AY61)&lt;N(AS61)),"Close before in-house start; ","")&amp;IF(AND(AY61&lt;&gt;"",AS61=""),"In-house start date missing; ","")&amp;IF(AND(AY61&lt;&gt;"",AT61=""),"Qty received missing; ","")&amp;IF(AND(AY61&lt;&gt;"",BF61=""),"QC status missing; ","")&amp;IF(N(AT61)&gt;N(Q61)*1.05,"Received &gt; ordered +5%; ","")&amp;IF(AND(N(AI61)&gt;0,AE61=""),"Payment terms missing; ","")&amp;IF(N(AI61)&gt;N(AD61)+1,"Overpaid vs PO; ","")&amp;IF(AND(N(AK61)&gt;0,AY61&lt;&gt;"",AO61=""),"Payment due date missing; ","")))</f>
        <v/>
      </c>
      <c r="BK61" s="76" t="str">
        <f aca="false">IF(A61="","",IF(N(AP61)&gt;0,"Pay supplier: "&amp;N(AP61)&amp;" days overdue; ","")&amp;IF(AND(O61&lt;&gt;"",AY61="",N(BD61)&gt;0),"Expedite delivery: "&amp;N(BD61)&amp;" days late; ","")&amp;IF(AND(BI61="Awaiting Approval",ISNUMBER(B61),Settings!$B$4-N(B61)&gt;Settings!$B$19),"Get approval: PR waiting "&amp;(Settings!$B$4-N(B61))&amp;" days; ","")&amp;IF(AND(BI61="Approved - PO Pending",ISNUMBER(J61),Settings!$B$4-N(J61)&gt;Settings!$B$20),"Issue PO: approved "&amp;(Settings!$B$4-N(J61))&amp;" days ago; ","")&amp;IF(AND(OR(BI61="Awaiting Approval",BI61="Approved - PO Pending"),N(AB61)&gt;Settings!$B$7),"Negotiate price: "&amp;TEXT(AB61,"0%")&amp;" above budget; ","")&amp;IF(LEFT(AX61,12)="Short Closed","Short closed: claim balance / credit note"&amp;IF(N(AL61)&gt;0," BDT "&amp;TEXT(AL61,"#,##0"),"")&amp;"; ","")&amp;IF(BF61="Rejected","QC rejected: return / replace; ","")&amp;IF(AND(O61&lt;&gt;"",AY61="",N(AL61)&gt;0,N(BD61)&gt;0),"Advance at risk: BDT "&amp;TEXT(AL61,"#,##0")&amp;" paid, goods late; ","")&amp;IF(AND(BJ61&lt;&gt;"",BJ61&lt;&gt;"OK"),"Fix data entry (see Data Check); ",""))</f>
        <v/>
      </c>
      <c r="BL61" s="73" t="str">
        <f aca="false">IF(BK61="","",IF(OR(N(AP61)&gt;30,AND(AY61="",N(BD61)&gt;15),BF61="Rejected",AND(LEFT(AX61,12)="Short Closed",N(AL61)&gt;0),AND(O61&lt;&gt;"",AY61="",N(AL61)&gt;0,N(BD61)&gt;0)),"High",IF(OR(N(AP61)&gt;0,AND(AY61="",N(BD61)&gt;7),LEFT(AX61,12)="Short Closed",AND(BI61="Awaiting Approval",ISNUMBER(B61),Settings!$B$4-N(B61)&gt;2*Settings!$B$19),AND(BI61="Approved - PO Pending",ISNUMBER(J61),Settings!$B$4-N(J61)&gt;2*Settings!$B$20)),"Medium","Low")))</f>
        <v/>
      </c>
      <c r="BM61" s="77" t="str">
        <f aca="false">IF(BL61="","",IF(BL61="High",1,IF(BL61="Medium",2,3))*10000+ROW())</f>
        <v/>
      </c>
      <c r="BN61" s="62"/>
    </row>
    <row r="62" customFormat="false" ht="18" hidden="false" customHeight="true" outlineLevel="0" collapsed="false">
      <c r="A62" s="60"/>
      <c r="B62" s="61"/>
      <c r="C62" s="62"/>
      <c r="D62" s="62"/>
      <c r="E62" s="62"/>
      <c r="F62" s="62"/>
      <c r="G62" s="62"/>
      <c r="H62" s="60"/>
      <c r="I62" s="60"/>
      <c r="J62" s="61"/>
      <c r="K62" s="60"/>
      <c r="L62" s="60"/>
      <c r="M62" s="62"/>
      <c r="N62" s="60"/>
      <c r="O62" s="60"/>
      <c r="P62" s="61"/>
      <c r="Q62" s="63"/>
      <c r="R62" s="60"/>
      <c r="S62" s="64"/>
      <c r="T62" s="60"/>
      <c r="U62" s="65" t="str">
        <f aca="false">IF(AND(T62="",S62=""),"",IF(T62="",1,IFERROR(INDEX(Settings!$B$12:$B$16,MATCH(T62,Settings!$A$12:$A$16,0)),1)))</f>
        <v/>
      </c>
      <c r="V62" s="64"/>
      <c r="W62" s="66" t="str">
        <f aca="false">IF(OR(Q62="",S62=""),"",Q62*S62*U62)</f>
        <v/>
      </c>
      <c r="X62" s="65" t="str">
        <f aca="false">IF(OR(W62="",N(Q62)=0),"",W62/Q62)</f>
        <v/>
      </c>
      <c r="Y62" s="65" t="str">
        <f aca="false">IF(OR(X62="",P62="",E62=""),"",IF(_xlfn.MAXIFS($P$6:$P$205,$E$6:$E$205,E62,$P$6:$P$205,"&lt;"&amp;P62,$X$6:$X$205,"&gt;0")=0,"",IFERROR(AVERAGEIFS($X$6:$X$205,$E$6:$E$205,E62,$P$6:$P$205,_xlfn.MAXIFS($P$6:$P$205,$E$6:$E$205,E62,$P$6:$P$205,"&lt;"&amp;P62,$X$6:$X$205,"&gt;0"),$X$6:$X$205,"&gt;0"),"")))</f>
        <v/>
      </c>
      <c r="Z62" s="67" t="str">
        <f aca="false">IF(OR(Y62="",X62=""),"",X62/Y62-1)</f>
        <v/>
      </c>
      <c r="AA62" s="68" t="str">
        <f aca="false">IF(OR(W62="",V62=""),"",W62-Q62*V62)</f>
        <v/>
      </c>
      <c r="AB62" s="69" t="str">
        <f aca="false">IF(AA62="","",IF(N(V62)*N(Q62)=0,"",AA62/(Q62*V62)))</f>
        <v/>
      </c>
      <c r="AC62" s="70"/>
      <c r="AD62" s="66" t="str">
        <f aca="false">IF(W62="","",W62*(1+N(AC62)))</f>
        <v/>
      </c>
      <c r="AE62" s="62"/>
      <c r="AF62" s="71"/>
      <c r="AG62" s="71"/>
      <c r="AH62" s="71"/>
      <c r="AI62" s="66" t="str">
        <f aca="false">IF(A62="","",N(AF62)+N(AG62)+N(AH62))</f>
        <v/>
      </c>
      <c r="AJ62" s="72" t="str">
        <f aca="false">IF(AD62="","",IF(N(AD62)=0,"",AI62/AD62))</f>
        <v/>
      </c>
      <c r="AK62" s="66" t="str">
        <f aca="false">IF(AD62="","",IF(AD62-AI62&lt;1,0,ROUND(AD62-AI62,2)))</f>
        <v/>
      </c>
      <c r="AL62" s="66" t="str">
        <f aca="false">IF(OR(O62="",AD62=""),"",MAX(0,ROUND(N(AI62)-(AD62-N(AW62)),0)))</f>
        <v/>
      </c>
      <c r="AM62" s="73" t="str">
        <f aca="false">IF(A62="","",IF(O62="","No PO Yet",IF(AI62=0,"Not Paid",IF(N(AJ62)&gt;=0.999,"Fully Paid",IF(N(AG62)+N(AH62)&gt;0,"Partially Paid","Initial / Advance Paid")))))</f>
        <v/>
      </c>
      <c r="AN62" s="61"/>
      <c r="AO62" s="61"/>
      <c r="AP62" s="74" t="str">
        <f aca="false">IF(AK62="","",IF(OR(N(AK62)=0,AO62=""),"",MAX(0,Settings!$B$4-AO62)))</f>
        <v/>
      </c>
      <c r="AQ62" s="73" t="str">
        <f aca="false">IF(AK62="","",IF(N(AK62)&lt;=0,"",IF(AO62="","No Due Date",IF(Settings!$B$4&lt;=AO62,"Not Yet Due",IF(Settings!$B$4-AO62&lt;=30,"1-30 Days",IF(Settings!$B$4-AO62&lt;=60,"31-60 Days",IF(Settings!$B$4-AO62&lt;=90,"61-90 Days","90+ Days")))))))</f>
        <v/>
      </c>
      <c r="AR62" s="61"/>
      <c r="AS62" s="61"/>
      <c r="AT62" s="63"/>
      <c r="AU62" s="72" t="str">
        <f aca="false">IF(Q62="","",IF(N(Q62)=0,"",N(AT62)/Q62))</f>
        <v/>
      </c>
      <c r="AV62" s="75" t="str">
        <f aca="false">IF(OR(A62="",O62="",Q62=""),"",MAX(0,Q62-N(AT62)))</f>
        <v/>
      </c>
      <c r="AW62" s="66" t="str">
        <f aca="false">IF(OR(AV62="",W62=""),"",IF(N(Q62)=0,0,AV62/Q62*AD62))</f>
        <v/>
      </c>
      <c r="AX62" s="76" t="str">
        <f aca="false">IF(A62="","",IF(O62="","No PO Yet",IF(Q62="","Order Qty Missing",IF(N(AT62)&gt;=Q62,IF(N(AT62)&gt;Q62,"All In-house (+"&amp;TEXT(N(AT62)-Q62,"#,##0")&amp;" "&amp;R62&amp;" excess)","All In-house"),IF(AY62&lt;&gt;"","Short Closed - "&amp;TEXT(AV62,"#,##0")&amp;" "&amp;R62&amp;" not received",IF(N(AT62)=0,"Not Started - "&amp;TEXT(AV62,"#,##0")&amp;" "&amp;R62&amp;" pending","Pending "&amp;TEXT(AV62,"#,##0")&amp;" "&amp;R62&amp;" ("&amp;TEXT(AU62,"0%")&amp;" received)"))))))</f>
        <v/>
      </c>
      <c r="AY62" s="61"/>
      <c r="AZ62" s="77" t="str">
        <f aca="false">IF(OR(B62="",J62=""),"",J62-B62)</f>
        <v/>
      </c>
      <c r="BA62" s="77" t="str">
        <f aca="false">IF(OR(J62="",P62=""),"",P62-J62)</f>
        <v/>
      </c>
      <c r="BB62" s="77" t="str">
        <f aca="false">IF(OR(P62="",AY62=""),"",AY62-P62)</f>
        <v/>
      </c>
      <c r="BC62" s="77" t="str">
        <f aca="false">IF(OR(B62="",AY62=""),"",AY62-B62)</f>
        <v/>
      </c>
      <c r="BD62" s="74" t="str">
        <f aca="false">IF(OR(AR62="",O62=""),"",MAX(0,IF(AY62="",Settings!$B$4,AY62)-AR62))</f>
        <v/>
      </c>
      <c r="BE62" s="73" t="str">
        <f aca="false">IF(OR(AY62="",AR62=""),"",IF(AND(AY62&lt;=AR62,N(AU62)&gt;=Settings!$B$6),"OTIF","Not OTIF"))</f>
        <v/>
      </c>
      <c r="BF62" s="60"/>
      <c r="BG62" s="62"/>
      <c r="BH62" s="78"/>
      <c r="BI62" s="76" t="str">
        <f aca="false">IF(A62="","",IF(K62="Rejected","Rejected",IF(K62&lt;&gt;"Approved","Awaiting Approval",IF(O62="","Approved - PO Pending",IF(AY62&lt;&gt;"",IF(N(AJ62)&gt;=0.999,"Closed","In-house Closed - Payment Due"),IF(AS62&lt;&gt;"","Receiving In-house","PO Issued - Awaiting Delivery"))))))</f>
        <v/>
      </c>
      <c r="BJ62" s="76" t="str">
        <f aca="false">IF(A62="","",IF(IF(AND(A62&lt;&gt;"",OR(B62="",C62="",E62="",F62="",H62="")),"PR info missing; ","")&amp;IF(AND(K62="Approved",OR(J62="",I62="")),"Approval ref/date missing; ","")&amp;IF(AND(O62&lt;&gt;"",K62&lt;&gt;"Approved"),"PO without approval; ","")&amp;IF(AND(O62&lt;&gt;"",OR(P62="",M62="",Q62="",S62="",T62="")),"PO details missing; ","")&amp;IF(AND(O62&lt;&gt;"",AR62=""),"Committed date missing; ","")&amp;IF(AND(ISNUMBER(J62),ISNUMBER(B62),N(J62)&lt;N(B62)),"Approval dated before PR; ","")&amp;IF(AND(ISNUMBER(P62),ISNUMBER(J62),N(P62)&lt;N(J62)),"PO dated before approval; ","")&amp;IF(AND(ISNUMBER(AY62),ISNUMBER(AS62),N(AY62)&lt;N(AS62)),"Close before in-house start; ","")&amp;IF(AND(AY62&lt;&gt;"",AS62=""),"In-house start date missing; ","")&amp;IF(AND(AY62&lt;&gt;"",AT62=""),"Qty received missing; ","")&amp;IF(AND(AY62&lt;&gt;"",BF62=""),"QC status missing; ","")&amp;IF(N(AT62)&gt;N(Q62)*1.05,"Received &gt; ordered +5%; ","")&amp;IF(AND(N(AI62)&gt;0,AE62=""),"Payment terms missing; ","")&amp;IF(N(AI62)&gt;N(AD62)+1,"Overpaid vs PO; ","")&amp;IF(AND(N(AK62)&gt;0,AY62&lt;&gt;"",AO62=""),"Payment due date missing; ","")="","OK",IF(AND(A62&lt;&gt;"",OR(B62="",C62="",E62="",F62="",H62="")),"PR info missing; ","")&amp;IF(AND(K62="Approved",OR(J62="",I62="")),"Approval ref/date missing; ","")&amp;IF(AND(O62&lt;&gt;"",K62&lt;&gt;"Approved"),"PO without approval; ","")&amp;IF(AND(O62&lt;&gt;"",OR(P62="",M62="",Q62="",S62="",T62="")),"PO details missing; ","")&amp;IF(AND(O62&lt;&gt;"",AR62=""),"Committed date missing; ","")&amp;IF(AND(ISNUMBER(J62),ISNUMBER(B62),N(J62)&lt;N(B62)),"Approval dated before PR; ","")&amp;IF(AND(ISNUMBER(P62),ISNUMBER(J62),N(P62)&lt;N(J62)),"PO dated before approval; ","")&amp;IF(AND(ISNUMBER(AY62),ISNUMBER(AS62),N(AY62)&lt;N(AS62)),"Close before in-house start; ","")&amp;IF(AND(AY62&lt;&gt;"",AS62=""),"In-house start date missing; ","")&amp;IF(AND(AY62&lt;&gt;"",AT62=""),"Qty received missing; ","")&amp;IF(AND(AY62&lt;&gt;"",BF62=""),"QC status missing; ","")&amp;IF(N(AT62)&gt;N(Q62)*1.05,"Received &gt; ordered +5%; ","")&amp;IF(AND(N(AI62)&gt;0,AE62=""),"Payment terms missing; ","")&amp;IF(N(AI62)&gt;N(AD62)+1,"Overpaid vs PO; ","")&amp;IF(AND(N(AK62)&gt;0,AY62&lt;&gt;"",AO62=""),"Payment due date missing; ","")))</f>
        <v/>
      </c>
      <c r="BK62" s="76" t="str">
        <f aca="false">IF(A62="","",IF(N(AP62)&gt;0,"Pay supplier: "&amp;N(AP62)&amp;" days overdue; ","")&amp;IF(AND(O62&lt;&gt;"",AY62="",N(BD62)&gt;0),"Expedite delivery: "&amp;N(BD62)&amp;" days late; ","")&amp;IF(AND(BI62="Awaiting Approval",ISNUMBER(B62),Settings!$B$4-N(B62)&gt;Settings!$B$19),"Get approval: PR waiting "&amp;(Settings!$B$4-N(B62))&amp;" days; ","")&amp;IF(AND(BI62="Approved - PO Pending",ISNUMBER(J62),Settings!$B$4-N(J62)&gt;Settings!$B$20),"Issue PO: approved "&amp;(Settings!$B$4-N(J62))&amp;" days ago; ","")&amp;IF(AND(OR(BI62="Awaiting Approval",BI62="Approved - PO Pending"),N(AB62)&gt;Settings!$B$7),"Negotiate price: "&amp;TEXT(AB62,"0%")&amp;" above budget; ","")&amp;IF(LEFT(AX62,12)="Short Closed","Short closed: claim balance / credit note"&amp;IF(N(AL62)&gt;0," BDT "&amp;TEXT(AL62,"#,##0"),"")&amp;"; ","")&amp;IF(BF62="Rejected","QC rejected: return / replace; ","")&amp;IF(AND(O62&lt;&gt;"",AY62="",N(AL62)&gt;0,N(BD62)&gt;0),"Advance at risk: BDT "&amp;TEXT(AL62,"#,##0")&amp;" paid, goods late; ","")&amp;IF(AND(BJ62&lt;&gt;"",BJ62&lt;&gt;"OK"),"Fix data entry (see Data Check); ",""))</f>
        <v/>
      </c>
      <c r="BL62" s="73" t="str">
        <f aca="false">IF(BK62="","",IF(OR(N(AP62)&gt;30,AND(AY62="",N(BD62)&gt;15),BF62="Rejected",AND(LEFT(AX62,12)="Short Closed",N(AL62)&gt;0),AND(O62&lt;&gt;"",AY62="",N(AL62)&gt;0,N(BD62)&gt;0)),"High",IF(OR(N(AP62)&gt;0,AND(AY62="",N(BD62)&gt;7),LEFT(AX62,12)="Short Closed",AND(BI62="Awaiting Approval",ISNUMBER(B62),Settings!$B$4-N(B62)&gt;2*Settings!$B$19),AND(BI62="Approved - PO Pending",ISNUMBER(J62),Settings!$B$4-N(J62)&gt;2*Settings!$B$20)),"Medium","Low")))</f>
        <v/>
      </c>
      <c r="BM62" s="77" t="str">
        <f aca="false">IF(BL62="","",IF(BL62="High",1,IF(BL62="Medium",2,3))*10000+ROW())</f>
        <v/>
      </c>
      <c r="BN62" s="62"/>
    </row>
    <row r="63" customFormat="false" ht="18" hidden="false" customHeight="true" outlineLevel="0" collapsed="false">
      <c r="A63" s="60"/>
      <c r="B63" s="61"/>
      <c r="C63" s="62"/>
      <c r="D63" s="62"/>
      <c r="E63" s="62"/>
      <c r="F63" s="62"/>
      <c r="G63" s="62"/>
      <c r="H63" s="60"/>
      <c r="I63" s="60"/>
      <c r="J63" s="61"/>
      <c r="K63" s="60"/>
      <c r="L63" s="60"/>
      <c r="M63" s="62"/>
      <c r="N63" s="60"/>
      <c r="O63" s="60"/>
      <c r="P63" s="61"/>
      <c r="Q63" s="63"/>
      <c r="R63" s="60"/>
      <c r="S63" s="64"/>
      <c r="T63" s="60"/>
      <c r="U63" s="65" t="str">
        <f aca="false">IF(AND(T63="",S63=""),"",IF(T63="",1,IFERROR(INDEX(Settings!$B$12:$B$16,MATCH(T63,Settings!$A$12:$A$16,0)),1)))</f>
        <v/>
      </c>
      <c r="V63" s="64"/>
      <c r="W63" s="66" t="str">
        <f aca="false">IF(OR(Q63="",S63=""),"",Q63*S63*U63)</f>
        <v/>
      </c>
      <c r="X63" s="65" t="str">
        <f aca="false">IF(OR(W63="",N(Q63)=0),"",W63/Q63)</f>
        <v/>
      </c>
      <c r="Y63" s="65" t="str">
        <f aca="false">IF(OR(X63="",P63="",E63=""),"",IF(_xlfn.MAXIFS($P$6:$P$205,$E$6:$E$205,E63,$P$6:$P$205,"&lt;"&amp;P63,$X$6:$X$205,"&gt;0")=0,"",IFERROR(AVERAGEIFS($X$6:$X$205,$E$6:$E$205,E63,$P$6:$P$205,_xlfn.MAXIFS($P$6:$P$205,$E$6:$E$205,E63,$P$6:$P$205,"&lt;"&amp;P63,$X$6:$X$205,"&gt;0"),$X$6:$X$205,"&gt;0"),"")))</f>
        <v/>
      </c>
      <c r="Z63" s="67" t="str">
        <f aca="false">IF(OR(Y63="",X63=""),"",X63/Y63-1)</f>
        <v/>
      </c>
      <c r="AA63" s="68" t="str">
        <f aca="false">IF(OR(W63="",V63=""),"",W63-Q63*V63)</f>
        <v/>
      </c>
      <c r="AB63" s="69" t="str">
        <f aca="false">IF(AA63="","",IF(N(V63)*N(Q63)=0,"",AA63/(Q63*V63)))</f>
        <v/>
      </c>
      <c r="AC63" s="70"/>
      <c r="AD63" s="66" t="str">
        <f aca="false">IF(W63="","",W63*(1+N(AC63)))</f>
        <v/>
      </c>
      <c r="AE63" s="62"/>
      <c r="AF63" s="71"/>
      <c r="AG63" s="71"/>
      <c r="AH63" s="71"/>
      <c r="AI63" s="66" t="str">
        <f aca="false">IF(A63="","",N(AF63)+N(AG63)+N(AH63))</f>
        <v/>
      </c>
      <c r="AJ63" s="72" t="str">
        <f aca="false">IF(AD63="","",IF(N(AD63)=0,"",AI63/AD63))</f>
        <v/>
      </c>
      <c r="AK63" s="66" t="str">
        <f aca="false">IF(AD63="","",IF(AD63-AI63&lt;1,0,ROUND(AD63-AI63,2)))</f>
        <v/>
      </c>
      <c r="AL63" s="66" t="str">
        <f aca="false">IF(OR(O63="",AD63=""),"",MAX(0,ROUND(N(AI63)-(AD63-N(AW63)),0)))</f>
        <v/>
      </c>
      <c r="AM63" s="73" t="str">
        <f aca="false">IF(A63="","",IF(O63="","No PO Yet",IF(AI63=0,"Not Paid",IF(N(AJ63)&gt;=0.999,"Fully Paid",IF(N(AG63)+N(AH63)&gt;0,"Partially Paid","Initial / Advance Paid")))))</f>
        <v/>
      </c>
      <c r="AN63" s="61"/>
      <c r="AO63" s="61"/>
      <c r="AP63" s="74" t="str">
        <f aca="false">IF(AK63="","",IF(OR(N(AK63)=0,AO63=""),"",MAX(0,Settings!$B$4-AO63)))</f>
        <v/>
      </c>
      <c r="AQ63" s="73" t="str">
        <f aca="false">IF(AK63="","",IF(N(AK63)&lt;=0,"",IF(AO63="","No Due Date",IF(Settings!$B$4&lt;=AO63,"Not Yet Due",IF(Settings!$B$4-AO63&lt;=30,"1-30 Days",IF(Settings!$B$4-AO63&lt;=60,"31-60 Days",IF(Settings!$B$4-AO63&lt;=90,"61-90 Days","90+ Days")))))))</f>
        <v/>
      </c>
      <c r="AR63" s="61"/>
      <c r="AS63" s="61"/>
      <c r="AT63" s="63"/>
      <c r="AU63" s="72" t="str">
        <f aca="false">IF(Q63="","",IF(N(Q63)=0,"",N(AT63)/Q63))</f>
        <v/>
      </c>
      <c r="AV63" s="75" t="str">
        <f aca="false">IF(OR(A63="",O63="",Q63=""),"",MAX(0,Q63-N(AT63)))</f>
        <v/>
      </c>
      <c r="AW63" s="66" t="str">
        <f aca="false">IF(OR(AV63="",W63=""),"",IF(N(Q63)=0,0,AV63/Q63*AD63))</f>
        <v/>
      </c>
      <c r="AX63" s="76" t="str">
        <f aca="false">IF(A63="","",IF(O63="","No PO Yet",IF(Q63="","Order Qty Missing",IF(N(AT63)&gt;=Q63,IF(N(AT63)&gt;Q63,"All In-house (+"&amp;TEXT(N(AT63)-Q63,"#,##0")&amp;" "&amp;R63&amp;" excess)","All In-house"),IF(AY63&lt;&gt;"","Short Closed - "&amp;TEXT(AV63,"#,##0")&amp;" "&amp;R63&amp;" not received",IF(N(AT63)=0,"Not Started - "&amp;TEXT(AV63,"#,##0")&amp;" "&amp;R63&amp;" pending","Pending "&amp;TEXT(AV63,"#,##0")&amp;" "&amp;R63&amp;" ("&amp;TEXT(AU63,"0%")&amp;" received)"))))))</f>
        <v/>
      </c>
      <c r="AY63" s="61"/>
      <c r="AZ63" s="77" t="str">
        <f aca="false">IF(OR(B63="",J63=""),"",J63-B63)</f>
        <v/>
      </c>
      <c r="BA63" s="77" t="str">
        <f aca="false">IF(OR(J63="",P63=""),"",P63-J63)</f>
        <v/>
      </c>
      <c r="BB63" s="77" t="str">
        <f aca="false">IF(OR(P63="",AY63=""),"",AY63-P63)</f>
        <v/>
      </c>
      <c r="BC63" s="77" t="str">
        <f aca="false">IF(OR(B63="",AY63=""),"",AY63-B63)</f>
        <v/>
      </c>
      <c r="BD63" s="74" t="str">
        <f aca="false">IF(OR(AR63="",O63=""),"",MAX(0,IF(AY63="",Settings!$B$4,AY63)-AR63))</f>
        <v/>
      </c>
      <c r="BE63" s="73" t="str">
        <f aca="false">IF(OR(AY63="",AR63=""),"",IF(AND(AY63&lt;=AR63,N(AU63)&gt;=Settings!$B$6),"OTIF","Not OTIF"))</f>
        <v/>
      </c>
      <c r="BF63" s="60"/>
      <c r="BG63" s="62"/>
      <c r="BH63" s="78"/>
      <c r="BI63" s="76" t="str">
        <f aca="false">IF(A63="","",IF(K63="Rejected","Rejected",IF(K63&lt;&gt;"Approved","Awaiting Approval",IF(O63="","Approved - PO Pending",IF(AY63&lt;&gt;"",IF(N(AJ63)&gt;=0.999,"Closed","In-house Closed - Payment Due"),IF(AS63&lt;&gt;"","Receiving In-house","PO Issued - Awaiting Delivery"))))))</f>
        <v/>
      </c>
      <c r="BJ63" s="76" t="str">
        <f aca="false">IF(A63="","",IF(IF(AND(A63&lt;&gt;"",OR(B63="",C63="",E63="",F63="",H63="")),"PR info missing; ","")&amp;IF(AND(K63="Approved",OR(J63="",I63="")),"Approval ref/date missing; ","")&amp;IF(AND(O63&lt;&gt;"",K63&lt;&gt;"Approved"),"PO without approval; ","")&amp;IF(AND(O63&lt;&gt;"",OR(P63="",M63="",Q63="",S63="",T63="")),"PO details missing; ","")&amp;IF(AND(O63&lt;&gt;"",AR63=""),"Committed date missing; ","")&amp;IF(AND(ISNUMBER(J63),ISNUMBER(B63),N(J63)&lt;N(B63)),"Approval dated before PR; ","")&amp;IF(AND(ISNUMBER(P63),ISNUMBER(J63),N(P63)&lt;N(J63)),"PO dated before approval; ","")&amp;IF(AND(ISNUMBER(AY63),ISNUMBER(AS63),N(AY63)&lt;N(AS63)),"Close before in-house start; ","")&amp;IF(AND(AY63&lt;&gt;"",AS63=""),"In-house start date missing; ","")&amp;IF(AND(AY63&lt;&gt;"",AT63=""),"Qty received missing; ","")&amp;IF(AND(AY63&lt;&gt;"",BF63=""),"QC status missing; ","")&amp;IF(N(AT63)&gt;N(Q63)*1.05,"Received &gt; ordered +5%; ","")&amp;IF(AND(N(AI63)&gt;0,AE63=""),"Payment terms missing; ","")&amp;IF(N(AI63)&gt;N(AD63)+1,"Overpaid vs PO; ","")&amp;IF(AND(N(AK63)&gt;0,AY63&lt;&gt;"",AO63=""),"Payment due date missing; ","")="","OK",IF(AND(A63&lt;&gt;"",OR(B63="",C63="",E63="",F63="",H63="")),"PR info missing; ","")&amp;IF(AND(K63="Approved",OR(J63="",I63="")),"Approval ref/date missing; ","")&amp;IF(AND(O63&lt;&gt;"",K63&lt;&gt;"Approved"),"PO without approval; ","")&amp;IF(AND(O63&lt;&gt;"",OR(P63="",M63="",Q63="",S63="",T63="")),"PO details missing; ","")&amp;IF(AND(O63&lt;&gt;"",AR63=""),"Committed date missing; ","")&amp;IF(AND(ISNUMBER(J63),ISNUMBER(B63),N(J63)&lt;N(B63)),"Approval dated before PR; ","")&amp;IF(AND(ISNUMBER(P63),ISNUMBER(J63),N(P63)&lt;N(J63)),"PO dated before approval; ","")&amp;IF(AND(ISNUMBER(AY63),ISNUMBER(AS63),N(AY63)&lt;N(AS63)),"Close before in-house start; ","")&amp;IF(AND(AY63&lt;&gt;"",AS63=""),"In-house start date missing; ","")&amp;IF(AND(AY63&lt;&gt;"",AT63=""),"Qty received missing; ","")&amp;IF(AND(AY63&lt;&gt;"",BF63=""),"QC status missing; ","")&amp;IF(N(AT63)&gt;N(Q63)*1.05,"Received &gt; ordered +5%; ","")&amp;IF(AND(N(AI63)&gt;0,AE63=""),"Payment terms missing; ","")&amp;IF(N(AI63)&gt;N(AD63)+1,"Overpaid vs PO; ","")&amp;IF(AND(N(AK63)&gt;0,AY63&lt;&gt;"",AO63=""),"Payment due date missing; ","")))</f>
        <v/>
      </c>
      <c r="BK63" s="76" t="str">
        <f aca="false">IF(A63="","",IF(N(AP63)&gt;0,"Pay supplier: "&amp;N(AP63)&amp;" days overdue; ","")&amp;IF(AND(O63&lt;&gt;"",AY63="",N(BD63)&gt;0),"Expedite delivery: "&amp;N(BD63)&amp;" days late; ","")&amp;IF(AND(BI63="Awaiting Approval",ISNUMBER(B63),Settings!$B$4-N(B63)&gt;Settings!$B$19),"Get approval: PR waiting "&amp;(Settings!$B$4-N(B63))&amp;" days; ","")&amp;IF(AND(BI63="Approved - PO Pending",ISNUMBER(J63),Settings!$B$4-N(J63)&gt;Settings!$B$20),"Issue PO: approved "&amp;(Settings!$B$4-N(J63))&amp;" days ago; ","")&amp;IF(AND(OR(BI63="Awaiting Approval",BI63="Approved - PO Pending"),N(AB63)&gt;Settings!$B$7),"Negotiate price: "&amp;TEXT(AB63,"0%")&amp;" above budget; ","")&amp;IF(LEFT(AX63,12)="Short Closed","Short closed: claim balance / credit note"&amp;IF(N(AL63)&gt;0," BDT "&amp;TEXT(AL63,"#,##0"),"")&amp;"; ","")&amp;IF(BF63="Rejected","QC rejected: return / replace; ","")&amp;IF(AND(O63&lt;&gt;"",AY63="",N(AL63)&gt;0,N(BD63)&gt;0),"Advance at risk: BDT "&amp;TEXT(AL63,"#,##0")&amp;" paid, goods late; ","")&amp;IF(AND(BJ63&lt;&gt;"",BJ63&lt;&gt;"OK"),"Fix data entry (see Data Check); ",""))</f>
        <v/>
      </c>
      <c r="BL63" s="73" t="str">
        <f aca="false">IF(BK63="","",IF(OR(N(AP63)&gt;30,AND(AY63="",N(BD63)&gt;15),BF63="Rejected",AND(LEFT(AX63,12)="Short Closed",N(AL63)&gt;0),AND(O63&lt;&gt;"",AY63="",N(AL63)&gt;0,N(BD63)&gt;0)),"High",IF(OR(N(AP63)&gt;0,AND(AY63="",N(BD63)&gt;7),LEFT(AX63,12)="Short Closed",AND(BI63="Awaiting Approval",ISNUMBER(B63),Settings!$B$4-N(B63)&gt;2*Settings!$B$19),AND(BI63="Approved - PO Pending",ISNUMBER(J63),Settings!$B$4-N(J63)&gt;2*Settings!$B$20)),"Medium","Low")))</f>
        <v/>
      </c>
      <c r="BM63" s="77" t="str">
        <f aca="false">IF(BL63="","",IF(BL63="High",1,IF(BL63="Medium",2,3))*10000+ROW())</f>
        <v/>
      </c>
      <c r="BN63" s="62"/>
    </row>
    <row r="64" customFormat="false" ht="18" hidden="false" customHeight="true" outlineLevel="0" collapsed="false">
      <c r="A64" s="60"/>
      <c r="B64" s="61"/>
      <c r="C64" s="62"/>
      <c r="D64" s="62"/>
      <c r="E64" s="62"/>
      <c r="F64" s="62"/>
      <c r="G64" s="62"/>
      <c r="H64" s="60"/>
      <c r="I64" s="60"/>
      <c r="J64" s="61"/>
      <c r="K64" s="60"/>
      <c r="L64" s="60"/>
      <c r="M64" s="62"/>
      <c r="N64" s="60"/>
      <c r="O64" s="60"/>
      <c r="P64" s="61"/>
      <c r="Q64" s="63"/>
      <c r="R64" s="60"/>
      <c r="S64" s="64"/>
      <c r="T64" s="60"/>
      <c r="U64" s="65" t="str">
        <f aca="false">IF(AND(T64="",S64=""),"",IF(T64="",1,IFERROR(INDEX(Settings!$B$12:$B$16,MATCH(T64,Settings!$A$12:$A$16,0)),1)))</f>
        <v/>
      </c>
      <c r="V64" s="64"/>
      <c r="W64" s="66" t="str">
        <f aca="false">IF(OR(Q64="",S64=""),"",Q64*S64*U64)</f>
        <v/>
      </c>
      <c r="X64" s="65" t="str">
        <f aca="false">IF(OR(W64="",N(Q64)=0),"",W64/Q64)</f>
        <v/>
      </c>
      <c r="Y64" s="65" t="str">
        <f aca="false">IF(OR(X64="",P64="",E64=""),"",IF(_xlfn.MAXIFS($P$6:$P$205,$E$6:$E$205,E64,$P$6:$P$205,"&lt;"&amp;P64,$X$6:$X$205,"&gt;0")=0,"",IFERROR(AVERAGEIFS($X$6:$X$205,$E$6:$E$205,E64,$P$6:$P$205,_xlfn.MAXIFS($P$6:$P$205,$E$6:$E$205,E64,$P$6:$P$205,"&lt;"&amp;P64,$X$6:$X$205,"&gt;0"),$X$6:$X$205,"&gt;0"),"")))</f>
        <v/>
      </c>
      <c r="Z64" s="67" t="str">
        <f aca="false">IF(OR(Y64="",X64=""),"",X64/Y64-1)</f>
        <v/>
      </c>
      <c r="AA64" s="68" t="str">
        <f aca="false">IF(OR(W64="",V64=""),"",W64-Q64*V64)</f>
        <v/>
      </c>
      <c r="AB64" s="69" t="str">
        <f aca="false">IF(AA64="","",IF(N(V64)*N(Q64)=0,"",AA64/(Q64*V64)))</f>
        <v/>
      </c>
      <c r="AC64" s="70"/>
      <c r="AD64" s="66" t="str">
        <f aca="false">IF(W64="","",W64*(1+N(AC64)))</f>
        <v/>
      </c>
      <c r="AE64" s="62"/>
      <c r="AF64" s="71"/>
      <c r="AG64" s="71"/>
      <c r="AH64" s="71"/>
      <c r="AI64" s="66" t="str">
        <f aca="false">IF(A64="","",N(AF64)+N(AG64)+N(AH64))</f>
        <v/>
      </c>
      <c r="AJ64" s="72" t="str">
        <f aca="false">IF(AD64="","",IF(N(AD64)=0,"",AI64/AD64))</f>
        <v/>
      </c>
      <c r="AK64" s="66" t="str">
        <f aca="false">IF(AD64="","",IF(AD64-AI64&lt;1,0,ROUND(AD64-AI64,2)))</f>
        <v/>
      </c>
      <c r="AL64" s="66" t="str">
        <f aca="false">IF(OR(O64="",AD64=""),"",MAX(0,ROUND(N(AI64)-(AD64-N(AW64)),0)))</f>
        <v/>
      </c>
      <c r="AM64" s="73" t="str">
        <f aca="false">IF(A64="","",IF(O64="","No PO Yet",IF(AI64=0,"Not Paid",IF(N(AJ64)&gt;=0.999,"Fully Paid",IF(N(AG64)+N(AH64)&gt;0,"Partially Paid","Initial / Advance Paid")))))</f>
        <v/>
      </c>
      <c r="AN64" s="61"/>
      <c r="AO64" s="61"/>
      <c r="AP64" s="74" t="str">
        <f aca="false">IF(AK64="","",IF(OR(N(AK64)=0,AO64=""),"",MAX(0,Settings!$B$4-AO64)))</f>
        <v/>
      </c>
      <c r="AQ64" s="73" t="str">
        <f aca="false">IF(AK64="","",IF(N(AK64)&lt;=0,"",IF(AO64="","No Due Date",IF(Settings!$B$4&lt;=AO64,"Not Yet Due",IF(Settings!$B$4-AO64&lt;=30,"1-30 Days",IF(Settings!$B$4-AO64&lt;=60,"31-60 Days",IF(Settings!$B$4-AO64&lt;=90,"61-90 Days","90+ Days")))))))</f>
        <v/>
      </c>
      <c r="AR64" s="61"/>
      <c r="AS64" s="61"/>
      <c r="AT64" s="63"/>
      <c r="AU64" s="72" t="str">
        <f aca="false">IF(Q64="","",IF(N(Q64)=0,"",N(AT64)/Q64))</f>
        <v/>
      </c>
      <c r="AV64" s="75" t="str">
        <f aca="false">IF(OR(A64="",O64="",Q64=""),"",MAX(0,Q64-N(AT64)))</f>
        <v/>
      </c>
      <c r="AW64" s="66" t="str">
        <f aca="false">IF(OR(AV64="",W64=""),"",IF(N(Q64)=0,0,AV64/Q64*AD64))</f>
        <v/>
      </c>
      <c r="AX64" s="76" t="str">
        <f aca="false">IF(A64="","",IF(O64="","No PO Yet",IF(Q64="","Order Qty Missing",IF(N(AT64)&gt;=Q64,IF(N(AT64)&gt;Q64,"All In-house (+"&amp;TEXT(N(AT64)-Q64,"#,##0")&amp;" "&amp;R64&amp;" excess)","All In-house"),IF(AY64&lt;&gt;"","Short Closed - "&amp;TEXT(AV64,"#,##0")&amp;" "&amp;R64&amp;" not received",IF(N(AT64)=0,"Not Started - "&amp;TEXT(AV64,"#,##0")&amp;" "&amp;R64&amp;" pending","Pending "&amp;TEXT(AV64,"#,##0")&amp;" "&amp;R64&amp;" ("&amp;TEXT(AU64,"0%")&amp;" received)"))))))</f>
        <v/>
      </c>
      <c r="AY64" s="61"/>
      <c r="AZ64" s="77" t="str">
        <f aca="false">IF(OR(B64="",J64=""),"",J64-B64)</f>
        <v/>
      </c>
      <c r="BA64" s="77" t="str">
        <f aca="false">IF(OR(J64="",P64=""),"",P64-J64)</f>
        <v/>
      </c>
      <c r="BB64" s="77" t="str">
        <f aca="false">IF(OR(P64="",AY64=""),"",AY64-P64)</f>
        <v/>
      </c>
      <c r="BC64" s="77" t="str">
        <f aca="false">IF(OR(B64="",AY64=""),"",AY64-B64)</f>
        <v/>
      </c>
      <c r="BD64" s="74" t="str">
        <f aca="false">IF(OR(AR64="",O64=""),"",MAX(0,IF(AY64="",Settings!$B$4,AY64)-AR64))</f>
        <v/>
      </c>
      <c r="BE64" s="73" t="str">
        <f aca="false">IF(OR(AY64="",AR64=""),"",IF(AND(AY64&lt;=AR64,N(AU64)&gt;=Settings!$B$6),"OTIF","Not OTIF"))</f>
        <v/>
      </c>
      <c r="BF64" s="60"/>
      <c r="BG64" s="62"/>
      <c r="BH64" s="78"/>
      <c r="BI64" s="76" t="str">
        <f aca="false">IF(A64="","",IF(K64="Rejected","Rejected",IF(K64&lt;&gt;"Approved","Awaiting Approval",IF(O64="","Approved - PO Pending",IF(AY64&lt;&gt;"",IF(N(AJ64)&gt;=0.999,"Closed","In-house Closed - Payment Due"),IF(AS64&lt;&gt;"","Receiving In-house","PO Issued - Awaiting Delivery"))))))</f>
        <v/>
      </c>
      <c r="BJ64" s="76" t="str">
        <f aca="false">IF(A64="","",IF(IF(AND(A64&lt;&gt;"",OR(B64="",C64="",E64="",F64="",H64="")),"PR info missing; ","")&amp;IF(AND(K64="Approved",OR(J64="",I64="")),"Approval ref/date missing; ","")&amp;IF(AND(O64&lt;&gt;"",K64&lt;&gt;"Approved"),"PO without approval; ","")&amp;IF(AND(O64&lt;&gt;"",OR(P64="",M64="",Q64="",S64="",T64="")),"PO details missing; ","")&amp;IF(AND(O64&lt;&gt;"",AR64=""),"Committed date missing; ","")&amp;IF(AND(ISNUMBER(J64),ISNUMBER(B64),N(J64)&lt;N(B64)),"Approval dated before PR; ","")&amp;IF(AND(ISNUMBER(P64),ISNUMBER(J64),N(P64)&lt;N(J64)),"PO dated before approval; ","")&amp;IF(AND(ISNUMBER(AY64),ISNUMBER(AS64),N(AY64)&lt;N(AS64)),"Close before in-house start; ","")&amp;IF(AND(AY64&lt;&gt;"",AS64=""),"In-house start date missing; ","")&amp;IF(AND(AY64&lt;&gt;"",AT64=""),"Qty received missing; ","")&amp;IF(AND(AY64&lt;&gt;"",BF64=""),"QC status missing; ","")&amp;IF(N(AT64)&gt;N(Q64)*1.05,"Received &gt; ordered +5%; ","")&amp;IF(AND(N(AI64)&gt;0,AE64=""),"Payment terms missing; ","")&amp;IF(N(AI64)&gt;N(AD64)+1,"Overpaid vs PO; ","")&amp;IF(AND(N(AK64)&gt;0,AY64&lt;&gt;"",AO64=""),"Payment due date missing; ","")="","OK",IF(AND(A64&lt;&gt;"",OR(B64="",C64="",E64="",F64="",H64="")),"PR info missing; ","")&amp;IF(AND(K64="Approved",OR(J64="",I64="")),"Approval ref/date missing; ","")&amp;IF(AND(O64&lt;&gt;"",K64&lt;&gt;"Approved"),"PO without approval; ","")&amp;IF(AND(O64&lt;&gt;"",OR(P64="",M64="",Q64="",S64="",T64="")),"PO details missing; ","")&amp;IF(AND(O64&lt;&gt;"",AR64=""),"Committed date missing; ","")&amp;IF(AND(ISNUMBER(J64),ISNUMBER(B64),N(J64)&lt;N(B64)),"Approval dated before PR; ","")&amp;IF(AND(ISNUMBER(P64),ISNUMBER(J64),N(P64)&lt;N(J64)),"PO dated before approval; ","")&amp;IF(AND(ISNUMBER(AY64),ISNUMBER(AS64),N(AY64)&lt;N(AS64)),"Close before in-house start; ","")&amp;IF(AND(AY64&lt;&gt;"",AS64=""),"In-house start date missing; ","")&amp;IF(AND(AY64&lt;&gt;"",AT64=""),"Qty received missing; ","")&amp;IF(AND(AY64&lt;&gt;"",BF64=""),"QC status missing; ","")&amp;IF(N(AT64)&gt;N(Q64)*1.05,"Received &gt; ordered +5%; ","")&amp;IF(AND(N(AI64)&gt;0,AE64=""),"Payment terms missing; ","")&amp;IF(N(AI64)&gt;N(AD64)+1,"Overpaid vs PO; ","")&amp;IF(AND(N(AK64)&gt;0,AY64&lt;&gt;"",AO64=""),"Payment due date missing; ","")))</f>
        <v/>
      </c>
      <c r="BK64" s="76" t="str">
        <f aca="false">IF(A64="","",IF(N(AP64)&gt;0,"Pay supplier: "&amp;N(AP64)&amp;" days overdue; ","")&amp;IF(AND(O64&lt;&gt;"",AY64="",N(BD64)&gt;0),"Expedite delivery: "&amp;N(BD64)&amp;" days late; ","")&amp;IF(AND(BI64="Awaiting Approval",ISNUMBER(B64),Settings!$B$4-N(B64)&gt;Settings!$B$19),"Get approval: PR waiting "&amp;(Settings!$B$4-N(B64))&amp;" days; ","")&amp;IF(AND(BI64="Approved - PO Pending",ISNUMBER(J64),Settings!$B$4-N(J64)&gt;Settings!$B$20),"Issue PO: approved "&amp;(Settings!$B$4-N(J64))&amp;" days ago; ","")&amp;IF(AND(OR(BI64="Awaiting Approval",BI64="Approved - PO Pending"),N(AB64)&gt;Settings!$B$7),"Negotiate price: "&amp;TEXT(AB64,"0%")&amp;" above budget; ","")&amp;IF(LEFT(AX64,12)="Short Closed","Short closed: claim balance / credit note"&amp;IF(N(AL64)&gt;0," BDT "&amp;TEXT(AL64,"#,##0"),"")&amp;"; ","")&amp;IF(BF64="Rejected","QC rejected: return / replace; ","")&amp;IF(AND(O64&lt;&gt;"",AY64="",N(AL64)&gt;0,N(BD64)&gt;0),"Advance at risk: BDT "&amp;TEXT(AL64,"#,##0")&amp;" paid, goods late; ","")&amp;IF(AND(BJ64&lt;&gt;"",BJ64&lt;&gt;"OK"),"Fix data entry (see Data Check); ",""))</f>
        <v/>
      </c>
      <c r="BL64" s="73" t="str">
        <f aca="false">IF(BK64="","",IF(OR(N(AP64)&gt;30,AND(AY64="",N(BD64)&gt;15),BF64="Rejected",AND(LEFT(AX64,12)="Short Closed",N(AL64)&gt;0),AND(O64&lt;&gt;"",AY64="",N(AL64)&gt;0,N(BD64)&gt;0)),"High",IF(OR(N(AP64)&gt;0,AND(AY64="",N(BD64)&gt;7),LEFT(AX64,12)="Short Closed",AND(BI64="Awaiting Approval",ISNUMBER(B64),Settings!$B$4-N(B64)&gt;2*Settings!$B$19),AND(BI64="Approved - PO Pending",ISNUMBER(J64),Settings!$B$4-N(J64)&gt;2*Settings!$B$20)),"Medium","Low")))</f>
        <v/>
      </c>
      <c r="BM64" s="77" t="str">
        <f aca="false">IF(BL64="","",IF(BL64="High",1,IF(BL64="Medium",2,3))*10000+ROW())</f>
        <v/>
      </c>
      <c r="BN64" s="62"/>
    </row>
    <row r="65" customFormat="false" ht="18" hidden="false" customHeight="true" outlineLevel="0" collapsed="false">
      <c r="A65" s="60"/>
      <c r="B65" s="61"/>
      <c r="C65" s="62"/>
      <c r="D65" s="62"/>
      <c r="E65" s="62"/>
      <c r="F65" s="62"/>
      <c r="G65" s="62"/>
      <c r="H65" s="60"/>
      <c r="I65" s="60"/>
      <c r="J65" s="61"/>
      <c r="K65" s="60"/>
      <c r="L65" s="60"/>
      <c r="M65" s="62"/>
      <c r="N65" s="60"/>
      <c r="O65" s="60"/>
      <c r="P65" s="61"/>
      <c r="Q65" s="63"/>
      <c r="R65" s="60"/>
      <c r="S65" s="64"/>
      <c r="T65" s="60"/>
      <c r="U65" s="65" t="str">
        <f aca="false">IF(AND(T65="",S65=""),"",IF(T65="",1,IFERROR(INDEX(Settings!$B$12:$B$16,MATCH(T65,Settings!$A$12:$A$16,0)),1)))</f>
        <v/>
      </c>
      <c r="V65" s="64"/>
      <c r="W65" s="66" t="str">
        <f aca="false">IF(OR(Q65="",S65=""),"",Q65*S65*U65)</f>
        <v/>
      </c>
      <c r="X65" s="65" t="str">
        <f aca="false">IF(OR(W65="",N(Q65)=0),"",W65/Q65)</f>
        <v/>
      </c>
      <c r="Y65" s="65" t="str">
        <f aca="false">IF(OR(X65="",P65="",E65=""),"",IF(_xlfn.MAXIFS($P$6:$P$205,$E$6:$E$205,E65,$P$6:$P$205,"&lt;"&amp;P65,$X$6:$X$205,"&gt;0")=0,"",IFERROR(AVERAGEIFS($X$6:$X$205,$E$6:$E$205,E65,$P$6:$P$205,_xlfn.MAXIFS($P$6:$P$205,$E$6:$E$205,E65,$P$6:$P$205,"&lt;"&amp;P65,$X$6:$X$205,"&gt;0"),$X$6:$X$205,"&gt;0"),"")))</f>
        <v/>
      </c>
      <c r="Z65" s="67" t="str">
        <f aca="false">IF(OR(Y65="",X65=""),"",X65/Y65-1)</f>
        <v/>
      </c>
      <c r="AA65" s="68" t="str">
        <f aca="false">IF(OR(W65="",V65=""),"",W65-Q65*V65)</f>
        <v/>
      </c>
      <c r="AB65" s="69" t="str">
        <f aca="false">IF(AA65="","",IF(N(V65)*N(Q65)=0,"",AA65/(Q65*V65)))</f>
        <v/>
      </c>
      <c r="AC65" s="70"/>
      <c r="AD65" s="66" t="str">
        <f aca="false">IF(W65="","",W65*(1+N(AC65)))</f>
        <v/>
      </c>
      <c r="AE65" s="62"/>
      <c r="AF65" s="71"/>
      <c r="AG65" s="71"/>
      <c r="AH65" s="71"/>
      <c r="AI65" s="66" t="str">
        <f aca="false">IF(A65="","",N(AF65)+N(AG65)+N(AH65))</f>
        <v/>
      </c>
      <c r="AJ65" s="72" t="str">
        <f aca="false">IF(AD65="","",IF(N(AD65)=0,"",AI65/AD65))</f>
        <v/>
      </c>
      <c r="AK65" s="66" t="str">
        <f aca="false">IF(AD65="","",IF(AD65-AI65&lt;1,0,ROUND(AD65-AI65,2)))</f>
        <v/>
      </c>
      <c r="AL65" s="66" t="str">
        <f aca="false">IF(OR(O65="",AD65=""),"",MAX(0,ROUND(N(AI65)-(AD65-N(AW65)),0)))</f>
        <v/>
      </c>
      <c r="AM65" s="73" t="str">
        <f aca="false">IF(A65="","",IF(O65="","No PO Yet",IF(AI65=0,"Not Paid",IF(N(AJ65)&gt;=0.999,"Fully Paid",IF(N(AG65)+N(AH65)&gt;0,"Partially Paid","Initial / Advance Paid")))))</f>
        <v/>
      </c>
      <c r="AN65" s="61"/>
      <c r="AO65" s="61"/>
      <c r="AP65" s="74" t="str">
        <f aca="false">IF(AK65="","",IF(OR(N(AK65)=0,AO65=""),"",MAX(0,Settings!$B$4-AO65)))</f>
        <v/>
      </c>
      <c r="AQ65" s="73" t="str">
        <f aca="false">IF(AK65="","",IF(N(AK65)&lt;=0,"",IF(AO65="","No Due Date",IF(Settings!$B$4&lt;=AO65,"Not Yet Due",IF(Settings!$B$4-AO65&lt;=30,"1-30 Days",IF(Settings!$B$4-AO65&lt;=60,"31-60 Days",IF(Settings!$B$4-AO65&lt;=90,"61-90 Days","90+ Days")))))))</f>
        <v/>
      </c>
      <c r="AR65" s="61"/>
      <c r="AS65" s="61"/>
      <c r="AT65" s="63"/>
      <c r="AU65" s="72" t="str">
        <f aca="false">IF(Q65="","",IF(N(Q65)=0,"",N(AT65)/Q65))</f>
        <v/>
      </c>
      <c r="AV65" s="75" t="str">
        <f aca="false">IF(OR(A65="",O65="",Q65=""),"",MAX(0,Q65-N(AT65)))</f>
        <v/>
      </c>
      <c r="AW65" s="66" t="str">
        <f aca="false">IF(OR(AV65="",W65=""),"",IF(N(Q65)=0,0,AV65/Q65*AD65))</f>
        <v/>
      </c>
      <c r="AX65" s="76" t="str">
        <f aca="false">IF(A65="","",IF(O65="","No PO Yet",IF(Q65="","Order Qty Missing",IF(N(AT65)&gt;=Q65,IF(N(AT65)&gt;Q65,"All In-house (+"&amp;TEXT(N(AT65)-Q65,"#,##0")&amp;" "&amp;R65&amp;" excess)","All In-house"),IF(AY65&lt;&gt;"","Short Closed - "&amp;TEXT(AV65,"#,##0")&amp;" "&amp;R65&amp;" not received",IF(N(AT65)=0,"Not Started - "&amp;TEXT(AV65,"#,##0")&amp;" "&amp;R65&amp;" pending","Pending "&amp;TEXT(AV65,"#,##0")&amp;" "&amp;R65&amp;" ("&amp;TEXT(AU65,"0%")&amp;" received)"))))))</f>
        <v/>
      </c>
      <c r="AY65" s="61"/>
      <c r="AZ65" s="77" t="str">
        <f aca="false">IF(OR(B65="",J65=""),"",J65-B65)</f>
        <v/>
      </c>
      <c r="BA65" s="77" t="str">
        <f aca="false">IF(OR(J65="",P65=""),"",P65-J65)</f>
        <v/>
      </c>
      <c r="BB65" s="77" t="str">
        <f aca="false">IF(OR(P65="",AY65=""),"",AY65-P65)</f>
        <v/>
      </c>
      <c r="BC65" s="77" t="str">
        <f aca="false">IF(OR(B65="",AY65=""),"",AY65-B65)</f>
        <v/>
      </c>
      <c r="BD65" s="74" t="str">
        <f aca="false">IF(OR(AR65="",O65=""),"",MAX(0,IF(AY65="",Settings!$B$4,AY65)-AR65))</f>
        <v/>
      </c>
      <c r="BE65" s="73" t="str">
        <f aca="false">IF(OR(AY65="",AR65=""),"",IF(AND(AY65&lt;=AR65,N(AU65)&gt;=Settings!$B$6),"OTIF","Not OTIF"))</f>
        <v/>
      </c>
      <c r="BF65" s="60"/>
      <c r="BG65" s="62"/>
      <c r="BH65" s="78"/>
      <c r="BI65" s="76" t="str">
        <f aca="false">IF(A65="","",IF(K65="Rejected","Rejected",IF(K65&lt;&gt;"Approved","Awaiting Approval",IF(O65="","Approved - PO Pending",IF(AY65&lt;&gt;"",IF(N(AJ65)&gt;=0.999,"Closed","In-house Closed - Payment Due"),IF(AS65&lt;&gt;"","Receiving In-house","PO Issued - Awaiting Delivery"))))))</f>
        <v/>
      </c>
      <c r="BJ65" s="76" t="str">
        <f aca="false">IF(A65="","",IF(IF(AND(A65&lt;&gt;"",OR(B65="",C65="",E65="",F65="",H65="")),"PR info missing; ","")&amp;IF(AND(K65="Approved",OR(J65="",I65="")),"Approval ref/date missing; ","")&amp;IF(AND(O65&lt;&gt;"",K65&lt;&gt;"Approved"),"PO without approval; ","")&amp;IF(AND(O65&lt;&gt;"",OR(P65="",M65="",Q65="",S65="",T65="")),"PO details missing; ","")&amp;IF(AND(O65&lt;&gt;"",AR65=""),"Committed date missing; ","")&amp;IF(AND(ISNUMBER(J65),ISNUMBER(B65),N(J65)&lt;N(B65)),"Approval dated before PR; ","")&amp;IF(AND(ISNUMBER(P65),ISNUMBER(J65),N(P65)&lt;N(J65)),"PO dated before approval; ","")&amp;IF(AND(ISNUMBER(AY65),ISNUMBER(AS65),N(AY65)&lt;N(AS65)),"Close before in-house start; ","")&amp;IF(AND(AY65&lt;&gt;"",AS65=""),"In-house start date missing; ","")&amp;IF(AND(AY65&lt;&gt;"",AT65=""),"Qty received missing; ","")&amp;IF(AND(AY65&lt;&gt;"",BF65=""),"QC status missing; ","")&amp;IF(N(AT65)&gt;N(Q65)*1.05,"Received &gt; ordered +5%; ","")&amp;IF(AND(N(AI65)&gt;0,AE65=""),"Payment terms missing; ","")&amp;IF(N(AI65)&gt;N(AD65)+1,"Overpaid vs PO; ","")&amp;IF(AND(N(AK65)&gt;0,AY65&lt;&gt;"",AO65=""),"Payment due date missing; ","")="","OK",IF(AND(A65&lt;&gt;"",OR(B65="",C65="",E65="",F65="",H65="")),"PR info missing; ","")&amp;IF(AND(K65="Approved",OR(J65="",I65="")),"Approval ref/date missing; ","")&amp;IF(AND(O65&lt;&gt;"",K65&lt;&gt;"Approved"),"PO without approval; ","")&amp;IF(AND(O65&lt;&gt;"",OR(P65="",M65="",Q65="",S65="",T65="")),"PO details missing; ","")&amp;IF(AND(O65&lt;&gt;"",AR65=""),"Committed date missing; ","")&amp;IF(AND(ISNUMBER(J65),ISNUMBER(B65),N(J65)&lt;N(B65)),"Approval dated before PR; ","")&amp;IF(AND(ISNUMBER(P65),ISNUMBER(J65),N(P65)&lt;N(J65)),"PO dated before approval; ","")&amp;IF(AND(ISNUMBER(AY65),ISNUMBER(AS65),N(AY65)&lt;N(AS65)),"Close before in-house start; ","")&amp;IF(AND(AY65&lt;&gt;"",AS65=""),"In-house start date missing; ","")&amp;IF(AND(AY65&lt;&gt;"",AT65=""),"Qty received missing; ","")&amp;IF(AND(AY65&lt;&gt;"",BF65=""),"QC status missing; ","")&amp;IF(N(AT65)&gt;N(Q65)*1.05,"Received &gt; ordered +5%; ","")&amp;IF(AND(N(AI65)&gt;0,AE65=""),"Payment terms missing; ","")&amp;IF(N(AI65)&gt;N(AD65)+1,"Overpaid vs PO; ","")&amp;IF(AND(N(AK65)&gt;0,AY65&lt;&gt;"",AO65=""),"Payment due date missing; ","")))</f>
        <v/>
      </c>
      <c r="BK65" s="76" t="str">
        <f aca="false">IF(A65="","",IF(N(AP65)&gt;0,"Pay supplier: "&amp;N(AP65)&amp;" days overdue; ","")&amp;IF(AND(O65&lt;&gt;"",AY65="",N(BD65)&gt;0),"Expedite delivery: "&amp;N(BD65)&amp;" days late; ","")&amp;IF(AND(BI65="Awaiting Approval",ISNUMBER(B65),Settings!$B$4-N(B65)&gt;Settings!$B$19),"Get approval: PR waiting "&amp;(Settings!$B$4-N(B65))&amp;" days; ","")&amp;IF(AND(BI65="Approved - PO Pending",ISNUMBER(J65),Settings!$B$4-N(J65)&gt;Settings!$B$20),"Issue PO: approved "&amp;(Settings!$B$4-N(J65))&amp;" days ago; ","")&amp;IF(AND(OR(BI65="Awaiting Approval",BI65="Approved - PO Pending"),N(AB65)&gt;Settings!$B$7),"Negotiate price: "&amp;TEXT(AB65,"0%")&amp;" above budget; ","")&amp;IF(LEFT(AX65,12)="Short Closed","Short closed: claim balance / credit note"&amp;IF(N(AL65)&gt;0," BDT "&amp;TEXT(AL65,"#,##0"),"")&amp;"; ","")&amp;IF(BF65="Rejected","QC rejected: return / replace; ","")&amp;IF(AND(O65&lt;&gt;"",AY65="",N(AL65)&gt;0,N(BD65)&gt;0),"Advance at risk: BDT "&amp;TEXT(AL65,"#,##0")&amp;" paid, goods late; ","")&amp;IF(AND(BJ65&lt;&gt;"",BJ65&lt;&gt;"OK"),"Fix data entry (see Data Check); ",""))</f>
        <v/>
      </c>
      <c r="BL65" s="73" t="str">
        <f aca="false">IF(BK65="","",IF(OR(N(AP65)&gt;30,AND(AY65="",N(BD65)&gt;15),BF65="Rejected",AND(LEFT(AX65,12)="Short Closed",N(AL65)&gt;0),AND(O65&lt;&gt;"",AY65="",N(AL65)&gt;0,N(BD65)&gt;0)),"High",IF(OR(N(AP65)&gt;0,AND(AY65="",N(BD65)&gt;7),LEFT(AX65,12)="Short Closed",AND(BI65="Awaiting Approval",ISNUMBER(B65),Settings!$B$4-N(B65)&gt;2*Settings!$B$19),AND(BI65="Approved - PO Pending",ISNUMBER(J65),Settings!$B$4-N(J65)&gt;2*Settings!$B$20)),"Medium","Low")))</f>
        <v/>
      </c>
      <c r="BM65" s="77" t="str">
        <f aca="false">IF(BL65="","",IF(BL65="High",1,IF(BL65="Medium",2,3))*10000+ROW())</f>
        <v/>
      </c>
      <c r="BN65" s="62"/>
    </row>
    <row r="66" customFormat="false" ht="18" hidden="false" customHeight="true" outlineLevel="0" collapsed="false">
      <c r="A66" s="60"/>
      <c r="B66" s="61"/>
      <c r="C66" s="62"/>
      <c r="D66" s="62"/>
      <c r="E66" s="62"/>
      <c r="F66" s="62"/>
      <c r="G66" s="62"/>
      <c r="H66" s="60"/>
      <c r="I66" s="60"/>
      <c r="J66" s="61"/>
      <c r="K66" s="60"/>
      <c r="L66" s="60"/>
      <c r="M66" s="62"/>
      <c r="N66" s="60"/>
      <c r="O66" s="60"/>
      <c r="P66" s="61"/>
      <c r="Q66" s="63"/>
      <c r="R66" s="60"/>
      <c r="S66" s="64"/>
      <c r="T66" s="60"/>
      <c r="U66" s="65" t="str">
        <f aca="false">IF(AND(T66="",S66=""),"",IF(T66="",1,IFERROR(INDEX(Settings!$B$12:$B$16,MATCH(T66,Settings!$A$12:$A$16,0)),1)))</f>
        <v/>
      </c>
      <c r="V66" s="64"/>
      <c r="W66" s="66" t="str">
        <f aca="false">IF(OR(Q66="",S66=""),"",Q66*S66*U66)</f>
        <v/>
      </c>
      <c r="X66" s="65" t="str">
        <f aca="false">IF(OR(W66="",N(Q66)=0),"",W66/Q66)</f>
        <v/>
      </c>
      <c r="Y66" s="65" t="str">
        <f aca="false">IF(OR(X66="",P66="",E66=""),"",IF(_xlfn.MAXIFS($P$6:$P$205,$E$6:$E$205,E66,$P$6:$P$205,"&lt;"&amp;P66,$X$6:$X$205,"&gt;0")=0,"",IFERROR(AVERAGEIFS($X$6:$X$205,$E$6:$E$205,E66,$P$6:$P$205,_xlfn.MAXIFS($P$6:$P$205,$E$6:$E$205,E66,$P$6:$P$205,"&lt;"&amp;P66,$X$6:$X$205,"&gt;0"),$X$6:$X$205,"&gt;0"),"")))</f>
        <v/>
      </c>
      <c r="Z66" s="67" t="str">
        <f aca="false">IF(OR(Y66="",X66=""),"",X66/Y66-1)</f>
        <v/>
      </c>
      <c r="AA66" s="68" t="str">
        <f aca="false">IF(OR(W66="",V66=""),"",W66-Q66*V66)</f>
        <v/>
      </c>
      <c r="AB66" s="69" t="str">
        <f aca="false">IF(AA66="","",IF(N(V66)*N(Q66)=0,"",AA66/(Q66*V66)))</f>
        <v/>
      </c>
      <c r="AC66" s="70"/>
      <c r="AD66" s="66" t="str">
        <f aca="false">IF(W66="","",W66*(1+N(AC66)))</f>
        <v/>
      </c>
      <c r="AE66" s="62"/>
      <c r="AF66" s="71"/>
      <c r="AG66" s="71"/>
      <c r="AH66" s="71"/>
      <c r="AI66" s="66" t="str">
        <f aca="false">IF(A66="","",N(AF66)+N(AG66)+N(AH66))</f>
        <v/>
      </c>
      <c r="AJ66" s="72" t="str">
        <f aca="false">IF(AD66="","",IF(N(AD66)=0,"",AI66/AD66))</f>
        <v/>
      </c>
      <c r="AK66" s="66" t="str">
        <f aca="false">IF(AD66="","",IF(AD66-AI66&lt;1,0,ROUND(AD66-AI66,2)))</f>
        <v/>
      </c>
      <c r="AL66" s="66" t="str">
        <f aca="false">IF(OR(O66="",AD66=""),"",MAX(0,ROUND(N(AI66)-(AD66-N(AW66)),0)))</f>
        <v/>
      </c>
      <c r="AM66" s="73" t="str">
        <f aca="false">IF(A66="","",IF(O66="","No PO Yet",IF(AI66=0,"Not Paid",IF(N(AJ66)&gt;=0.999,"Fully Paid",IF(N(AG66)+N(AH66)&gt;0,"Partially Paid","Initial / Advance Paid")))))</f>
        <v/>
      </c>
      <c r="AN66" s="61"/>
      <c r="AO66" s="61"/>
      <c r="AP66" s="74" t="str">
        <f aca="false">IF(AK66="","",IF(OR(N(AK66)=0,AO66=""),"",MAX(0,Settings!$B$4-AO66)))</f>
        <v/>
      </c>
      <c r="AQ66" s="73" t="str">
        <f aca="false">IF(AK66="","",IF(N(AK66)&lt;=0,"",IF(AO66="","No Due Date",IF(Settings!$B$4&lt;=AO66,"Not Yet Due",IF(Settings!$B$4-AO66&lt;=30,"1-30 Days",IF(Settings!$B$4-AO66&lt;=60,"31-60 Days",IF(Settings!$B$4-AO66&lt;=90,"61-90 Days","90+ Days")))))))</f>
        <v/>
      </c>
      <c r="AR66" s="61"/>
      <c r="AS66" s="61"/>
      <c r="AT66" s="63"/>
      <c r="AU66" s="72" t="str">
        <f aca="false">IF(Q66="","",IF(N(Q66)=0,"",N(AT66)/Q66))</f>
        <v/>
      </c>
      <c r="AV66" s="75" t="str">
        <f aca="false">IF(OR(A66="",O66="",Q66=""),"",MAX(0,Q66-N(AT66)))</f>
        <v/>
      </c>
      <c r="AW66" s="66" t="str">
        <f aca="false">IF(OR(AV66="",W66=""),"",IF(N(Q66)=0,0,AV66/Q66*AD66))</f>
        <v/>
      </c>
      <c r="AX66" s="76" t="str">
        <f aca="false">IF(A66="","",IF(O66="","No PO Yet",IF(Q66="","Order Qty Missing",IF(N(AT66)&gt;=Q66,IF(N(AT66)&gt;Q66,"All In-house (+"&amp;TEXT(N(AT66)-Q66,"#,##0")&amp;" "&amp;R66&amp;" excess)","All In-house"),IF(AY66&lt;&gt;"","Short Closed - "&amp;TEXT(AV66,"#,##0")&amp;" "&amp;R66&amp;" not received",IF(N(AT66)=0,"Not Started - "&amp;TEXT(AV66,"#,##0")&amp;" "&amp;R66&amp;" pending","Pending "&amp;TEXT(AV66,"#,##0")&amp;" "&amp;R66&amp;" ("&amp;TEXT(AU66,"0%")&amp;" received)"))))))</f>
        <v/>
      </c>
      <c r="AY66" s="61"/>
      <c r="AZ66" s="77" t="str">
        <f aca="false">IF(OR(B66="",J66=""),"",J66-B66)</f>
        <v/>
      </c>
      <c r="BA66" s="77" t="str">
        <f aca="false">IF(OR(J66="",P66=""),"",P66-J66)</f>
        <v/>
      </c>
      <c r="BB66" s="77" t="str">
        <f aca="false">IF(OR(P66="",AY66=""),"",AY66-P66)</f>
        <v/>
      </c>
      <c r="BC66" s="77" t="str">
        <f aca="false">IF(OR(B66="",AY66=""),"",AY66-B66)</f>
        <v/>
      </c>
      <c r="BD66" s="74" t="str">
        <f aca="false">IF(OR(AR66="",O66=""),"",MAX(0,IF(AY66="",Settings!$B$4,AY66)-AR66))</f>
        <v/>
      </c>
      <c r="BE66" s="73" t="str">
        <f aca="false">IF(OR(AY66="",AR66=""),"",IF(AND(AY66&lt;=AR66,N(AU66)&gt;=Settings!$B$6),"OTIF","Not OTIF"))</f>
        <v/>
      </c>
      <c r="BF66" s="60"/>
      <c r="BG66" s="62"/>
      <c r="BH66" s="78"/>
      <c r="BI66" s="76" t="str">
        <f aca="false">IF(A66="","",IF(K66="Rejected","Rejected",IF(K66&lt;&gt;"Approved","Awaiting Approval",IF(O66="","Approved - PO Pending",IF(AY66&lt;&gt;"",IF(N(AJ66)&gt;=0.999,"Closed","In-house Closed - Payment Due"),IF(AS66&lt;&gt;"","Receiving In-house","PO Issued - Awaiting Delivery"))))))</f>
        <v/>
      </c>
      <c r="BJ66" s="76" t="str">
        <f aca="false">IF(A66="","",IF(IF(AND(A66&lt;&gt;"",OR(B66="",C66="",E66="",F66="",H66="")),"PR info missing; ","")&amp;IF(AND(K66="Approved",OR(J66="",I66="")),"Approval ref/date missing; ","")&amp;IF(AND(O66&lt;&gt;"",K66&lt;&gt;"Approved"),"PO without approval; ","")&amp;IF(AND(O66&lt;&gt;"",OR(P66="",M66="",Q66="",S66="",T66="")),"PO details missing; ","")&amp;IF(AND(O66&lt;&gt;"",AR66=""),"Committed date missing; ","")&amp;IF(AND(ISNUMBER(J66),ISNUMBER(B66),N(J66)&lt;N(B66)),"Approval dated before PR; ","")&amp;IF(AND(ISNUMBER(P66),ISNUMBER(J66),N(P66)&lt;N(J66)),"PO dated before approval; ","")&amp;IF(AND(ISNUMBER(AY66),ISNUMBER(AS66),N(AY66)&lt;N(AS66)),"Close before in-house start; ","")&amp;IF(AND(AY66&lt;&gt;"",AS66=""),"In-house start date missing; ","")&amp;IF(AND(AY66&lt;&gt;"",AT66=""),"Qty received missing; ","")&amp;IF(AND(AY66&lt;&gt;"",BF66=""),"QC status missing; ","")&amp;IF(N(AT66)&gt;N(Q66)*1.05,"Received &gt; ordered +5%; ","")&amp;IF(AND(N(AI66)&gt;0,AE66=""),"Payment terms missing; ","")&amp;IF(N(AI66)&gt;N(AD66)+1,"Overpaid vs PO; ","")&amp;IF(AND(N(AK66)&gt;0,AY66&lt;&gt;"",AO66=""),"Payment due date missing; ","")="","OK",IF(AND(A66&lt;&gt;"",OR(B66="",C66="",E66="",F66="",H66="")),"PR info missing; ","")&amp;IF(AND(K66="Approved",OR(J66="",I66="")),"Approval ref/date missing; ","")&amp;IF(AND(O66&lt;&gt;"",K66&lt;&gt;"Approved"),"PO without approval; ","")&amp;IF(AND(O66&lt;&gt;"",OR(P66="",M66="",Q66="",S66="",T66="")),"PO details missing; ","")&amp;IF(AND(O66&lt;&gt;"",AR66=""),"Committed date missing; ","")&amp;IF(AND(ISNUMBER(J66),ISNUMBER(B66),N(J66)&lt;N(B66)),"Approval dated before PR; ","")&amp;IF(AND(ISNUMBER(P66),ISNUMBER(J66),N(P66)&lt;N(J66)),"PO dated before approval; ","")&amp;IF(AND(ISNUMBER(AY66),ISNUMBER(AS66),N(AY66)&lt;N(AS66)),"Close before in-house start; ","")&amp;IF(AND(AY66&lt;&gt;"",AS66=""),"In-house start date missing; ","")&amp;IF(AND(AY66&lt;&gt;"",AT66=""),"Qty received missing; ","")&amp;IF(AND(AY66&lt;&gt;"",BF66=""),"QC status missing; ","")&amp;IF(N(AT66)&gt;N(Q66)*1.05,"Received &gt; ordered +5%; ","")&amp;IF(AND(N(AI66)&gt;0,AE66=""),"Payment terms missing; ","")&amp;IF(N(AI66)&gt;N(AD66)+1,"Overpaid vs PO; ","")&amp;IF(AND(N(AK66)&gt;0,AY66&lt;&gt;"",AO66=""),"Payment due date missing; ","")))</f>
        <v/>
      </c>
      <c r="BK66" s="76" t="str">
        <f aca="false">IF(A66="","",IF(N(AP66)&gt;0,"Pay supplier: "&amp;N(AP66)&amp;" days overdue; ","")&amp;IF(AND(O66&lt;&gt;"",AY66="",N(BD66)&gt;0),"Expedite delivery: "&amp;N(BD66)&amp;" days late; ","")&amp;IF(AND(BI66="Awaiting Approval",ISNUMBER(B66),Settings!$B$4-N(B66)&gt;Settings!$B$19),"Get approval: PR waiting "&amp;(Settings!$B$4-N(B66))&amp;" days; ","")&amp;IF(AND(BI66="Approved - PO Pending",ISNUMBER(J66),Settings!$B$4-N(J66)&gt;Settings!$B$20),"Issue PO: approved "&amp;(Settings!$B$4-N(J66))&amp;" days ago; ","")&amp;IF(AND(OR(BI66="Awaiting Approval",BI66="Approved - PO Pending"),N(AB66)&gt;Settings!$B$7),"Negotiate price: "&amp;TEXT(AB66,"0%")&amp;" above budget; ","")&amp;IF(LEFT(AX66,12)="Short Closed","Short closed: claim balance / credit note"&amp;IF(N(AL66)&gt;0," BDT "&amp;TEXT(AL66,"#,##0"),"")&amp;"; ","")&amp;IF(BF66="Rejected","QC rejected: return / replace; ","")&amp;IF(AND(O66&lt;&gt;"",AY66="",N(AL66)&gt;0,N(BD66)&gt;0),"Advance at risk: BDT "&amp;TEXT(AL66,"#,##0")&amp;" paid, goods late; ","")&amp;IF(AND(BJ66&lt;&gt;"",BJ66&lt;&gt;"OK"),"Fix data entry (see Data Check); ",""))</f>
        <v/>
      </c>
      <c r="BL66" s="73" t="str">
        <f aca="false">IF(BK66="","",IF(OR(N(AP66)&gt;30,AND(AY66="",N(BD66)&gt;15),BF66="Rejected",AND(LEFT(AX66,12)="Short Closed",N(AL66)&gt;0),AND(O66&lt;&gt;"",AY66="",N(AL66)&gt;0,N(BD66)&gt;0)),"High",IF(OR(N(AP66)&gt;0,AND(AY66="",N(BD66)&gt;7),LEFT(AX66,12)="Short Closed",AND(BI66="Awaiting Approval",ISNUMBER(B66),Settings!$B$4-N(B66)&gt;2*Settings!$B$19),AND(BI66="Approved - PO Pending",ISNUMBER(J66),Settings!$B$4-N(J66)&gt;2*Settings!$B$20)),"Medium","Low")))</f>
        <v/>
      </c>
      <c r="BM66" s="77" t="str">
        <f aca="false">IF(BL66="","",IF(BL66="High",1,IF(BL66="Medium",2,3))*10000+ROW())</f>
        <v/>
      </c>
      <c r="BN66" s="62"/>
    </row>
    <row r="67" customFormat="false" ht="18" hidden="false" customHeight="true" outlineLevel="0" collapsed="false">
      <c r="A67" s="60"/>
      <c r="B67" s="61"/>
      <c r="C67" s="62"/>
      <c r="D67" s="62"/>
      <c r="E67" s="62"/>
      <c r="F67" s="62"/>
      <c r="G67" s="62"/>
      <c r="H67" s="60"/>
      <c r="I67" s="60"/>
      <c r="J67" s="61"/>
      <c r="K67" s="60"/>
      <c r="L67" s="60"/>
      <c r="M67" s="62"/>
      <c r="N67" s="60"/>
      <c r="O67" s="60"/>
      <c r="P67" s="61"/>
      <c r="Q67" s="63"/>
      <c r="R67" s="60"/>
      <c r="S67" s="64"/>
      <c r="T67" s="60"/>
      <c r="U67" s="65" t="str">
        <f aca="false">IF(AND(T67="",S67=""),"",IF(T67="",1,IFERROR(INDEX(Settings!$B$12:$B$16,MATCH(T67,Settings!$A$12:$A$16,0)),1)))</f>
        <v/>
      </c>
      <c r="V67" s="64"/>
      <c r="W67" s="66" t="str">
        <f aca="false">IF(OR(Q67="",S67=""),"",Q67*S67*U67)</f>
        <v/>
      </c>
      <c r="X67" s="65" t="str">
        <f aca="false">IF(OR(W67="",N(Q67)=0),"",W67/Q67)</f>
        <v/>
      </c>
      <c r="Y67" s="65" t="str">
        <f aca="false">IF(OR(X67="",P67="",E67=""),"",IF(_xlfn.MAXIFS($P$6:$P$205,$E$6:$E$205,E67,$P$6:$P$205,"&lt;"&amp;P67,$X$6:$X$205,"&gt;0")=0,"",IFERROR(AVERAGEIFS($X$6:$X$205,$E$6:$E$205,E67,$P$6:$P$205,_xlfn.MAXIFS($P$6:$P$205,$E$6:$E$205,E67,$P$6:$P$205,"&lt;"&amp;P67,$X$6:$X$205,"&gt;0"),$X$6:$X$205,"&gt;0"),"")))</f>
        <v/>
      </c>
      <c r="Z67" s="67" t="str">
        <f aca="false">IF(OR(Y67="",X67=""),"",X67/Y67-1)</f>
        <v/>
      </c>
      <c r="AA67" s="68" t="str">
        <f aca="false">IF(OR(W67="",V67=""),"",W67-Q67*V67)</f>
        <v/>
      </c>
      <c r="AB67" s="69" t="str">
        <f aca="false">IF(AA67="","",IF(N(V67)*N(Q67)=0,"",AA67/(Q67*V67)))</f>
        <v/>
      </c>
      <c r="AC67" s="70"/>
      <c r="AD67" s="66" t="str">
        <f aca="false">IF(W67="","",W67*(1+N(AC67)))</f>
        <v/>
      </c>
      <c r="AE67" s="62"/>
      <c r="AF67" s="71"/>
      <c r="AG67" s="71"/>
      <c r="AH67" s="71"/>
      <c r="AI67" s="66" t="str">
        <f aca="false">IF(A67="","",N(AF67)+N(AG67)+N(AH67))</f>
        <v/>
      </c>
      <c r="AJ67" s="72" t="str">
        <f aca="false">IF(AD67="","",IF(N(AD67)=0,"",AI67/AD67))</f>
        <v/>
      </c>
      <c r="AK67" s="66" t="str">
        <f aca="false">IF(AD67="","",IF(AD67-AI67&lt;1,0,ROUND(AD67-AI67,2)))</f>
        <v/>
      </c>
      <c r="AL67" s="66" t="str">
        <f aca="false">IF(OR(O67="",AD67=""),"",MAX(0,ROUND(N(AI67)-(AD67-N(AW67)),0)))</f>
        <v/>
      </c>
      <c r="AM67" s="73" t="str">
        <f aca="false">IF(A67="","",IF(O67="","No PO Yet",IF(AI67=0,"Not Paid",IF(N(AJ67)&gt;=0.999,"Fully Paid",IF(N(AG67)+N(AH67)&gt;0,"Partially Paid","Initial / Advance Paid")))))</f>
        <v/>
      </c>
      <c r="AN67" s="61"/>
      <c r="AO67" s="61"/>
      <c r="AP67" s="74" t="str">
        <f aca="false">IF(AK67="","",IF(OR(N(AK67)=0,AO67=""),"",MAX(0,Settings!$B$4-AO67)))</f>
        <v/>
      </c>
      <c r="AQ67" s="73" t="str">
        <f aca="false">IF(AK67="","",IF(N(AK67)&lt;=0,"",IF(AO67="","No Due Date",IF(Settings!$B$4&lt;=AO67,"Not Yet Due",IF(Settings!$B$4-AO67&lt;=30,"1-30 Days",IF(Settings!$B$4-AO67&lt;=60,"31-60 Days",IF(Settings!$B$4-AO67&lt;=90,"61-90 Days","90+ Days")))))))</f>
        <v/>
      </c>
      <c r="AR67" s="61"/>
      <c r="AS67" s="61"/>
      <c r="AT67" s="63"/>
      <c r="AU67" s="72" t="str">
        <f aca="false">IF(Q67="","",IF(N(Q67)=0,"",N(AT67)/Q67))</f>
        <v/>
      </c>
      <c r="AV67" s="75" t="str">
        <f aca="false">IF(OR(A67="",O67="",Q67=""),"",MAX(0,Q67-N(AT67)))</f>
        <v/>
      </c>
      <c r="AW67" s="66" t="str">
        <f aca="false">IF(OR(AV67="",W67=""),"",IF(N(Q67)=0,0,AV67/Q67*AD67))</f>
        <v/>
      </c>
      <c r="AX67" s="76" t="str">
        <f aca="false">IF(A67="","",IF(O67="","No PO Yet",IF(Q67="","Order Qty Missing",IF(N(AT67)&gt;=Q67,IF(N(AT67)&gt;Q67,"All In-house (+"&amp;TEXT(N(AT67)-Q67,"#,##0")&amp;" "&amp;R67&amp;" excess)","All In-house"),IF(AY67&lt;&gt;"","Short Closed - "&amp;TEXT(AV67,"#,##0")&amp;" "&amp;R67&amp;" not received",IF(N(AT67)=0,"Not Started - "&amp;TEXT(AV67,"#,##0")&amp;" "&amp;R67&amp;" pending","Pending "&amp;TEXT(AV67,"#,##0")&amp;" "&amp;R67&amp;" ("&amp;TEXT(AU67,"0%")&amp;" received)"))))))</f>
        <v/>
      </c>
      <c r="AY67" s="61"/>
      <c r="AZ67" s="77" t="str">
        <f aca="false">IF(OR(B67="",J67=""),"",J67-B67)</f>
        <v/>
      </c>
      <c r="BA67" s="77" t="str">
        <f aca="false">IF(OR(J67="",P67=""),"",P67-J67)</f>
        <v/>
      </c>
      <c r="BB67" s="77" t="str">
        <f aca="false">IF(OR(P67="",AY67=""),"",AY67-P67)</f>
        <v/>
      </c>
      <c r="BC67" s="77" t="str">
        <f aca="false">IF(OR(B67="",AY67=""),"",AY67-B67)</f>
        <v/>
      </c>
      <c r="BD67" s="74" t="str">
        <f aca="false">IF(OR(AR67="",O67=""),"",MAX(0,IF(AY67="",Settings!$B$4,AY67)-AR67))</f>
        <v/>
      </c>
      <c r="BE67" s="73" t="str">
        <f aca="false">IF(OR(AY67="",AR67=""),"",IF(AND(AY67&lt;=AR67,N(AU67)&gt;=Settings!$B$6),"OTIF","Not OTIF"))</f>
        <v/>
      </c>
      <c r="BF67" s="60"/>
      <c r="BG67" s="62"/>
      <c r="BH67" s="78"/>
      <c r="BI67" s="76" t="str">
        <f aca="false">IF(A67="","",IF(K67="Rejected","Rejected",IF(K67&lt;&gt;"Approved","Awaiting Approval",IF(O67="","Approved - PO Pending",IF(AY67&lt;&gt;"",IF(N(AJ67)&gt;=0.999,"Closed","In-house Closed - Payment Due"),IF(AS67&lt;&gt;"","Receiving In-house","PO Issued - Awaiting Delivery"))))))</f>
        <v/>
      </c>
      <c r="BJ67" s="76" t="str">
        <f aca="false">IF(A67="","",IF(IF(AND(A67&lt;&gt;"",OR(B67="",C67="",E67="",F67="",H67="")),"PR info missing; ","")&amp;IF(AND(K67="Approved",OR(J67="",I67="")),"Approval ref/date missing; ","")&amp;IF(AND(O67&lt;&gt;"",K67&lt;&gt;"Approved"),"PO without approval; ","")&amp;IF(AND(O67&lt;&gt;"",OR(P67="",M67="",Q67="",S67="",T67="")),"PO details missing; ","")&amp;IF(AND(O67&lt;&gt;"",AR67=""),"Committed date missing; ","")&amp;IF(AND(ISNUMBER(J67),ISNUMBER(B67),N(J67)&lt;N(B67)),"Approval dated before PR; ","")&amp;IF(AND(ISNUMBER(P67),ISNUMBER(J67),N(P67)&lt;N(J67)),"PO dated before approval; ","")&amp;IF(AND(ISNUMBER(AY67),ISNUMBER(AS67),N(AY67)&lt;N(AS67)),"Close before in-house start; ","")&amp;IF(AND(AY67&lt;&gt;"",AS67=""),"In-house start date missing; ","")&amp;IF(AND(AY67&lt;&gt;"",AT67=""),"Qty received missing; ","")&amp;IF(AND(AY67&lt;&gt;"",BF67=""),"QC status missing; ","")&amp;IF(N(AT67)&gt;N(Q67)*1.05,"Received &gt; ordered +5%; ","")&amp;IF(AND(N(AI67)&gt;0,AE67=""),"Payment terms missing; ","")&amp;IF(N(AI67)&gt;N(AD67)+1,"Overpaid vs PO; ","")&amp;IF(AND(N(AK67)&gt;0,AY67&lt;&gt;"",AO67=""),"Payment due date missing; ","")="","OK",IF(AND(A67&lt;&gt;"",OR(B67="",C67="",E67="",F67="",H67="")),"PR info missing; ","")&amp;IF(AND(K67="Approved",OR(J67="",I67="")),"Approval ref/date missing; ","")&amp;IF(AND(O67&lt;&gt;"",K67&lt;&gt;"Approved"),"PO without approval; ","")&amp;IF(AND(O67&lt;&gt;"",OR(P67="",M67="",Q67="",S67="",T67="")),"PO details missing; ","")&amp;IF(AND(O67&lt;&gt;"",AR67=""),"Committed date missing; ","")&amp;IF(AND(ISNUMBER(J67),ISNUMBER(B67),N(J67)&lt;N(B67)),"Approval dated before PR; ","")&amp;IF(AND(ISNUMBER(P67),ISNUMBER(J67),N(P67)&lt;N(J67)),"PO dated before approval; ","")&amp;IF(AND(ISNUMBER(AY67),ISNUMBER(AS67),N(AY67)&lt;N(AS67)),"Close before in-house start; ","")&amp;IF(AND(AY67&lt;&gt;"",AS67=""),"In-house start date missing; ","")&amp;IF(AND(AY67&lt;&gt;"",AT67=""),"Qty received missing; ","")&amp;IF(AND(AY67&lt;&gt;"",BF67=""),"QC status missing; ","")&amp;IF(N(AT67)&gt;N(Q67)*1.05,"Received &gt; ordered +5%; ","")&amp;IF(AND(N(AI67)&gt;0,AE67=""),"Payment terms missing; ","")&amp;IF(N(AI67)&gt;N(AD67)+1,"Overpaid vs PO; ","")&amp;IF(AND(N(AK67)&gt;0,AY67&lt;&gt;"",AO67=""),"Payment due date missing; ","")))</f>
        <v/>
      </c>
      <c r="BK67" s="76" t="str">
        <f aca="false">IF(A67="","",IF(N(AP67)&gt;0,"Pay supplier: "&amp;N(AP67)&amp;" days overdue; ","")&amp;IF(AND(O67&lt;&gt;"",AY67="",N(BD67)&gt;0),"Expedite delivery: "&amp;N(BD67)&amp;" days late; ","")&amp;IF(AND(BI67="Awaiting Approval",ISNUMBER(B67),Settings!$B$4-N(B67)&gt;Settings!$B$19),"Get approval: PR waiting "&amp;(Settings!$B$4-N(B67))&amp;" days; ","")&amp;IF(AND(BI67="Approved - PO Pending",ISNUMBER(J67),Settings!$B$4-N(J67)&gt;Settings!$B$20),"Issue PO: approved "&amp;(Settings!$B$4-N(J67))&amp;" days ago; ","")&amp;IF(AND(OR(BI67="Awaiting Approval",BI67="Approved - PO Pending"),N(AB67)&gt;Settings!$B$7),"Negotiate price: "&amp;TEXT(AB67,"0%")&amp;" above budget; ","")&amp;IF(LEFT(AX67,12)="Short Closed","Short closed: claim balance / credit note"&amp;IF(N(AL67)&gt;0," BDT "&amp;TEXT(AL67,"#,##0"),"")&amp;"; ","")&amp;IF(BF67="Rejected","QC rejected: return / replace; ","")&amp;IF(AND(O67&lt;&gt;"",AY67="",N(AL67)&gt;0,N(BD67)&gt;0),"Advance at risk: BDT "&amp;TEXT(AL67,"#,##0")&amp;" paid, goods late; ","")&amp;IF(AND(BJ67&lt;&gt;"",BJ67&lt;&gt;"OK"),"Fix data entry (see Data Check); ",""))</f>
        <v/>
      </c>
      <c r="BL67" s="73" t="str">
        <f aca="false">IF(BK67="","",IF(OR(N(AP67)&gt;30,AND(AY67="",N(BD67)&gt;15),BF67="Rejected",AND(LEFT(AX67,12)="Short Closed",N(AL67)&gt;0),AND(O67&lt;&gt;"",AY67="",N(AL67)&gt;0,N(BD67)&gt;0)),"High",IF(OR(N(AP67)&gt;0,AND(AY67="",N(BD67)&gt;7),LEFT(AX67,12)="Short Closed",AND(BI67="Awaiting Approval",ISNUMBER(B67),Settings!$B$4-N(B67)&gt;2*Settings!$B$19),AND(BI67="Approved - PO Pending",ISNUMBER(J67),Settings!$B$4-N(J67)&gt;2*Settings!$B$20)),"Medium","Low")))</f>
        <v/>
      </c>
      <c r="BM67" s="77" t="str">
        <f aca="false">IF(BL67="","",IF(BL67="High",1,IF(BL67="Medium",2,3))*10000+ROW())</f>
        <v/>
      </c>
      <c r="BN67" s="62"/>
    </row>
    <row r="68" customFormat="false" ht="18" hidden="false" customHeight="true" outlineLevel="0" collapsed="false">
      <c r="A68" s="60"/>
      <c r="B68" s="61"/>
      <c r="C68" s="62"/>
      <c r="D68" s="62"/>
      <c r="E68" s="62"/>
      <c r="F68" s="62"/>
      <c r="G68" s="62"/>
      <c r="H68" s="60"/>
      <c r="I68" s="60"/>
      <c r="J68" s="61"/>
      <c r="K68" s="60"/>
      <c r="L68" s="60"/>
      <c r="M68" s="62"/>
      <c r="N68" s="60"/>
      <c r="O68" s="60"/>
      <c r="P68" s="61"/>
      <c r="Q68" s="63"/>
      <c r="R68" s="60"/>
      <c r="S68" s="64"/>
      <c r="T68" s="60"/>
      <c r="U68" s="65" t="str">
        <f aca="false">IF(AND(T68="",S68=""),"",IF(T68="",1,IFERROR(INDEX(Settings!$B$12:$B$16,MATCH(T68,Settings!$A$12:$A$16,0)),1)))</f>
        <v/>
      </c>
      <c r="V68" s="64"/>
      <c r="W68" s="66" t="str">
        <f aca="false">IF(OR(Q68="",S68=""),"",Q68*S68*U68)</f>
        <v/>
      </c>
      <c r="X68" s="65" t="str">
        <f aca="false">IF(OR(W68="",N(Q68)=0),"",W68/Q68)</f>
        <v/>
      </c>
      <c r="Y68" s="65" t="str">
        <f aca="false">IF(OR(X68="",P68="",E68=""),"",IF(_xlfn.MAXIFS($P$6:$P$205,$E$6:$E$205,E68,$P$6:$P$205,"&lt;"&amp;P68,$X$6:$X$205,"&gt;0")=0,"",IFERROR(AVERAGEIFS($X$6:$X$205,$E$6:$E$205,E68,$P$6:$P$205,_xlfn.MAXIFS($P$6:$P$205,$E$6:$E$205,E68,$P$6:$P$205,"&lt;"&amp;P68,$X$6:$X$205,"&gt;0"),$X$6:$X$205,"&gt;0"),"")))</f>
        <v/>
      </c>
      <c r="Z68" s="67" t="str">
        <f aca="false">IF(OR(Y68="",X68=""),"",X68/Y68-1)</f>
        <v/>
      </c>
      <c r="AA68" s="68" t="str">
        <f aca="false">IF(OR(W68="",V68=""),"",W68-Q68*V68)</f>
        <v/>
      </c>
      <c r="AB68" s="69" t="str">
        <f aca="false">IF(AA68="","",IF(N(V68)*N(Q68)=0,"",AA68/(Q68*V68)))</f>
        <v/>
      </c>
      <c r="AC68" s="70"/>
      <c r="AD68" s="66" t="str">
        <f aca="false">IF(W68="","",W68*(1+N(AC68)))</f>
        <v/>
      </c>
      <c r="AE68" s="62"/>
      <c r="AF68" s="71"/>
      <c r="AG68" s="71"/>
      <c r="AH68" s="71"/>
      <c r="AI68" s="66" t="str">
        <f aca="false">IF(A68="","",N(AF68)+N(AG68)+N(AH68))</f>
        <v/>
      </c>
      <c r="AJ68" s="72" t="str">
        <f aca="false">IF(AD68="","",IF(N(AD68)=0,"",AI68/AD68))</f>
        <v/>
      </c>
      <c r="AK68" s="66" t="str">
        <f aca="false">IF(AD68="","",IF(AD68-AI68&lt;1,0,ROUND(AD68-AI68,2)))</f>
        <v/>
      </c>
      <c r="AL68" s="66" t="str">
        <f aca="false">IF(OR(O68="",AD68=""),"",MAX(0,ROUND(N(AI68)-(AD68-N(AW68)),0)))</f>
        <v/>
      </c>
      <c r="AM68" s="73" t="str">
        <f aca="false">IF(A68="","",IF(O68="","No PO Yet",IF(AI68=0,"Not Paid",IF(N(AJ68)&gt;=0.999,"Fully Paid",IF(N(AG68)+N(AH68)&gt;0,"Partially Paid","Initial / Advance Paid")))))</f>
        <v/>
      </c>
      <c r="AN68" s="61"/>
      <c r="AO68" s="61"/>
      <c r="AP68" s="74" t="str">
        <f aca="false">IF(AK68="","",IF(OR(N(AK68)=0,AO68=""),"",MAX(0,Settings!$B$4-AO68)))</f>
        <v/>
      </c>
      <c r="AQ68" s="73" t="str">
        <f aca="false">IF(AK68="","",IF(N(AK68)&lt;=0,"",IF(AO68="","No Due Date",IF(Settings!$B$4&lt;=AO68,"Not Yet Due",IF(Settings!$B$4-AO68&lt;=30,"1-30 Days",IF(Settings!$B$4-AO68&lt;=60,"31-60 Days",IF(Settings!$B$4-AO68&lt;=90,"61-90 Days","90+ Days")))))))</f>
        <v/>
      </c>
      <c r="AR68" s="61"/>
      <c r="AS68" s="61"/>
      <c r="AT68" s="63"/>
      <c r="AU68" s="72" t="str">
        <f aca="false">IF(Q68="","",IF(N(Q68)=0,"",N(AT68)/Q68))</f>
        <v/>
      </c>
      <c r="AV68" s="75" t="str">
        <f aca="false">IF(OR(A68="",O68="",Q68=""),"",MAX(0,Q68-N(AT68)))</f>
        <v/>
      </c>
      <c r="AW68" s="66" t="str">
        <f aca="false">IF(OR(AV68="",W68=""),"",IF(N(Q68)=0,0,AV68/Q68*AD68))</f>
        <v/>
      </c>
      <c r="AX68" s="76" t="str">
        <f aca="false">IF(A68="","",IF(O68="","No PO Yet",IF(Q68="","Order Qty Missing",IF(N(AT68)&gt;=Q68,IF(N(AT68)&gt;Q68,"All In-house (+"&amp;TEXT(N(AT68)-Q68,"#,##0")&amp;" "&amp;R68&amp;" excess)","All In-house"),IF(AY68&lt;&gt;"","Short Closed - "&amp;TEXT(AV68,"#,##0")&amp;" "&amp;R68&amp;" not received",IF(N(AT68)=0,"Not Started - "&amp;TEXT(AV68,"#,##0")&amp;" "&amp;R68&amp;" pending","Pending "&amp;TEXT(AV68,"#,##0")&amp;" "&amp;R68&amp;" ("&amp;TEXT(AU68,"0%")&amp;" received)"))))))</f>
        <v/>
      </c>
      <c r="AY68" s="61"/>
      <c r="AZ68" s="77" t="str">
        <f aca="false">IF(OR(B68="",J68=""),"",J68-B68)</f>
        <v/>
      </c>
      <c r="BA68" s="77" t="str">
        <f aca="false">IF(OR(J68="",P68=""),"",P68-J68)</f>
        <v/>
      </c>
      <c r="BB68" s="77" t="str">
        <f aca="false">IF(OR(P68="",AY68=""),"",AY68-P68)</f>
        <v/>
      </c>
      <c r="BC68" s="77" t="str">
        <f aca="false">IF(OR(B68="",AY68=""),"",AY68-B68)</f>
        <v/>
      </c>
      <c r="BD68" s="74" t="str">
        <f aca="false">IF(OR(AR68="",O68=""),"",MAX(0,IF(AY68="",Settings!$B$4,AY68)-AR68))</f>
        <v/>
      </c>
      <c r="BE68" s="73" t="str">
        <f aca="false">IF(OR(AY68="",AR68=""),"",IF(AND(AY68&lt;=AR68,N(AU68)&gt;=Settings!$B$6),"OTIF","Not OTIF"))</f>
        <v/>
      </c>
      <c r="BF68" s="60"/>
      <c r="BG68" s="62"/>
      <c r="BH68" s="78"/>
      <c r="BI68" s="76" t="str">
        <f aca="false">IF(A68="","",IF(K68="Rejected","Rejected",IF(K68&lt;&gt;"Approved","Awaiting Approval",IF(O68="","Approved - PO Pending",IF(AY68&lt;&gt;"",IF(N(AJ68)&gt;=0.999,"Closed","In-house Closed - Payment Due"),IF(AS68&lt;&gt;"","Receiving In-house","PO Issued - Awaiting Delivery"))))))</f>
        <v/>
      </c>
      <c r="BJ68" s="76" t="str">
        <f aca="false">IF(A68="","",IF(IF(AND(A68&lt;&gt;"",OR(B68="",C68="",E68="",F68="",H68="")),"PR info missing; ","")&amp;IF(AND(K68="Approved",OR(J68="",I68="")),"Approval ref/date missing; ","")&amp;IF(AND(O68&lt;&gt;"",K68&lt;&gt;"Approved"),"PO without approval; ","")&amp;IF(AND(O68&lt;&gt;"",OR(P68="",M68="",Q68="",S68="",T68="")),"PO details missing; ","")&amp;IF(AND(O68&lt;&gt;"",AR68=""),"Committed date missing; ","")&amp;IF(AND(ISNUMBER(J68),ISNUMBER(B68),N(J68)&lt;N(B68)),"Approval dated before PR; ","")&amp;IF(AND(ISNUMBER(P68),ISNUMBER(J68),N(P68)&lt;N(J68)),"PO dated before approval; ","")&amp;IF(AND(ISNUMBER(AY68),ISNUMBER(AS68),N(AY68)&lt;N(AS68)),"Close before in-house start; ","")&amp;IF(AND(AY68&lt;&gt;"",AS68=""),"In-house start date missing; ","")&amp;IF(AND(AY68&lt;&gt;"",AT68=""),"Qty received missing; ","")&amp;IF(AND(AY68&lt;&gt;"",BF68=""),"QC status missing; ","")&amp;IF(N(AT68)&gt;N(Q68)*1.05,"Received &gt; ordered +5%; ","")&amp;IF(AND(N(AI68)&gt;0,AE68=""),"Payment terms missing; ","")&amp;IF(N(AI68)&gt;N(AD68)+1,"Overpaid vs PO; ","")&amp;IF(AND(N(AK68)&gt;0,AY68&lt;&gt;"",AO68=""),"Payment due date missing; ","")="","OK",IF(AND(A68&lt;&gt;"",OR(B68="",C68="",E68="",F68="",H68="")),"PR info missing; ","")&amp;IF(AND(K68="Approved",OR(J68="",I68="")),"Approval ref/date missing; ","")&amp;IF(AND(O68&lt;&gt;"",K68&lt;&gt;"Approved"),"PO without approval; ","")&amp;IF(AND(O68&lt;&gt;"",OR(P68="",M68="",Q68="",S68="",T68="")),"PO details missing; ","")&amp;IF(AND(O68&lt;&gt;"",AR68=""),"Committed date missing; ","")&amp;IF(AND(ISNUMBER(J68),ISNUMBER(B68),N(J68)&lt;N(B68)),"Approval dated before PR; ","")&amp;IF(AND(ISNUMBER(P68),ISNUMBER(J68),N(P68)&lt;N(J68)),"PO dated before approval; ","")&amp;IF(AND(ISNUMBER(AY68),ISNUMBER(AS68),N(AY68)&lt;N(AS68)),"Close before in-house start; ","")&amp;IF(AND(AY68&lt;&gt;"",AS68=""),"In-house start date missing; ","")&amp;IF(AND(AY68&lt;&gt;"",AT68=""),"Qty received missing; ","")&amp;IF(AND(AY68&lt;&gt;"",BF68=""),"QC status missing; ","")&amp;IF(N(AT68)&gt;N(Q68)*1.05,"Received &gt; ordered +5%; ","")&amp;IF(AND(N(AI68)&gt;0,AE68=""),"Payment terms missing; ","")&amp;IF(N(AI68)&gt;N(AD68)+1,"Overpaid vs PO; ","")&amp;IF(AND(N(AK68)&gt;0,AY68&lt;&gt;"",AO68=""),"Payment due date missing; ","")))</f>
        <v/>
      </c>
      <c r="BK68" s="76" t="str">
        <f aca="false">IF(A68="","",IF(N(AP68)&gt;0,"Pay supplier: "&amp;N(AP68)&amp;" days overdue; ","")&amp;IF(AND(O68&lt;&gt;"",AY68="",N(BD68)&gt;0),"Expedite delivery: "&amp;N(BD68)&amp;" days late; ","")&amp;IF(AND(BI68="Awaiting Approval",ISNUMBER(B68),Settings!$B$4-N(B68)&gt;Settings!$B$19),"Get approval: PR waiting "&amp;(Settings!$B$4-N(B68))&amp;" days; ","")&amp;IF(AND(BI68="Approved - PO Pending",ISNUMBER(J68),Settings!$B$4-N(J68)&gt;Settings!$B$20),"Issue PO: approved "&amp;(Settings!$B$4-N(J68))&amp;" days ago; ","")&amp;IF(AND(OR(BI68="Awaiting Approval",BI68="Approved - PO Pending"),N(AB68)&gt;Settings!$B$7),"Negotiate price: "&amp;TEXT(AB68,"0%")&amp;" above budget; ","")&amp;IF(LEFT(AX68,12)="Short Closed","Short closed: claim balance / credit note"&amp;IF(N(AL68)&gt;0," BDT "&amp;TEXT(AL68,"#,##0"),"")&amp;"; ","")&amp;IF(BF68="Rejected","QC rejected: return / replace; ","")&amp;IF(AND(O68&lt;&gt;"",AY68="",N(AL68)&gt;0,N(BD68)&gt;0),"Advance at risk: BDT "&amp;TEXT(AL68,"#,##0")&amp;" paid, goods late; ","")&amp;IF(AND(BJ68&lt;&gt;"",BJ68&lt;&gt;"OK"),"Fix data entry (see Data Check); ",""))</f>
        <v/>
      </c>
      <c r="BL68" s="73" t="str">
        <f aca="false">IF(BK68="","",IF(OR(N(AP68)&gt;30,AND(AY68="",N(BD68)&gt;15),BF68="Rejected",AND(LEFT(AX68,12)="Short Closed",N(AL68)&gt;0),AND(O68&lt;&gt;"",AY68="",N(AL68)&gt;0,N(BD68)&gt;0)),"High",IF(OR(N(AP68)&gt;0,AND(AY68="",N(BD68)&gt;7),LEFT(AX68,12)="Short Closed",AND(BI68="Awaiting Approval",ISNUMBER(B68),Settings!$B$4-N(B68)&gt;2*Settings!$B$19),AND(BI68="Approved - PO Pending",ISNUMBER(J68),Settings!$B$4-N(J68)&gt;2*Settings!$B$20)),"Medium","Low")))</f>
        <v/>
      </c>
      <c r="BM68" s="77" t="str">
        <f aca="false">IF(BL68="","",IF(BL68="High",1,IF(BL68="Medium",2,3))*10000+ROW())</f>
        <v/>
      </c>
      <c r="BN68" s="62"/>
    </row>
    <row r="69" customFormat="false" ht="18" hidden="false" customHeight="true" outlineLevel="0" collapsed="false">
      <c r="A69" s="60"/>
      <c r="B69" s="61"/>
      <c r="C69" s="62"/>
      <c r="D69" s="62"/>
      <c r="E69" s="62"/>
      <c r="F69" s="62"/>
      <c r="G69" s="62"/>
      <c r="H69" s="60"/>
      <c r="I69" s="60"/>
      <c r="J69" s="61"/>
      <c r="K69" s="60"/>
      <c r="L69" s="60"/>
      <c r="M69" s="62"/>
      <c r="N69" s="60"/>
      <c r="O69" s="60"/>
      <c r="P69" s="61"/>
      <c r="Q69" s="63"/>
      <c r="R69" s="60"/>
      <c r="S69" s="64"/>
      <c r="T69" s="60"/>
      <c r="U69" s="65" t="str">
        <f aca="false">IF(AND(T69="",S69=""),"",IF(T69="",1,IFERROR(INDEX(Settings!$B$12:$B$16,MATCH(T69,Settings!$A$12:$A$16,0)),1)))</f>
        <v/>
      </c>
      <c r="V69" s="64"/>
      <c r="W69" s="66" t="str">
        <f aca="false">IF(OR(Q69="",S69=""),"",Q69*S69*U69)</f>
        <v/>
      </c>
      <c r="X69" s="65" t="str">
        <f aca="false">IF(OR(W69="",N(Q69)=0),"",W69/Q69)</f>
        <v/>
      </c>
      <c r="Y69" s="65" t="str">
        <f aca="false">IF(OR(X69="",P69="",E69=""),"",IF(_xlfn.MAXIFS($P$6:$P$205,$E$6:$E$205,E69,$P$6:$P$205,"&lt;"&amp;P69,$X$6:$X$205,"&gt;0")=0,"",IFERROR(AVERAGEIFS($X$6:$X$205,$E$6:$E$205,E69,$P$6:$P$205,_xlfn.MAXIFS($P$6:$P$205,$E$6:$E$205,E69,$P$6:$P$205,"&lt;"&amp;P69,$X$6:$X$205,"&gt;0"),$X$6:$X$205,"&gt;0"),"")))</f>
        <v/>
      </c>
      <c r="Z69" s="67" t="str">
        <f aca="false">IF(OR(Y69="",X69=""),"",X69/Y69-1)</f>
        <v/>
      </c>
      <c r="AA69" s="68" t="str">
        <f aca="false">IF(OR(W69="",V69=""),"",W69-Q69*V69)</f>
        <v/>
      </c>
      <c r="AB69" s="69" t="str">
        <f aca="false">IF(AA69="","",IF(N(V69)*N(Q69)=0,"",AA69/(Q69*V69)))</f>
        <v/>
      </c>
      <c r="AC69" s="70"/>
      <c r="AD69" s="66" t="str">
        <f aca="false">IF(W69="","",W69*(1+N(AC69)))</f>
        <v/>
      </c>
      <c r="AE69" s="62"/>
      <c r="AF69" s="71"/>
      <c r="AG69" s="71"/>
      <c r="AH69" s="71"/>
      <c r="AI69" s="66" t="str">
        <f aca="false">IF(A69="","",N(AF69)+N(AG69)+N(AH69))</f>
        <v/>
      </c>
      <c r="AJ69" s="72" t="str">
        <f aca="false">IF(AD69="","",IF(N(AD69)=0,"",AI69/AD69))</f>
        <v/>
      </c>
      <c r="AK69" s="66" t="str">
        <f aca="false">IF(AD69="","",IF(AD69-AI69&lt;1,0,ROUND(AD69-AI69,2)))</f>
        <v/>
      </c>
      <c r="AL69" s="66" t="str">
        <f aca="false">IF(OR(O69="",AD69=""),"",MAX(0,ROUND(N(AI69)-(AD69-N(AW69)),0)))</f>
        <v/>
      </c>
      <c r="AM69" s="73" t="str">
        <f aca="false">IF(A69="","",IF(O69="","No PO Yet",IF(AI69=0,"Not Paid",IF(N(AJ69)&gt;=0.999,"Fully Paid",IF(N(AG69)+N(AH69)&gt;0,"Partially Paid","Initial / Advance Paid")))))</f>
        <v/>
      </c>
      <c r="AN69" s="61"/>
      <c r="AO69" s="61"/>
      <c r="AP69" s="74" t="str">
        <f aca="false">IF(AK69="","",IF(OR(N(AK69)=0,AO69=""),"",MAX(0,Settings!$B$4-AO69)))</f>
        <v/>
      </c>
      <c r="AQ69" s="73" t="str">
        <f aca="false">IF(AK69="","",IF(N(AK69)&lt;=0,"",IF(AO69="","No Due Date",IF(Settings!$B$4&lt;=AO69,"Not Yet Due",IF(Settings!$B$4-AO69&lt;=30,"1-30 Days",IF(Settings!$B$4-AO69&lt;=60,"31-60 Days",IF(Settings!$B$4-AO69&lt;=90,"61-90 Days","90+ Days")))))))</f>
        <v/>
      </c>
      <c r="AR69" s="61"/>
      <c r="AS69" s="61"/>
      <c r="AT69" s="63"/>
      <c r="AU69" s="72" t="str">
        <f aca="false">IF(Q69="","",IF(N(Q69)=0,"",N(AT69)/Q69))</f>
        <v/>
      </c>
      <c r="AV69" s="75" t="str">
        <f aca="false">IF(OR(A69="",O69="",Q69=""),"",MAX(0,Q69-N(AT69)))</f>
        <v/>
      </c>
      <c r="AW69" s="66" t="str">
        <f aca="false">IF(OR(AV69="",W69=""),"",IF(N(Q69)=0,0,AV69/Q69*AD69))</f>
        <v/>
      </c>
      <c r="AX69" s="76" t="str">
        <f aca="false">IF(A69="","",IF(O69="","No PO Yet",IF(Q69="","Order Qty Missing",IF(N(AT69)&gt;=Q69,IF(N(AT69)&gt;Q69,"All In-house (+"&amp;TEXT(N(AT69)-Q69,"#,##0")&amp;" "&amp;R69&amp;" excess)","All In-house"),IF(AY69&lt;&gt;"","Short Closed - "&amp;TEXT(AV69,"#,##0")&amp;" "&amp;R69&amp;" not received",IF(N(AT69)=0,"Not Started - "&amp;TEXT(AV69,"#,##0")&amp;" "&amp;R69&amp;" pending","Pending "&amp;TEXT(AV69,"#,##0")&amp;" "&amp;R69&amp;" ("&amp;TEXT(AU69,"0%")&amp;" received)"))))))</f>
        <v/>
      </c>
      <c r="AY69" s="61"/>
      <c r="AZ69" s="77" t="str">
        <f aca="false">IF(OR(B69="",J69=""),"",J69-B69)</f>
        <v/>
      </c>
      <c r="BA69" s="77" t="str">
        <f aca="false">IF(OR(J69="",P69=""),"",P69-J69)</f>
        <v/>
      </c>
      <c r="BB69" s="77" t="str">
        <f aca="false">IF(OR(P69="",AY69=""),"",AY69-P69)</f>
        <v/>
      </c>
      <c r="BC69" s="77" t="str">
        <f aca="false">IF(OR(B69="",AY69=""),"",AY69-B69)</f>
        <v/>
      </c>
      <c r="BD69" s="74" t="str">
        <f aca="false">IF(OR(AR69="",O69=""),"",MAX(0,IF(AY69="",Settings!$B$4,AY69)-AR69))</f>
        <v/>
      </c>
      <c r="BE69" s="73" t="str">
        <f aca="false">IF(OR(AY69="",AR69=""),"",IF(AND(AY69&lt;=AR69,N(AU69)&gt;=Settings!$B$6),"OTIF","Not OTIF"))</f>
        <v/>
      </c>
      <c r="BF69" s="60"/>
      <c r="BG69" s="62"/>
      <c r="BH69" s="78"/>
      <c r="BI69" s="76" t="str">
        <f aca="false">IF(A69="","",IF(K69="Rejected","Rejected",IF(K69&lt;&gt;"Approved","Awaiting Approval",IF(O69="","Approved - PO Pending",IF(AY69&lt;&gt;"",IF(N(AJ69)&gt;=0.999,"Closed","In-house Closed - Payment Due"),IF(AS69&lt;&gt;"","Receiving In-house","PO Issued - Awaiting Delivery"))))))</f>
        <v/>
      </c>
      <c r="BJ69" s="76" t="str">
        <f aca="false">IF(A69="","",IF(IF(AND(A69&lt;&gt;"",OR(B69="",C69="",E69="",F69="",H69="")),"PR info missing; ","")&amp;IF(AND(K69="Approved",OR(J69="",I69="")),"Approval ref/date missing; ","")&amp;IF(AND(O69&lt;&gt;"",K69&lt;&gt;"Approved"),"PO without approval; ","")&amp;IF(AND(O69&lt;&gt;"",OR(P69="",M69="",Q69="",S69="",T69="")),"PO details missing; ","")&amp;IF(AND(O69&lt;&gt;"",AR69=""),"Committed date missing; ","")&amp;IF(AND(ISNUMBER(J69),ISNUMBER(B69),N(J69)&lt;N(B69)),"Approval dated before PR; ","")&amp;IF(AND(ISNUMBER(P69),ISNUMBER(J69),N(P69)&lt;N(J69)),"PO dated before approval; ","")&amp;IF(AND(ISNUMBER(AY69),ISNUMBER(AS69),N(AY69)&lt;N(AS69)),"Close before in-house start; ","")&amp;IF(AND(AY69&lt;&gt;"",AS69=""),"In-house start date missing; ","")&amp;IF(AND(AY69&lt;&gt;"",AT69=""),"Qty received missing; ","")&amp;IF(AND(AY69&lt;&gt;"",BF69=""),"QC status missing; ","")&amp;IF(N(AT69)&gt;N(Q69)*1.05,"Received &gt; ordered +5%; ","")&amp;IF(AND(N(AI69)&gt;0,AE69=""),"Payment terms missing; ","")&amp;IF(N(AI69)&gt;N(AD69)+1,"Overpaid vs PO; ","")&amp;IF(AND(N(AK69)&gt;0,AY69&lt;&gt;"",AO69=""),"Payment due date missing; ","")="","OK",IF(AND(A69&lt;&gt;"",OR(B69="",C69="",E69="",F69="",H69="")),"PR info missing; ","")&amp;IF(AND(K69="Approved",OR(J69="",I69="")),"Approval ref/date missing; ","")&amp;IF(AND(O69&lt;&gt;"",K69&lt;&gt;"Approved"),"PO without approval; ","")&amp;IF(AND(O69&lt;&gt;"",OR(P69="",M69="",Q69="",S69="",T69="")),"PO details missing; ","")&amp;IF(AND(O69&lt;&gt;"",AR69=""),"Committed date missing; ","")&amp;IF(AND(ISNUMBER(J69),ISNUMBER(B69),N(J69)&lt;N(B69)),"Approval dated before PR; ","")&amp;IF(AND(ISNUMBER(P69),ISNUMBER(J69),N(P69)&lt;N(J69)),"PO dated before approval; ","")&amp;IF(AND(ISNUMBER(AY69),ISNUMBER(AS69),N(AY69)&lt;N(AS69)),"Close before in-house start; ","")&amp;IF(AND(AY69&lt;&gt;"",AS69=""),"In-house start date missing; ","")&amp;IF(AND(AY69&lt;&gt;"",AT69=""),"Qty received missing; ","")&amp;IF(AND(AY69&lt;&gt;"",BF69=""),"QC status missing; ","")&amp;IF(N(AT69)&gt;N(Q69)*1.05,"Received &gt; ordered +5%; ","")&amp;IF(AND(N(AI69)&gt;0,AE69=""),"Payment terms missing; ","")&amp;IF(N(AI69)&gt;N(AD69)+1,"Overpaid vs PO; ","")&amp;IF(AND(N(AK69)&gt;0,AY69&lt;&gt;"",AO69=""),"Payment due date missing; ","")))</f>
        <v/>
      </c>
      <c r="BK69" s="76" t="str">
        <f aca="false">IF(A69="","",IF(N(AP69)&gt;0,"Pay supplier: "&amp;N(AP69)&amp;" days overdue; ","")&amp;IF(AND(O69&lt;&gt;"",AY69="",N(BD69)&gt;0),"Expedite delivery: "&amp;N(BD69)&amp;" days late; ","")&amp;IF(AND(BI69="Awaiting Approval",ISNUMBER(B69),Settings!$B$4-N(B69)&gt;Settings!$B$19),"Get approval: PR waiting "&amp;(Settings!$B$4-N(B69))&amp;" days; ","")&amp;IF(AND(BI69="Approved - PO Pending",ISNUMBER(J69),Settings!$B$4-N(J69)&gt;Settings!$B$20),"Issue PO: approved "&amp;(Settings!$B$4-N(J69))&amp;" days ago; ","")&amp;IF(AND(OR(BI69="Awaiting Approval",BI69="Approved - PO Pending"),N(AB69)&gt;Settings!$B$7),"Negotiate price: "&amp;TEXT(AB69,"0%")&amp;" above budget; ","")&amp;IF(LEFT(AX69,12)="Short Closed","Short closed: claim balance / credit note"&amp;IF(N(AL69)&gt;0," BDT "&amp;TEXT(AL69,"#,##0"),"")&amp;"; ","")&amp;IF(BF69="Rejected","QC rejected: return / replace; ","")&amp;IF(AND(O69&lt;&gt;"",AY69="",N(AL69)&gt;0,N(BD69)&gt;0),"Advance at risk: BDT "&amp;TEXT(AL69,"#,##0")&amp;" paid, goods late; ","")&amp;IF(AND(BJ69&lt;&gt;"",BJ69&lt;&gt;"OK"),"Fix data entry (see Data Check); ",""))</f>
        <v/>
      </c>
      <c r="BL69" s="73" t="str">
        <f aca="false">IF(BK69="","",IF(OR(N(AP69)&gt;30,AND(AY69="",N(BD69)&gt;15),BF69="Rejected",AND(LEFT(AX69,12)="Short Closed",N(AL69)&gt;0),AND(O69&lt;&gt;"",AY69="",N(AL69)&gt;0,N(BD69)&gt;0)),"High",IF(OR(N(AP69)&gt;0,AND(AY69="",N(BD69)&gt;7),LEFT(AX69,12)="Short Closed",AND(BI69="Awaiting Approval",ISNUMBER(B69),Settings!$B$4-N(B69)&gt;2*Settings!$B$19),AND(BI69="Approved - PO Pending",ISNUMBER(J69),Settings!$B$4-N(J69)&gt;2*Settings!$B$20)),"Medium","Low")))</f>
        <v/>
      </c>
      <c r="BM69" s="77" t="str">
        <f aca="false">IF(BL69="","",IF(BL69="High",1,IF(BL69="Medium",2,3))*10000+ROW())</f>
        <v/>
      </c>
      <c r="BN69" s="62"/>
    </row>
    <row r="70" customFormat="false" ht="18" hidden="false" customHeight="true" outlineLevel="0" collapsed="false">
      <c r="A70" s="60"/>
      <c r="B70" s="61"/>
      <c r="C70" s="62"/>
      <c r="D70" s="62"/>
      <c r="E70" s="62"/>
      <c r="F70" s="62"/>
      <c r="G70" s="62"/>
      <c r="H70" s="60"/>
      <c r="I70" s="60"/>
      <c r="J70" s="61"/>
      <c r="K70" s="60"/>
      <c r="L70" s="60"/>
      <c r="M70" s="62"/>
      <c r="N70" s="60"/>
      <c r="O70" s="60"/>
      <c r="P70" s="61"/>
      <c r="Q70" s="63"/>
      <c r="R70" s="60"/>
      <c r="S70" s="64"/>
      <c r="T70" s="60"/>
      <c r="U70" s="65" t="str">
        <f aca="false">IF(AND(T70="",S70=""),"",IF(T70="",1,IFERROR(INDEX(Settings!$B$12:$B$16,MATCH(T70,Settings!$A$12:$A$16,0)),1)))</f>
        <v/>
      </c>
      <c r="V70" s="64"/>
      <c r="W70" s="66" t="str">
        <f aca="false">IF(OR(Q70="",S70=""),"",Q70*S70*U70)</f>
        <v/>
      </c>
      <c r="X70" s="65" t="str">
        <f aca="false">IF(OR(W70="",N(Q70)=0),"",W70/Q70)</f>
        <v/>
      </c>
      <c r="Y70" s="65" t="str">
        <f aca="false">IF(OR(X70="",P70="",E70=""),"",IF(_xlfn.MAXIFS($P$6:$P$205,$E$6:$E$205,E70,$P$6:$P$205,"&lt;"&amp;P70,$X$6:$X$205,"&gt;0")=0,"",IFERROR(AVERAGEIFS($X$6:$X$205,$E$6:$E$205,E70,$P$6:$P$205,_xlfn.MAXIFS($P$6:$P$205,$E$6:$E$205,E70,$P$6:$P$205,"&lt;"&amp;P70,$X$6:$X$205,"&gt;0"),$X$6:$X$205,"&gt;0"),"")))</f>
        <v/>
      </c>
      <c r="Z70" s="67" t="str">
        <f aca="false">IF(OR(Y70="",X70=""),"",X70/Y70-1)</f>
        <v/>
      </c>
      <c r="AA70" s="68" t="str">
        <f aca="false">IF(OR(W70="",V70=""),"",W70-Q70*V70)</f>
        <v/>
      </c>
      <c r="AB70" s="69" t="str">
        <f aca="false">IF(AA70="","",IF(N(V70)*N(Q70)=0,"",AA70/(Q70*V70)))</f>
        <v/>
      </c>
      <c r="AC70" s="70"/>
      <c r="AD70" s="66" t="str">
        <f aca="false">IF(W70="","",W70*(1+N(AC70)))</f>
        <v/>
      </c>
      <c r="AE70" s="62"/>
      <c r="AF70" s="71"/>
      <c r="AG70" s="71"/>
      <c r="AH70" s="71"/>
      <c r="AI70" s="66" t="str">
        <f aca="false">IF(A70="","",N(AF70)+N(AG70)+N(AH70))</f>
        <v/>
      </c>
      <c r="AJ70" s="72" t="str">
        <f aca="false">IF(AD70="","",IF(N(AD70)=0,"",AI70/AD70))</f>
        <v/>
      </c>
      <c r="AK70" s="66" t="str">
        <f aca="false">IF(AD70="","",IF(AD70-AI70&lt;1,0,ROUND(AD70-AI70,2)))</f>
        <v/>
      </c>
      <c r="AL70" s="66" t="str">
        <f aca="false">IF(OR(O70="",AD70=""),"",MAX(0,ROUND(N(AI70)-(AD70-N(AW70)),0)))</f>
        <v/>
      </c>
      <c r="AM70" s="73" t="str">
        <f aca="false">IF(A70="","",IF(O70="","No PO Yet",IF(AI70=0,"Not Paid",IF(N(AJ70)&gt;=0.999,"Fully Paid",IF(N(AG70)+N(AH70)&gt;0,"Partially Paid","Initial / Advance Paid")))))</f>
        <v/>
      </c>
      <c r="AN70" s="61"/>
      <c r="AO70" s="61"/>
      <c r="AP70" s="74" t="str">
        <f aca="false">IF(AK70="","",IF(OR(N(AK70)=0,AO70=""),"",MAX(0,Settings!$B$4-AO70)))</f>
        <v/>
      </c>
      <c r="AQ70" s="73" t="str">
        <f aca="false">IF(AK70="","",IF(N(AK70)&lt;=0,"",IF(AO70="","No Due Date",IF(Settings!$B$4&lt;=AO70,"Not Yet Due",IF(Settings!$B$4-AO70&lt;=30,"1-30 Days",IF(Settings!$B$4-AO70&lt;=60,"31-60 Days",IF(Settings!$B$4-AO70&lt;=90,"61-90 Days","90+ Days")))))))</f>
        <v/>
      </c>
      <c r="AR70" s="61"/>
      <c r="AS70" s="61"/>
      <c r="AT70" s="63"/>
      <c r="AU70" s="72" t="str">
        <f aca="false">IF(Q70="","",IF(N(Q70)=0,"",N(AT70)/Q70))</f>
        <v/>
      </c>
      <c r="AV70" s="75" t="str">
        <f aca="false">IF(OR(A70="",O70="",Q70=""),"",MAX(0,Q70-N(AT70)))</f>
        <v/>
      </c>
      <c r="AW70" s="66" t="str">
        <f aca="false">IF(OR(AV70="",W70=""),"",IF(N(Q70)=0,0,AV70/Q70*AD70))</f>
        <v/>
      </c>
      <c r="AX70" s="76" t="str">
        <f aca="false">IF(A70="","",IF(O70="","No PO Yet",IF(Q70="","Order Qty Missing",IF(N(AT70)&gt;=Q70,IF(N(AT70)&gt;Q70,"All In-house (+"&amp;TEXT(N(AT70)-Q70,"#,##0")&amp;" "&amp;R70&amp;" excess)","All In-house"),IF(AY70&lt;&gt;"","Short Closed - "&amp;TEXT(AV70,"#,##0")&amp;" "&amp;R70&amp;" not received",IF(N(AT70)=0,"Not Started - "&amp;TEXT(AV70,"#,##0")&amp;" "&amp;R70&amp;" pending","Pending "&amp;TEXT(AV70,"#,##0")&amp;" "&amp;R70&amp;" ("&amp;TEXT(AU70,"0%")&amp;" received)"))))))</f>
        <v/>
      </c>
      <c r="AY70" s="61"/>
      <c r="AZ70" s="77" t="str">
        <f aca="false">IF(OR(B70="",J70=""),"",J70-B70)</f>
        <v/>
      </c>
      <c r="BA70" s="77" t="str">
        <f aca="false">IF(OR(J70="",P70=""),"",P70-J70)</f>
        <v/>
      </c>
      <c r="BB70" s="77" t="str">
        <f aca="false">IF(OR(P70="",AY70=""),"",AY70-P70)</f>
        <v/>
      </c>
      <c r="BC70" s="77" t="str">
        <f aca="false">IF(OR(B70="",AY70=""),"",AY70-B70)</f>
        <v/>
      </c>
      <c r="BD70" s="74" t="str">
        <f aca="false">IF(OR(AR70="",O70=""),"",MAX(0,IF(AY70="",Settings!$B$4,AY70)-AR70))</f>
        <v/>
      </c>
      <c r="BE70" s="73" t="str">
        <f aca="false">IF(OR(AY70="",AR70=""),"",IF(AND(AY70&lt;=AR70,N(AU70)&gt;=Settings!$B$6),"OTIF","Not OTIF"))</f>
        <v/>
      </c>
      <c r="BF70" s="60"/>
      <c r="BG70" s="62"/>
      <c r="BH70" s="78"/>
      <c r="BI70" s="76" t="str">
        <f aca="false">IF(A70="","",IF(K70="Rejected","Rejected",IF(K70&lt;&gt;"Approved","Awaiting Approval",IF(O70="","Approved - PO Pending",IF(AY70&lt;&gt;"",IF(N(AJ70)&gt;=0.999,"Closed","In-house Closed - Payment Due"),IF(AS70&lt;&gt;"","Receiving In-house","PO Issued - Awaiting Delivery"))))))</f>
        <v/>
      </c>
      <c r="BJ70" s="76" t="str">
        <f aca="false">IF(A70="","",IF(IF(AND(A70&lt;&gt;"",OR(B70="",C70="",E70="",F70="",H70="")),"PR info missing; ","")&amp;IF(AND(K70="Approved",OR(J70="",I70="")),"Approval ref/date missing; ","")&amp;IF(AND(O70&lt;&gt;"",K70&lt;&gt;"Approved"),"PO without approval; ","")&amp;IF(AND(O70&lt;&gt;"",OR(P70="",M70="",Q70="",S70="",T70="")),"PO details missing; ","")&amp;IF(AND(O70&lt;&gt;"",AR70=""),"Committed date missing; ","")&amp;IF(AND(ISNUMBER(J70),ISNUMBER(B70),N(J70)&lt;N(B70)),"Approval dated before PR; ","")&amp;IF(AND(ISNUMBER(P70),ISNUMBER(J70),N(P70)&lt;N(J70)),"PO dated before approval; ","")&amp;IF(AND(ISNUMBER(AY70),ISNUMBER(AS70),N(AY70)&lt;N(AS70)),"Close before in-house start; ","")&amp;IF(AND(AY70&lt;&gt;"",AS70=""),"In-house start date missing; ","")&amp;IF(AND(AY70&lt;&gt;"",AT70=""),"Qty received missing; ","")&amp;IF(AND(AY70&lt;&gt;"",BF70=""),"QC status missing; ","")&amp;IF(N(AT70)&gt;N(Q70)*1.05,"Received &gt; ordered +5%; ","")&amp;IF(AND(N(AI70)&gt;0,AE70=""),"Payment terms missing; ","")&amp;IF(N(AI70)&gt;N(AD70)+1,"Overpaid vs PO; ","")&amp;IF(AND(N(AK70)&gt;0,AY70&lt;&gt;"",AO70=""),"Payment due date missing; ","")="","OK",IF(AND(A70&lt;&gt;"",OR(B70="",C70="",E70="",F70="",H70="")),"PR info missing; ","")&amp;IF(AND(K70="Approved",OR(J70="",I70="")),"Approval ref/date missing; ","")&amp;IF(AND(O70&lt;&gt;"",K70&lt;&gt;"Approved"),"PO without approval; ","")&amp;IF(AND(O70&lt;&gt;"",OR(P70="",M70="",Q70="",S70="",T70="")),"PO details missing; ","")&amp;IF(AND(O70&lt;&gt;"",AR70=""),"Committed date missing; ","")&amp;IF(AND(ISNUMBER(J70),ISNUMBER(B70),N(J70)&lt;N(B70)),"Approval dated before PR; ","")&amp;IF(AND(ISNUMBER(P70),ISNUMBER(J70),N(P70)&lt;N(J70)),"PO dated before approval; ","")&amp;IF(AND(ISNUMBER(AY70),ISNUMBER(AS70),N(AY70)&lt;N(AS70)),"Close before in-house start; ","")&amp;IF(AND(AY70&lt;&gt;"",AS70=""),"In-house start date missing; ","")&amp;IF(AND(AY70&lt;&gt;"",AT70=""),"Qty received missing; ","")&amp;IF(AND(AY70&lt;&gt;"",BF70=""),"QC status missing; ","")&amp;IF(N(AT70)&gt;N(Q70)*1.05,"Received &gt; ordered +5%; ","")&amp;IF(AND(N(AI70)&gt;0,AE70=""),"Payment terms missing; ","")&amp;IF(N(AI70)&gt;N(AD70)+1,"Overpaid vs PO; ","")&amp;IF(AND(N(AK70)&gt;0,AY70&lt;&gt;"",AO70=""),"Payment due date missing; ","")))</f>
        <v/>
      </c>
      <c r="BK70" s="76" t="str">
        <f aca="false">IF(A70="","",IF(N(AP70)&gt;0,"Pay supplier: "&amp;N(AP70)&amp;" days overdue; ","")&amp;IF(AND(O70&lt;&gt;"",AY70="",N(BD70)&gt;0),"Expedite delivery: "&amp;N(BD70)&amp;" days late; ","")&amp;IF(AND(BI70="Awaiting Approval",ISNUMBER(B70),Settings!$B$4-N(B70)&gt;Settings!$B$19),"Get approval: PR waiting "&amp;(Settings!$B$4-N(B70))&amp;" days; ","")&amp;IF(AND(BI70="Approved - PO Pending",ISNUMBER(J70),Settings!$B$4-N(J70)&gt;Settings!$B$20),"Issue PO: approved "&amp;(Settings!$B$4-N(J70))&amp;" days ago; ","")&amp;IF(AND(OR(BI70="Awaiting Approval",BI70="Approved - PO Pending"),N(AB70)&gt;Settings!$B$7),"Negotiate price: "&amp;TEXT(AB70,"0%")&amp;" above budget; ","")&amp;IF(LEFT(AX70,12)="Short Closed","Short closed: claim balance / credit note"&amp;IF(N(AL70)&gt;0," BDT "&amp;TEXT(AL70,"#,##0"),"")&amp;"; ","")&amp;IF(BF70="Rejected","QC rejected: return / replace; ","")&amp;IF(AND(O70&lt;&gt;"",AY70="",N(AL70)&gt;0,N(BD70)&gt;0),"Advance at risk: BDT "&amp;TEXT(AL70,"#,##0")&amp;" paid, goods late; ","")&amp;IF(AND(BJ70&lt;&gt;"",BJ70&lt;&gt;"OK"),"Fix data entry (see Data Check); ",""))</f>
        <v/>
      </c>
      <c r="BL70" s="73" t="str">
        <f aca="false">IF(BK70="","",IF(OR(N(AP70)&gt;30,AND(AY70="",N(BD70)&gt;15),BF70="Rejected",AND(LEFT(AX70,12)="Short Closed",N(AL70)&gt;0),AND(O70&lt;&gt;"",AY70="",N(AL70)&gt;0,N(BD70)&gt;0)),"High",IF(OR(N(AP70)&gt;0,AND(AY70="",N(BD70)&gt;7),LEFT(AX70,12)="Short Closed",AND(BI70="Awaiting Approval",ISNUMBER(B70),Settings!$B$4-N(B70)&gt;2*Settings!$B$19),AND(BI70="Approved - PO Pending",ISNUMBER(J70),Settings!$B$4-N(J70)&gt;2*Settings!$B$20)),"Medium","Low")))</f>
        <v/>
      </c>
      <c r="BM70" s="77" t="str">
        <f aca="false">IF(BL70="","",IF(BL70="High",1,IF(BL70="Medium",2,3))*10000+ROW())</f>
        <v/>
      </c>
      <c r="BN70" s="62"/>
    </row>
    <row r="71" customFormat="false" ht="18" hidden="false" customHeight="true" outlineLevel="0" collapsed="false">
      <c r="A71" s="60"/>
      <c r="B71" s="61"/>
      <c r="C71" s="62"/>
      <c r="D71" s="62"/>
      <c r="E71" s="62"/>
      <c r="F71" s="62"/>
      <c r="G71" s="62"/>
      <c r="H71" s="60"/>
      <c r="I71" s="60"/>
      <c r="J71" s="61"/>
      <c r="K71" s="60"/>
      <c r="L71" s="60"/>
      <c r="M71" s="62"/>
      <c r="N71" s="60"/>
      <c r="O71" s="60"/>
      <c r="P71" s="61"/>
      <c r="Q71" s="63"/>
      <c r="R71" s="60"/>
      <c r="S71" s="64"/>
      <c r="T71" s="60"/>
      <c r="U71" s="65" t="str">
        <f aca="false">IF(AND(T71="",S71=""),"",IF(T71="",1,IFERROR(INDEX(Settings!$B$12:$B$16,MATCH(T71,Settings!$A$12:$A$16,0)),1)))</f>
        <v/>
      </c>
      <c r="V71" s="64"/>
      <c r="W71" s="66" t="str">
        <f aca="false">IF(OR(Q71="",S71=""),"",Q71*S71*U71)</f>
        <v/>
      </c>
      <c r="X71" s="65" t="str">
        <f aca="false">IF(OR(W71="",N(Q71)=0),"",W71/Q71)</f>
        <v/>
      </c>
      <c r="Y71" s="65" t="str">
        <f aca="false">IF(OR(X71="",P71="",E71=""),"",IF(_xlfn.MAXIFS($P$6:$P$205,$E$6:$E$205,E71,$P$6:$P$205,"&lt;"&amp;P71,$X$6:$X$205,"&gt;0")=0,"",IFERROR(AVERAGEIFS($X$6:$X$205,$E$6:$E$205,E71,$P$6:$P$205,_xlfn.MAXIFS($P$6:$P$205,$E$6:$E$205,E71,$P$6:$P$205,"&lt;"&amp;P71,$X$6:$X$205,"&gt;0"),$X$6:$X$205,"&gt;0"),"")))</f>
        <v/>
      </c>
      <c r="Z71" s="67" t="str">
        <f aca="false">IF(OR(Y71="",X71=""),"",X71/Y71-1)</f>
        <v/>
      </c>
      <c r="AA71" s="68" t="str">
        <f aca="false">IF(OR(W71="",V71=""),"",W71-Q71*V71)</f>
        <v/>
      </c>
      <c r="AB71" s="69" t="str">
        <f aca="false">IF(AA71="","",IF(N(V71)*N(Q71)=0,"",AA71/(Q71*V71)))</f>
        <v/>
      </c>
      <c r="AC71" s="70"/>
      <c r="AD71" s="66" t="str">
        <f aca="false">IF(W71="","",W71*(1+N(AC71)))</f>
        <v/>
      </c>
      <c r="AE71" s="62"/>
      <c r="AF71" s="71"/>
      <c r="AG71" s="71"/>
      <c r="AH71" s="71"/>
      <c r="AI71" s="66" t="str">
        <f aca="false">IF(A71="","",N(AF71)+N(AG71)+N(AH71))</f>
        <v/>
      </c>
      <c r="AJ71" s="72" t="str">
        <f aca="false">IF(AD71="","",IF(N(AD71)=0,"",AI71/AD71))</f>
        <v/>
      </c>
      <c r="AK71" s="66" t="str">
        <f aca="false">IF(AD71="","",IF(AD71-AI71&lt;1,0,ROUND(AD71-AI71,2)))</f>
        <v/>
      </c>
      <c r="AL71" s="66" t="str">
        <f aca="false">IF(OR(O71="",AD71=""),"",MAX(0,ROUND(N(AI71)-(AD71-N(AW71)),0)))</f>
        <v/>
      </c>
      <c r="AM71" s="73" t="str">
        <f aca="false">IF(A71="","",IF(O71="","No PO Yet",IF(AI71=0,"Not Paid",IF(N(AJ71)&gt;=0.999,"Fully Paid",IF(N(AG71)+N(AH71)&gt;0,"Partially Paid","Initial / Advance Paid")))))</f>
        <v/>
      </c>
      <c r="AN71" s="61"/>
      <c r="AO71" s="61"/>
      <c r="AP71" s="74" t="str">
        <f aca="false">IF(AK71="","",IF(OR(N(AK71)=0,AO71=""),"",MAX(0,Settings!$B$4-AO71)))</f>
        <v/>
      </c>
      <c r="AQ71" s="73" t="str">
        <f aca="false">IF(AK71="","",IF(N(AK71)&lt;=0,"",IF(AO71="","No Due Date",IF(Settings!$B$4&lt;=AO71,"Not Yet Due",IF(Settings!$B$4-AO71&lt;=30,"1-30 Days",IF(Settings!$B$4-AO71&lt;=60,"31-60 Days",IF(Settings!$B$4-AO71&lt;=90,"61-90 Days","90+ Days")))))))</f>
        <v/>
      </c>
      <c r="AR71" s="61"/>
      <c r="AS71" s="61"/>
      <c r="AT71" s="63"/>
      <c r="AU71" s="72" t="str">
        <f aca="false">IF(Q71="","",IF(N(Q71)=0,"",N(AT71)/Q71))</f>
        <v/>
      </c>
      <c r="AV71" s="75" t="str">
        <f aca="false">IF(OR(A71="",O71="",Q71=""),"",MAX(0,Q71-N(AT71)))</f>
        <v/>
      </c>
      <c r="AW71" s="66" t="str">
        <f aca="false">IF(OR(AV71="",W71=""),"",IF(N(Q71)=0,0,AV71/Q71*AD71))</f>
        <v/>
      </c>
      <c r="AX71" s="76" t="str">
        <f aca="false">IF(A71="","",IF(O71="","No PO Yet",IF(Q71="","Order Qty Missing",IF(N(AT71)&gt;=Q71,IF(N(AT71)&gt;Q71,"All In-house (+"&amp;TEXT(N(AT71)-Q71,"#,##0")&amp;" "&amp;R71&amp;" excess)","All In-house"),IF(AY71&lt;&gt;"","Short Closed - "&amp;TEXT(AV71,"#,##0")&amp;" "&amp;R71&amp;" not received",IF(N(AT71)=0,"Not Started - "&amp;TEXT(AV71,"#,##0")&amp;" "&amp;R71&amp;" pending","Pending "&amp;TEXT(AV71,"#,##0")&amp;" "&amp;R71&amp;" ("&amp;TEXT(AU71,"0%")&amp;" received)"))))))</f>
        <v/>
      </c>
      <c r="AY71" s="61"/>
      <c r="AZ71" s="77" t="str">
        <f aca="false">IF(OR(B71="",J71=""),"",J71-B71)</f>
        <v/>
      </c>
      <c r="BA71" s="77" t="str">
        <f aca="false">IF(OR(J71="",P71=""),"",P71-J71)</f>
        <v/>
      </c>
      <c r="BB71" s="77" t="str">
        <f aca="false">IF(OR(P71="",AY71=""),"",AY71-P71)</f>
        <v/>
      </c>
      <c r="BC71" s="77" t="str">
        <f aca="false">IF(OR(B71="",AY71=""),"",AY71-B71)</f>
        <v/>
      </c>
      <c r="BD71" s="74" t="str">
        <f aca="false">IF(OR(AR71="",O71=""),"",MAX(0,IF(AY71="",Settings!$B$4,AY71)-AR71))</f>
        <v/>
      </c>
      <c r="BE71" s="73" t="str">
        <f aca="false">IF(OR(AY71="",AR71=""),"",IF(AND(AY71&lt;=AR71,N(AU71)&gt;=Settings!$B$6),"OTIF","Not OTIF"))</f>
        <v/>
      </c>
      <c r="BF71" s="60"/>
      <c r="BG71" s="62"/>
      <c r="BH71" s="78"/>
      <c r="BI71" s="76" t="str">
        <f aca="false">IF(A71="","",IF(K71="Rejected","Rejected",IF(K71&lt;&gt;"Approved","Awaiting Approval",IF(O71="","Approved - PO Pending",IF(AY71&lt;&gt;"",IF(N(AJ71)&gt;=0.999,"Closed","In-house Closed - Payment Due"),IF(AS71&lt;&gt;"","Receiving In-house","PO Issued - Awaiting Delivery"))))))</f>
        <v/>
      </c>
      <c r="BJ71" s="76" t="str">
        <f aca="false">IF(A71="","",IF(IF(AND(A71&lt;&gt;"",OR(B71="",C71="",E71="",F71="",H71="")),"PR info missing; ","")&amp;IF(AND(K71="Approved",OR(J71="",I71="")),"Approval ref/date missing; ","")&amp;IF(AND(O71&lt;&gt;"",K71&lt;&gt;"Approved"),"PO without approval; ","")&amp;IF(AND(O71&lt;&gt;"",OR(P71="",M71="",Q71="",S71="",T71="")),"PO details missing; ","")&amp;IF(AND(O71&lt;&gt;"",AR71=""),"Committed date missing; ","")&amp;IF(AND(ISNUMBER(J71),ISNUMBER(B71),N(J71)&lt;N(B71)),"Approval dated before PR; ","")&amp;IF(AND(ISNUMBER(P71),ISNUMBER(J71),N(P71)&lt;N(J71)),"PO dated before approval; ","")&amp;IF(AND(ISNUMBER(AY71),ISNUMBER(AS71),N(AY71)&lt;N(AS71)),"Close before in-house start; ","")&amp;IF(AND(AY71&lt;&gt;"",AS71=""),"In-house start date missing; ","")&amp;IF(AND(AY71&lt;&gt;"",AT71=""),"Qty received missing; ","")&amp;IF(AND(AY71&lt;&gt;"",BF71=""),"QC status missing; ","")&amp;IF(N(AT71)&gt;N(Q71)*1.05,"Received &gt; ordered +5%; ","")&amp;IF(AND(N(AI71)&gt;0,AE71=""),"Payment terms missing; ","")&amp;IF(N(AI71)&gt;N(AD71)+1,"Overpaid vs PO; ","")&amp;IF(AND(N(AK71)&gt;0,AY71&lt;&gt;"",AO71=""),"Payment due date missing; ","")="","OK",IF(AND(A71&lt;&gt;"",OR(B71="",C71="",E71="",F71="",H71="")),"PR info missing; ","")&amp;IF(AND(K71="Approved",OR(J71="",I71="")),"Approval ref/date missing; ","")&amp;IF(AND(O71&lt;&gt;"",K71&lt;&gt;"Approved"),"PO without approval; ","")&amp;IF(AND(O71&lt;&gt;"",OR(P71="",M71="",Q71="",S71="",T71="")),"PO details missing; ","")&amp;IF(AND(O71&lt;&gt;"",AR71=""),"Committed date missing; ","")&amp;IF(AND(ISNUMBER(J71),ISNUMBER(B71),N(J71)&lt;N(B71)),"Approval dated before PR; ","")&amp;IF(AND(ISNUMBER(P71),ISNUMBER(J71),N(P71)&lt;N(J71)),"PO dated before approval; ","")&amp;IF(AND(ISNUMBER(AY71),ISNUMBER(AS71),N(AY71)&lt;N(AS71)),"Close before in-house start; ","")&amp;IF(AND(AY71&lt;&gt;"",AS71=""),"In-house start date missing; ","")&amp;IF(AND(AY71&lt;&gt;"",AT71=""),"Qty received missing; ","")&amp;IF(AND(AY71&lt;&gt;"",BF71=""),"QC status missing; ","")&amp;IF(N(AT71)&gt;N(Q71)*1.05,"Received &gt; ordered +5%; ","")&amp;IF(AND(N(AI71)&gt;0,AE71=""),"Payment terms missing; ","")&amp;IF(N(AI71)&gt;N(AD71)+1,"Overpaid vs PO; ","")&amp;IF(AND(N(AK71)&gt;0,AY71&lt;&gt;"",AO71=""),"Payment due date missing; ","")))</f>
        <v/>
      </c>
      <c r="BK71" s="76" t="str">
        <f aca="false">IF(A71="","",IF(N(AP71)&gt;0,"Pay supplier: "&amp;N(AP71)&amp;" days overdue; ","")&amp;IF(AND(O71&lt;&gt;"",AY71="",N(BD71)&gt;0),"Expedite delivery: "&amp;N(BD71)&amp;" days late; ","")&amp;IF(AND(BI71="Awaiting Approval",ISNUMBER(B71),Settings!$B$4-N(B71)&gt;Settings!$B$19),"Get approval: PR waiting "&amp;(Settings!$B$4-N(B71))&amp;" days; ","")&amp;IF(AND(BI71="Approved - PO Pending",ISNUMBER(J71),Settings!$B$4-N(J71)&gt;Settings!$B$20),"Issue PO: approved "&amp;(Settings!$B$4-N(J71))&amp;" days ago; ","")&amp;IF(AND(OR(BI71="Awaiting Approval",BI71="Approved - PO Pending"),N(AB71)&gt;Settings!$B$7),"Negotiate price: "&amp;TEXT(AB71,"0%")&amp;" above budget; ","")&amp;IF(LEFT(AX71,12)="Short Closed","Short closed: claim balance / credit note"&amp;IF(N(AL71)&gt;0," BDT "&amp;TEXT(AL71,"#,##0"),"")&amp;"; ","")&amp;IF(BF71="Rejected","QC rejected: return / replace; ","")&amp;IF(AND(O71&lt;&gt;"",AY71="",N(AL71)&gt;0,N(BD71)&gt;0),"Advance at risk: BDT "&amp;TEXT(AL71,"#,##0")&amp;" paid, goods late; ","")&amp;IF(AND(BJ71&lt;&gt;"",BJ71&lt;&gt;"OK"),"Fix data entry (see Data Check); ",""))</f>
        <v/>
      </c>
      <c r="BL71" s="73" t="str">
        <f aca="false">IF(BK71="","",IF(OR(N(AP71)&gt;30,AND(AY71="",N(BD71)&gt;15),BF71="Rejected",AND(LEFT(AX71,12)="Short Closed",N(AL71)&gt;0),AND(O71&lt;&gt;"",AY71="",N(AL71)&gt;0,N(BD71)&gt;0)),"High",IF(OR(N(AP71)&gt;0,AND(AY71="",N(BD71)&gt;7),LEFT(AX71,12)="Short Closed",AND(BI71="Awaiting Approval",ISNUMBER(B71),Settings!$B$4-N(B71)&gt;2*Settings!$B$19),AND(BI71="Approved - PO Pending",ISNUMBER(J71),Settings!$B$4-N(J71)&gt;2*Settings!$B$20)),"Medium","Low")))</f>
        <v/>
      </c>
      <c r="BM71" s="77" t="str">
        <f aca="false">IF(BL71="","",IF(BL71="High",1,IF(BL71="Medium",2,3))*10000+ROW())</f>
        <v/>
      </c>
      <c r="BN71" s="62"/>
    </row>
    <row r="72" customFormat="false" ht="18" hidden="false" customHeight="true" outlineLevel="0" collapsed="false">
      <c r="A72" s="60"/>
      <c r="B72" s="61"/>
      <c r="C72" s="62"/>
      <c r="D72" s="62"/>
      <c r="E72" s="62"/>
      <c r="F72" s="62"/>
      <c r="G72" s="62"/>
      <c r="H72" s="60"/>
      <c r="I72" s="60"/>
      <c r="J72" s="61"/>
      <c r="K72" s="60"/>
      <c r="L72" s="60"/>
      <c r="M72" s="62"/>
      <c r="N72" s="60"/>
      <c r="O72" s="60"/>
      <c r="P72" s="61"/>
      <c r="Q72" s="63"/>
      <c r="R72" s="60"/>
      <c r="S72" s="64"/>
      <c r="T72" s="60"/>
      <c r="U72" s="65" t="str">
        <f aca="false">IF(AND(T72="",S72=""),"",IF(T72="",1,IFERROR(INDEX(Settings!$B$12:$B$16,MATCH(T72,Settings!$A$12:$A$16,0)),1)))</f>
        <v/>
      </c>
      <c r="V72" s="64"/>
      <c r="W72" s="66" t="str">
        <f aca="false">IF(OR(Q72="",S72=""),"",Q72*S72*U72)</f>
        <v/>
      </c>
      <c r="X72" s="65" t="str">
        <f aca="false">IF(OR(W72="",N(Q72)=0),"",W72/Q72)</f>
        <v/>
      </c>
      <c r="Y72" s="65" t="str">
        <f aca="false">IF(OR(X72="",P72="",E72=""),"",IF(_xlfn.MAXIFS($P$6:$P$205,$E$6:$E$205,E72,$P$6:$P$205,"&lt;"&amp;P72,$X$6:$X$205,"&gt;0")=0,"",IFERROR(AVERAGEIFS($X$6:$X$205,$E$6:$E$205,E72,$P$6:$P$205,_xlfn.MAXIFS($P$6:$P$205,$E$6:$E$205,E72,$P$6:$P$205,"&lt;"&amp;P72,$X$6:$X$205,"&gt;0"),$X$6:$X$205,"&gt;0"),"")))</f>
        <v/>
      </c>
      <c r="Z72" s="67" t="str">
        <f aca="false">IF(OR(Y72="",X72=""),"",X72/Y72-1)</f>
        <v/>
      </c>
      <c r="AA72" s="68" t="str">
        <f aca="false">IF(OR(W72="",V72=""),"",W72-Q72*V72)</f>
        <v/>
      </c>
      <c r="AB72" s="69" t="str">
        <f aca="false">IF(AA72="","",IF(N(V72)*N(Q72)=0,"",AA72/(Q72*V72)))</f>
        <v/>
      </c>
      <c r="AC72" s="70"/>
      <c r="AD72" s="66" t="str">
        <f aca="false">IF(W72="","",W72*(1+N(AC72)))</f>
        <v/>
      </c>
      <c r="AE72" s="62"/>
      <c r="AF72" s="71"/>
      <c r="AG72" s="71"/>
      <c r="AH72" s="71"/>
      <c r="AI72" s="66" t="str">
        <f aca="false">IF(A72="","",N(AF72)+N(AG72)+N(AH72))</f>
        <v/>
      </c>
      <c r="AJ72" s="72" t="str">
        <f aca="false">IF(AD72="","",IF(N(AD72)=0,"",AI72/AD72))</f>
        <v/>
      </c>
      <c r="AK72" s="66" t="str">
        <f aca="false">IF(AD72="","",IF(AD72-AI72&lt;1,0,ROUND(AD72-AI72,2)))</f>
        <v/>
      </c>
      <c r="AL72" s="66" t="str">
        <f aca="false">IF(OR(O72="",AD72=""),"",MAX(0,ROUND(N(AI72)-(AD72-N(AW72)),0)))</f>
        <v/>
      </c>
      <c r="AM72" s="73" t="str">
        <f aca="false">IF(A72="","",IF(O72="","No PO Yet",IF(AI72=0,"Not Paid",IF(N(AJ72)&gt;=0.999,"Fully Paid",IF(N(AG72)+N(AH72)&gt;0,"Partially Paid","Initial / Advance Paid")))))</f>
        <v/>
      </c>
      <c r="AN72" s="61"/>
      <c r="AO72" s="61"/>
      <c r="AP72" s="74" t="str">
        <f aca="false">IF(AK72="","",IF(OR(N(AK72)=0,AO72=""),"",MAX(0,Settings!$B$4-AO72)))</f>
        <v/>
      </c>
      <c r="AQ72" s="73" t="str">
        <f aca="false">IF(AK72="","",IF(N(AK72)&lt;=0,"",IF(AO72="","No Due Date",IF(Settings!$B$4&lt;=AO72,"Not Yet Due",IF(Settings!$B$4-AO72&lt;=30,"1-30 Days",IF(Settings!$B$4-AO72&lt;=60,"31-60 Days",IF(Settings!$B$4-AO72&lt;=90,"61-90 Days","90+ Days")))))))</f>
        <v/>
      </c>
      <c r="AR72" s="61"/>
      <c r="AS72" s="61"/>
      <c r="AT72" s="63"/>
      <c r="AU72" s="72" t="str">
        <f aca="false">IF(Q72="","",IF(N(Q72)=0,"",N(AT72)/Q72))</f>
        <v/>
      </c>
      <c r="AV72" s="75" t="str">
        <f aca="false">IF(OR(A72="",O72="",Q72=""),"",MAX(0,Q72-N(AT72)))</f>
        <v/>
      </c>
      <c r="AW72" s="66" t="str">
        <f aca="false">IF(OR(AV72="",W72=""),"",IF(N(Q72)=0,0,AV72/Q72*AD72))</f>
        <v/>
      </c>
      <c r="AX72" s="76" t="str">
        <f aca="false">IF(A72="","",IF(O72="","No PO Yet",IF(Q72="","Order Qty Missing",IF(N(AT72)&gt;=Q72,IF(N(AT72)&gt;Q72,"All In-house (+"&amp;TEXT(N(AT72)-Q72,"#,##0")&amp;" "&amp;R72&amp;" excess)","All In-house"),IF(AY72&lt;&gt;"","Short Closed - "&amp;TEXT(AV72,"#,##0")&amp;" "&amp;R72&amp;" not received",IF(N(AT72)=0,"Not Started - "&amp;TEXT(AV72,"#,##0")&amp;" "&amp;R72&amp;" pending","Pending "&amp;TEXT(AV72,"#,##0")&amp;" "&amp;R72&amp;" ("&amp;TEXT(AU72,"0%")&amp;" received)"))))))</f>
        <v/>
      </c>
      <c r="AY72" s="61"/>
      <c r="AZ72" s="77" t="str">
        <f aca="false">IF(OR(B72="",J72=""),"",J72-B72)</f>
        <v/>
      </c>
      <c r="BA72" s="77" t="str">
        <f aca="false">IF(OR(J72="",P72=""),"",P72-J72)</f>
        <v/>
      </c>
      <c r="BB72" s="77" t="str">
        <f aca="false">IF(OR(P72="",AY72=""),"",AY72-P72)</f>
        <v/>
      </c>
      <c r="BC72" s="77" t="str">
        <f aca="false">IF(OR(B72="",AY72=""),"",AY72-B72)</f>
        <v/>
      </c>
      <c r="BD72" s="74" t="str">
        <f aca="false">IF(OR(AR72="",O72=""),"",MAX(0,IF(AY72="",Settings!$B$4,AY72)-AR72))</f>
        <v/>
      </c>
      <c r="BE72" s="73" t="str">
        <f aca="false">IF(OR(AY72="",AR72=""),"",IF(AND(AY72&lt;=AR72,N(AU72)&gt;=Settings!$B$6),"OTIF","Not OTIF"))</f>
        <v/>
      </c>
      <c r="BF72" s="60"/>
      <c r="BG72" s="62"/>
      <c r="BH72" s="78"/>
      <c r="BI72" s="76" t="str">
        <f aca="false">IF(A72="","",IF(K72="Rejected","Rejected",IF(K72&lt;&gt;"Approved","Awaiting Approval",IF(O72="","Approved - PO Pending",IF(AY72&lt;&gt;"",IF(N(AJ72)&gt;=0.999,"Closed","In-house Closed - Payment Due"),IF(AS72&lt;&gt;"","Receiving In-house","PO Issued - Awaiting Delivery"))))))</f>
        <v/>
      </c>
      <c r="BJ72" s="76" t="str">
        <f aca="false">IF(A72="","",IF(IF(AND(A72&lt;&gt;"",OR(B72="",C72="",E72="",F72="",H72="")),"PR info missing; ","")&amp;IF(AND(K72="Approved",OR(J72="",I72="")),"Approval ref/date missing; ","")&amp;IF(AND(O72&lt;&gt;"",K72&lt;&gt;"Approved"),"PO without approval; ","")&amp;IF(AND(O72&lt;&gt;"",OR(P72="",M72="",Q72="",S72="",T72="")),"PO details missing; ","")&amp;IF(AND(O72&lt;&gt;"",AR72=""),"Committed date missing; ","")&amp;IF(AND(ISNUMBER(J72),ISNUMBER(B72),N(J72)&lt;N(B72)),"Approval dated before PR; ","")&amp;IF(AND(ISNUMBER(P72),ISNUMBER(J72),N(P72)&lt;N(J72)),"PO dated before approval; ","")&amp;IF(AND(ISNUMBER(AY72),ISNUMBER(AS72),N(AY72)&lt;N(AS72)),"Close before in-house start; ","")&amp;IF(AND(AY72&lt;&gt;"",AS72=""),"In-house start date missing; ","")&amp;IF(AND(AY72&lt;&gt;"",AT72=""),"Qty received missing; ","")&amp;IF(AND(AY72&lt;&gt;"",BF72=""),"QC status missing; ","")&amp;IF(N(AT72)&gt;N(Q72)*1.05,"Received &gt; ordered +5%; ","")&amp;IF(AND(N(AI72)&gt;0,AE72=""),"Payment terms missing; ","")&amp;IF(N(AI72)&gt;N(AD72)+1,"Overpaid vs PO; ","")&amp;IF(AND(N(AK72)&gt;0,AY72&lt;&gt;"",AO72=""),"Payment due date missing; ","")="","OK",IF(AND(A72&lt;&gt;"",OR(B72="",C72="",E72="",F72="",H72="")),"PR info missing; ","")&amp;IF(AND(K72="Approved",OR(J72="",I72="")),"Approval ref/date missing; ","")&amp;IF(AND(O72&lt;&gt;"",K72&lt;&gt;"Approved"),"PO without approval; ","")&amp;IF(AND(O72&lt;&gt;"",OR(P72="",M72="",Q72="",S72="",T72="")),"PO details missing; ","")&amp;IF(AND(O72&lt;&gt;"",AR72=""),"Committed date missing; ","")&amp;IF(AND(ISNUMBER(J72),ISNUMBER(B72),N(J72)&lt;N(B72)),"Approval dated before PR; ","")&amp;IF(AND(ISNUMBER(P72),ISNUMBER(J72),N(P72)&lt;N(J72)),"PO dated before approval; ","")&amp;IF(AND(ISNUMBER(AY72),ISNUMBER(AS72),N(AY72)&lt;N(AS72)),"Close before in-house start; ","")&amp;IF(AND(AY72&lt;&gt;"",AS72=""),"In-house start date missing; ","")&amp;IF(AND(AY72&lt;&gt;"",AT72=""),"Qty received missing; ","")&amp;IF(AND(AY72&lt;&gt;"",BF72=""),"QC status missing; ","")&amp;IF(N(AT72)&gt;N(Q72)*1.05,"Received &gt; ordered +5%; ","")&amp;IF(AND(N(AI72)&gt;0,AE72=""),"Payment terms missing; ","")&amp;IF(N(AI72)&gt;N(AD72)+1,"Overpaid vs PO; ","")&amp;IF(AND(N(AK72)&gt;0,AY72&lt;&gt;"",AO72=""),"Payment due date missing; ","")))</f>
        <v/>
      </c>
      <c r="BK72" s="76" t="str">
        <f aca="false">IF(A72="","",IF(N(AP72)&gt;0,"Pay supplier: "&amp;N(AP72)&amp;" days overdue; ","")&amp;IF(AND(O72&lt;&gt;"",AY72="",N(BD72)&gt;0),"Expedite delivery: "&amp;N(BD72)&amp;" days late; ","")&amp;IF(AND(BI72="Awaiting Approval",ISNUMBER(B72),Settings!$B$4-N(B72)&gt;Settings!$B$19),"Get approval: PR waiting "&amp;(Settings!$B$4-N(B72))&amp;" days; ","")&amp;IF(AND(BI72="Approved - PO Pending",ISNUMBER(J72),Settings!$B$4-N(J72)&gt;Settings!$B$20),"Issue PO: approved "&amp;(Settings!$B$4-N(J72))&amp;" days ago; ","")&amp;IF(AND(OR(BI72="Awaiting Approval",BI72="Approved - PO Pending"),N(AB72)&gt;Settings!$B$7),"Negotiate price: "&amp;TEXT(AB72,"0%")&amp;" above budget; ","")&amp;IF(LEFT(AX72,12)="Short Closed","Short closed: claim balance / credit note"&amp;IF(N(AL72)&gt;0," BDT "&amp;TEXT(AL72,"#,##0"),"")&amp;"; ","")&amp;IF(BF72="Rejected","QC rejected: return / replace; ","")&amp;IF(AND(O72&lt;&gt;"",AY72="",N(AL72)&gt;0,N(BD72)&gt;0),"Advance at risk: BDT "&amp;TEXT(AL72,"#,##0")&amp;" paid, goods late; ","")&amp;IF(AND(BJ72&lt;&gt;"",BJ72&lt;&gt;"OK"),"Fix data entry (see Data Check); ",""))</f>
        <v/>
      </c>
      <c r="BL72" s="73" t="str">
        <f aca="false">IF(BK72="","",IF(OR(N(AP72)&gt;30,AND(AY72="",N(BD72)&gt;15),BF72="Rejected",AND(LEFT(AX72,12)="Short Closed",N(AL72)&gt;0),AND(O72&lt;&gt;"",AY72="",N(AL72)&gt;0,N(BD72)&gt;0)),"High",IF(OR(N(AP72)&gt;0,AND(AY72="",N(BD72)&gt;7),LEFT(AX72,12)="Short Closed",AND(BI72="Awaiting Approval",ISNUMBER(B72),Settings!$B$4-N(B72)&gt;2*Settings!$B$19),AND(BI72="Approved - PO Pending",ISNUMBER(J72),Settings!$B$4-N(J72)&gt;2*Settings!$B$20)),"Medium","Low")))</f>
        <v/>
      </c>
      <c r="BM72" s="77" t="str">
        <f aca="false">IF(BL72="","",IF(BL72="High",1,IF(BL72="Medium",2,3))*10000+ROW())</f>
        <v/>
      </c>
      <c r="BN72" s="62"/>
    </row>
    <row r="73" customFormat="false" ht="18" hidden="false" customHeight="true" outlineLevel="0" collapsed="false">
      <c r="A73" s="60"/>
      <c r="B73" s="61"/>
      <c r="C73" s="62"/>
      <c r="D73" s="62"/>
      <c r="E73" s="62"/>
      <c r="F73" s="62"/>
      <c r="G73" s="62"/>
      <c r="H73" s="60"/>
      <c r="I73" s="60"/>
      <c r="J73" s="61"/>
      <c r="K73" s="60"/>
      <c r="L73" s="60"/>
      <c r="M73" s="62"/>
      <c r="N73" s="60"/>
      <c r="O73" s="60"/>
      <c r="P73" s="61"/>
      <c r="Q73" s="63"/>
      <c r="R73" s="60"/>
      <c r="S73" s="64"/>
      <c r="T73" s="60"/>
      <c r="U73" s="65" t="str">
        <f aca="false">IF(AND(T73="",S73=""),"",IF(T73="",1,IFERROR(INDEX(Settings!$B$12:$B$16,MATCH(T73,Settings!$A$12:$A$16,0)),1)))</f>
        <v/>
      </c>
      <c r="V73" s="64"/>
      <c r="W73" s="66" t="str">
        <f aca="false">IF(OR(Q73="",S73=""),"",Q73*S73*U73)</f>
        <v/>
      </c>
      <c r="X73" s="65" t="str">
        <f aca="false">IF(OR(W73="",N(Q73)=0),"",W73/Q73)</f>
        <v/>
      </c>
      <c r="Y73" s="65" t="str">
        <f aca="false">IF(OR(X73="",P73="",E73=""),"",IF(_xlfn.MAXIFS($P$6:$P$205,$E$6:$E$205,E73,$P$6:$P$205,"&lt;"&amp;P73,$X$6:$X$205,"&gt;0")=0,"",IFERROR(AVERAGEIFS($X$6:$X$205,$E$6:$E$205,E73,$P$6:$P$205,_xlfn.MAXIFS($P$6:$P$205,$E$6:$E$205,E73,$P$6:$P$205,"&lt;"&amp;P73,$X$6:$X$205,"&gt;0"),$X$6:$X$205,"&gt;0"),"")))</f>
        <v/>
      </c>
      <c r="Z73" s="67" t="str">
        <f aca="false">IF(OR(Y73="",X73=""),"",X73/Y73-1)</f>
        <v/>
      </c>
      <c r="AA73" s="68" t="str">
        <f aca="false">IF(OR(W73="",V73=""),"",W73-Q73*V73)</f>
        <v/>
      </c>
      <c r="AB73" s="69" t="str">
        <f aca="false">IF(AA73="","",IF(N(V73)*N(Q73)=0,"",AA73/(Q73*V73)))</f>
        <v/>
      </c>
      <c r="AC73" s="70"/>
      <c r="AD73" s="66" t="str">
        <f aca="false">IF(W73="","",W73*(1+N(AC73)))</f>
        <v/>
      </c>
      <c r="AE73" s="62"/>
      <c r="AF73" s="71"/>
      <c r="AG73" s="71"/>
      <c r="AH73" s="71"/>
      <c r="AI73" s="66" t="str">
        <f aca="false">IF(A73="","",N(AF73)+N(AG73)+N(AH73))</f>
        <v/>
      </c>
      <c r="AJ73" s="72" t="str">
        <f aca="false">IF(AD73="","",IF(N(AD73)=0,"",AI73/AD73))</f>
        <v/>
      </c>
      <c r="AK73" s="66" t="str">
        <f aca="false">IF(AD73="","",IF(AD73-AI73&lt;1,0,ROUND(AD73-AI73,2)))</f>
        <v/>
      </c>
      <c r="AL73" s="66" t="str">
        <f aca="false">IF(OR(O73="",AD73=""),"",MAX(0,ROUND(N(AI73)-(AD73-N(AW73)),0)))</f>
        <v/>
      </c>
      <c r="AM73" s="73" t="str">
        <f aca="false">IF(A73="","",IF(O73="","No PO Yet",IF(AI73=0,"Not Paid",IF(N(AJ73)&gt;=0.999,"Fully Paid",IF(N(AG73)+N(AH73)&gt;0,"Partially Paid","Initial / Advance Paid")))))</f>
        <v/>
      </c>
      <c r="AN73" s="61"/>
      <c r="AO73" s="61"/>
      <c r="AP73" s="74" t="str">
        <f aca="false">IF(AK73="","",IF(OR(N(AK73)=0,AO73=""),"",MAX(0,Settings!$B$4-AO73)))</f>
        <v/>
      </c>
      <c r="AQ73" s="73" t="str">
        <f aca="false">IF(AK73="","",IF(N(AK73)&lt;=0,"",IF(AO73="","No Due Date",IF(Settings!$B$4&lt;=AO73,"Not Yet Due",IF(Settings!$B$4-AO73&lt;=30,"1-30 Days",IF(Settings!$B$4-AO73&lt;=60,"31-60 Days",IF(Settings!$B$4-AO73&lt;=90,"61-90 Days","90+ Days")))))))</f>
        <v/>
      </c>
      <c r="AR73" s="61"/>
      <c r="AS73" s="61"/>
      <c r="AT73" s="63"/>
      <c r="AU73" s="72" t="str">
        <f aca="false">IF(Q73="","",IF(N(Q73)=0,"",N(AT73)/Q73))</f>
        <v/>
      </c>
      <c r="AV73" s="75" t="str">
        <f aca="false">IF(OR(A73="",O73="",Q73=""),"",MAX(0,Q73-N(AT73)))</f>
        <v/>
      </c>
      <c r="AW73" s="66" t="str">
        <f aca="false">IF(OR(AV73="",W73=""),"",IF(N(Q73)=0,0,AV73/Q73*AD73))</f>
        <v/>
      </c>
      <c r="AX73" s="76" t="str">
        <f aca="false">IF(A73="","",IF(O73="","No PO Yet",IF(Q73="","Order Qty Missing",IF(N(AT73)&gt;=Q73,IF(N(AT73)&gt;Q73,"All In-house (+"&amp;TEXT(N(AT73)-Q73,"#,##0")&amp;" "&amp;R73&amp;" excess)","All In-house"),IF(AY73&lt;&gt;"","Short Closed - "&amp;TEXT(AV73,"#,##0")&amp;" "&amp;R73&amp;" not received",IF(N(AT73)=0,"Not Started - "&amp;TEXT(AV73,"#,##0")&amp;" "&amp;R73&amp;" pending","Pending "&amp;TEXT(AV73,"#,##0")&amp;" "&amp;R73&amp;" ("&amp;TEXT(AU73,"0%")&amp;" received)"))))))</f>
        <v/>
      </c>
      <c r="AY73" s="61"/>
      <c r="AZ73" s="77" t="str">
        <f aca="false">IF(OR(B73="",J73=""),"",J73-B73)</f>
        <v/>
      </c>
      <c r="BA73" s="77" t="str">
        <f aca="false">IF(OR(J73="",P73=""),"",P73-J73)</f>
        <v/>
      </c>
      <c r="BB73" s="77" t="str">
        <f aca="false">IF(OR(P73="",AY73=""),"",AY73-P73)</f>
        <v/>
      </c>
      <c r="BC73" s="77" t="str">
        <f aca="false">IF(OR(B73="",AY73=""),"",AY73-B73)</f>
        <v/>
      </c>
      <c r="BD73" s="74" t="str">
        <f aca="false">IF(OR(AR73="",O73=""),"",MAX(0,IF(AY73="",Settings!$B$4,AY73)-AR73))</f>
        <v/>
      </c>
      <c r="BE73" s="73" t="str">
        <f aca="false">IF(OR(AY73="",AR73=""),"",IF(AND(AY73&lt;=AR73,N(AU73)&gt;=Settings!$B$6),"OTIF","Not OTIF"))</f>
        <v/>
      </c>
      <c r="BF73" s="60"/>
      <c r="BG73" s="62"/>
      <c r="BH73" s="78"/>
      <c r="BI73" s="76" t="str">
        <f aca="false">IF(A73="","",IF(K73="Rejected","Rejected",IF(K73&lt;&gt;"Approved","Awaiting Approval",IF(O73="","Approved - PO Pending",IF(AY73&lt;&gt;"",IF(N(AJ73)&gt;=0.999,"Closed","In-house Closed - Payment Due"),IF(AS73&lt;&gt;"","Receiving In-house","PO Issued - Awaiting Delivery"))))))</f>
        <v/>
      </c>
      <c r="BJ73" s="76" t="str">
        <f aca="false">IF(A73="","",IF(IF(AND(A73&lt;&gt;"",OR(B73="",C73="",E73="",F73="",H73="")),"PR info missing; ","")&amp;IF(AND(K73="Approved",OR(J73="",I73="")),"Approval ref/date missing; ","")&amp;IF(AND(O73&lt;&gt;"",K73&lt;&gt;"Approved"),"PO without approval; ","")&amp;IF(AND(O73&lt;&gt;"",OR(P73="",M73="",Q73="",S73="",T73="")),"PO details missing; ","")&amp;IF(AND(O73&lt;&gt;"",AR73=""),"Committed date missing; ","")&amp;IF(AND(ISNUMBER(J73),ISNUMBER(B73),N(J73)&lt;N(B73)),"Approval dated before PR; ","")&amp;IF(AND(ISNUMBER(P73),ISNUMBER(J73),N(P73)&lt;N(J73)),"PO dated before approval; ","")&amp;IF(AND(ISNUMBER(AY73),ISNUMBER(AS73),N(AY73)&lt;N(AS73)),"Close before in-house start; ","")&amp;IF(AND(AY73&lt;&gt;"",AS73=""),"In-house start date missing; ","")&amp;IF(AND(AY73&lt;&gt;"",AT73=""),"Qty received missing; ","")&amp;IF(AND(AY73&lt;&gt;"",BF73=""),"QC status missing; ","")&amp;IF(N(AT73)&gt;N(Q73)*1.05,"Received &gt; ordered +5%; ","")&amp;IF(AND(N(AI73)&gt;0,AE73=""),"Payment terms missing; ","")&amp;IF(N(AI73)&gt;N(AD73)+1,"Overpaid vs PO; ","")&amp;IF(AND(N(AK73)&gt;0,AY73&lt;&gt;"",AO73=""),"Payment due date missing; ","")="","OK",IF(AND(A73&lt;&gt;"",OR(B73="",C73="",E73="",F73="",H73="")),"PR info missing; ","")&amp;IF(AND(K73="Approved",OR(J73="",I73="")),"Approval ref/date missing; ","")&amp;IF(AND(O73&lt;&gt;"",K73&lt;&gt;"Approved"),"PO without approval; ","")&amp;IF(AND(O73&lt;&gt;"",OR(P73="",M73="",Q73="",S73="",T73="")),"PO details missing; ","")&amp;IF(AND(O73&lt;&gt;"",AR73=""),"Committed date missing; ","")&amp;IF(AND(ISNUMBER(J73),ISNUMBER(B73),N(J73)&lt;N(B73)),"Approval dated before PR; ","")&amp;IF(AND(ISNUMBER(P73),ISNUMBER(J73),N(P73)&lt;N(J73)),"PO dated before approval; ","")&amp;IF(AND(ISNUMBER(AY73),ISNUMBER(AS73),N(AY73)&lt;N(AS73)),"Close before in-house start; ","")&amp;IF(AND(AY73&lt;&gt;"",AS73=""),"In-house start date missing; ","")&amp;IF(AND(AY73&lt;&gt;"",AT73=""),"Qty received missing; ","")&amp;IF(AND(AY73&lt;&gt;"",BF73=""),"QC status missing; ","")&amp;IF(N(AT73)&gt;N(Q73)*1.05,"Received &gt; ordered +5%; ","")&amp;IF(AND(N(AI73)&gt;0,AE73=""),"Payment terms missing; ","")&amp;IF(N(AI73)&gt;N(AD73)+1,"Overpaid vs PO; ","")&amp;IF(AND(N(AK73)&gt;0,AY73&lt;&gt;"",AO73=""),"Payment due date missing; ","")))</f>
        <v/>
      </c>
      <c r="BK73" s="76" t="str">
        <f aca="false">IF(A73="","",IF(N(AP73)&gt;0,"Pay supplier: "&amp;N(AP73)&amp;" days overdue; ","")&amp;IF(AND(O73&lt;&gt;"",AY73="",N(BD73)&gt;0),"Expedite delivery: "&amp;N(BD73)&amp;" days late; ","")&amp;IF(AND(BI73="Awaiting Approval",ISNUMBER(B73),Settings!$B$4-N(B73)&gt;Settings!$B$19),"Get approval: PR waiting "&amp;(Settings!$B$4-N(B73))&amp;" days; ","")&amp;IF(AND(BI73="Approved - PO Pending",ISNUMBER(J73),Settings!$B$4-N(J73)&gt;Settings!$B$20),"Issue PO: approved "&amp;(Settings!$B$4-N(J73))&amp;" days ago; ","")&amp;IF(AND(OR(BI73="Awaiting Approval",BI73="Approved - PO Pending"),N(AB73)&gt;Settings!$B$7),"Negotiate price: "&amp;TEXT(AB73,"0%")&amp;" above budget; ","")&amp;IF(LEFT(AX73,12)="Short Closed","Short closed: claim balance / credit note"&amp;IF(N(AL73)&gt;0," BDT "&amp;TEXT(AL73,"#,##0"),"")&amp;"; ","")&amp;IF(BF73="Rejected","QC rejected: return / replace; ","")&amp;IF(AND(O73&lt;&gt;"",AY73="",N(AL73)&gt;0,N(BD73)&gt;0),"Advance at risk: BDT "&amp;TEXT(AL73,"#,##0")&amp;" paid, goods late; ","")&amp;IF(AND(BJ73&lt;&gt;"",BJ73&lt;&gt;"OK"),"Fix data entry (see Data Check); ",""))</f>
        <v/>
      </c>
      <c r="BL73" s="73" t="str">
        <f aca="false">IF(BK73="","",IF(OR(N(AP73)&gt;30,AND(AY73="",N(BD73)&gt;15),BF73="Rejected",AND(LEFT(AX73,12)="Short Closed",N(AL73)&gt;0),AND(O73&lt;&gt;"",AY73="",N(AL73)&gt;0,N(BD73)&gt;0)),"High",IF(OR(N(AP73)&gt;0,AND(AY73="",N(BD73)&gt;7),LEFT(AX73,12)="Short Closed",AND(BI73="Awaiting Approval",ISNUMBER(B73),Settings!$B$4-N(B73)&gt;2*Settings!$B$19),AND(BI73="Approved - PO Pending",ISNUMBER(J73),Settings!$B$4-N(J73)&gt;2*Settings!$B$20)),"Medium","Low")))</f>
        <v/>
      </c>
      <c r="BM73" s="77" t="str">
        <f aca="false">IF(BL73="","",IF(BL73="High",1,IF(BL73="Medium",2,3))*10000+ROW())</f>
        <v/>
      </c>
      <c r="BN73" s="62"/>
    </row>
    <row r="74" customFormat="false" ht="18" hidden="false" customHeight="true" outlineLevel="0" collapsed="false">
      <c r="A74" s="60"/>
      <c r="B74" s="61"/>
      <c r="C74" s="62"/>
      <c r="D74" s="62"/>
      <c r="E74" s="62"/>
      <c r="F74" s="62"/>
      <c r="G74" s="62"/>
      <c r="H74" s="60"/>
      <c r="I74" s="60"/>
      <c r="J74" s="61"/>
      <c r="K74" s="60"/>
      <c r="L74" s="60"/>
      <c r="M74" s="62"/>
      <c r="N74" s="60"/>
      <c r="O74" s="60"/>
      <c r="P74" s="61"/>
      <c r="Q74" s="63"/>
      <c r="R74" s="60"/>
      <c r="S74" s="64"/>
      <c r="T74" s="60"/>
      <c r="U74" s="65" t="str">
        <f aca="false">IF(AND(T74="",S74=""),"",IF(T74="",1,IFERROR(INDEX(Settings!$B$12:$B$16,MATCH(T74,Settings!$A$12:$A$16,0)),1)))</f>
        <v/>
      </c>
      <c r="V74" s="64"/>
      <c r="W74" s="66" t="str">
        <f aca="false">IF(OR(Q74="",S74=""),"",Q74*S74*U74)</f>
        <v/>
      </c>
      <c r="X74" s="65" t="str">
        <f aca="false">IF(OR(W74="",N(Q74)=0),"",W74/Q74)</f>
        <v/>
      </c>
      <c r="Y74" s="65" t="str">
        <f aca="false">IF(OR(X74="",P74="",E74=""),"",IF(_xlfn.MAXIFS($P$6:$P$205,$E$6:$E$205,E74,$P$6:$P$205,"&lt;"&amp;P74,$X$6:$X$205,"&gt;0")=0,"",IFERROR(AVERAGEIFS($X$6:$X$205,$E$6:$E$205,E74,$P$6:$P$205,_xlfn.MAXIFS($P$6:$P$205,$E$6:$E$205,E74,$P$6:$P$205,"&lt;"&amp;P74,$X$6:$X$205,"&gt;0"),$X$6:$X$205,"&gt;0"),"")))</f>
        <v/>
      </c>
      <c r="Z74" s="67" t="str">
        <f aca="false">IF(OR(Y74="",X74=""),"",X74/Y74-1)</f>
        <v/>
      </c>
      <c r="AA74" s="68" t="str">
        <f aca="false">IF(OR(W74="",V74=""),"",W74-Q74*V74)</f>
        <v/>
      </c>
      <c r="AB74" s="69" t="str">
        <f aca="false">IF(AA74="","",IF(N(V74)*N(Q74)=0,"",AA74/(Q74*V74)))</f>
        <v/>
      </c>
      <c r="AC74" s="70"/>
      <c r="AD74" s="66" t="str">
        <f aca="false">IF(W74="","",W74*(1+N(AC74)))</f>
        <v/>
      </c>
      <c r="AE74" s="62"/>
      <c r="AF74" s="71"/>
      <c r="AG74" s="71"/>
      <c r="AH74" s="71"/>
      <c r="AI74" s="66" t="str">
        <f aca="false">IF(A74="","",N(AF74)+N(AG74)+N(AH74))</f>
        <v/>
      </c>
      <c r="AJ74" s="72" t="str">
        <f aca="false">IF(AD74="","",IF(N(AD74)=0,"",AI74/AD74))</f>
        <v/>
      </c>
      <c r="AK74" s="66" t="str">
        <f aca="false">IF(AD74="","",IF(AD74-AI74&lt;1,0,ROUND(AD74-AI74,2)))</f>
        <v/>
      </c>
      <c r="AL74" s="66" t="str">
        <f aca="false">IF(OR(O74="",AD74=""),"",MAX(0,ROUND(N(AI74)-(AD74-N(AW74)),0)))</f>
        <v/>
      </c>
      <c r="AM74" s="73" t="str">
        <f aca="false">IF(A74="","",IF(O74="","No PO Yet",IF(AI74=0,"Not Paid",IF(N(AJ74)&gt;=0.999,"Fully Paid",IF(N(AG74)+N(AH74)&gt;0,"Partially Paid","Initial / Advance Paid")))))</f>
        <v/>
      </c>
      <c r="AN74" s="61"/>
      <c r="AO74" s="61"/>
      <c r="AP74" s="74" t="str">
        <f aca="false">IF(AK74="","",IF(OR(N(AK74)=0,AO74=""),"",MAX(0,Settings!$B$4-AO74)))</f>
        <v/>
      </c>
      <c r="AQ74" s="73" t="str">
        <f aca="false">IF(AK74="","",IF(N(AK74)&lt;=0,"",IF(AO74="","No Due Date",IF(Settings!$B$4&lt;=AO74,"Not Yet Due",IF(Settings!$B$4-AO74&lt;=30,"1-30 Days",IF(Settings!$B$4-AO74&lt;=60,"31-60 Days",IF(Settings!$B$4-AO74&lt;=90,"61-90 Days","90+ Days")))))))</f>
        <v/>
      </c>
      <c r="AR74" s="61"/>
      <c r="AS74" s="61"/>
      <c r="AT74" s="63"/>
      <c r="AU74" s="72" t="str">
        <f aca="false">IF(Q74="","",IF(N(Q74)=0,"",N(AT74)/Q74))</f>
        <v/>
      </c>
      <c r="AV74" s="75" t="str">
        <f aca="false">IF(OR(A74="",O74="",Q74=""),"",MAX(0,Q74-N(AT74)))</f>
        <v/>
      </c>
      <c r="AW74" s="66" t="str">
        <f aca="false">IF(OR(AV74="",W74=""),"",IF(N(Q74)=0,0,AV74/Q74*AD74))</f>
        <v/>
      </c>
      <c r="AX74" s="76" t="str">
        <f aca="false">IF(A74="","",IF(O74="","No PO Yet",IF(Q74="","Order Qty Missing",IF(N(AT74)&gt;=Q74,IF(N(AT74)&gt;Q74,"All In-house (+"&amp;TEXT(N(AT74)-Q74,"#,##0")&amp;" "&amp;R74&amp;" excess)","All In-house"),IF(AY74&lt;&gt;"","Short Closed - "&amp;TEXT(AV74,"#,##0")&amp;" "&amp;R74&amp;" not received",IF(N(AT74)=0,"Not Started - "&amp;TEXT(AV74,"#,##0")&amp;" "&amp;R74&amp;" pending","Pending "&amp;TEXT(AV74,"#,##0")&amp;" "&amp;R74&amp;" ("&amp;TEXT(AU74,"0%")&amp;" received)"))))))</f>
        <v/>
      </c>
      <c r="AY74" s="61"/>
      <c r="AZ74" s="77" t="str">
        <f aca="false">IF(OR(B74="",J74=""),"",J74-B74)</f>
        <v/>
      </c>
      <c r="BA74" s="77" t="str">
        <f aca="false">IF(OR(J74="",P74=""),"",P74-J74)</f>
        <v/>
      </c>
      <c r="BB74" s="77" t="str">
        <f aca="false">IF(OR(P74="",AY74=""),"",AY74-P74)</f>
        <v/>
      </c>
      <c r="BC74" s="77" t="str">
        <f aca="false">IF(OR(B74="",AY74=""),"",AY74-B74)</f>
        <v/>
      </c>
      <c r="BD74" s="74" t="str">
        <f aca="false">IF(OR(AR74="",O74=""),"",MAX(0,IF(AY74="",Settings!$B$4,AY74)-AR74))</f>
        <v/>
      </c>
      <c r="BE74" s="73" t="str">
        <f aca="false">IF(OR(AY74="",AR74=""),"",IF(AND(AY74&lt;=AR74,N(AU74)&gt;=Settings!$B$6),"OTIF","Not OTIF"))</f>
        <v/>
      </c>
      <c r="BF74" s="60"/>
      <c r="BG74" s="62"/>
      <c r="BH74" s="78"/>
      <c r="BI74" s="76" t="str">
        <f aca="false">IF(A74="","",IF(K74="Rejected","Rejected",IF(K74&lt;&gt;"Approved","Awaiting Approval",IF(O74="","Approved - PO Pending",IF(AY74&lt;&gt;"",IF(N(AJ74)&gt;=0.999,"Closed","In-house Closed - Payment Due"),IF(AS74&lt;&gt;"","Receiving In-house","PO Issued - Awaiting Delivery"))))))</f>
        <v/>
      </c>
      <c r="BJ74" s="76" t="str">
        <f aca="false">IF(A74="","",IF(IF(AND(A74&lt;&gt;"",OR(B74="",C74="",E74="",F74="",H74="")),"PR info missing; ","")&amp;IF(AND(K74="Approved",OR(J74="",I74="")),"Approval ref/date missing; ","")&amp;IF(AND(O74&lt;&gt;"",K74&lt;&gt;"Approved"),"PO without approval; ","")&amp;IF(AND(O74&lt;&gt;"",OR(P74="",M74="",Q74="",S74="",T74="")),"PO details missing; ","")&amp;IF(AND(O74&lt;&gt;"",AR74=""),"Committed date missing; ","")&amp;IF(AND(ISNUMBER(J74),ISNUMBER(B74),N(J74)&lt;N(B74)),"Approval dated before PR; ","")&amp;IF(AND(ISNUMBER(P74),ISNUMBER(J74),N(P74)&lt;N(J74)),"PO dated before approval; ","")&amp;IF(AND(ISNUMBER(AY74),ISNUMBER(AS74),N(AY74)&lt;N(AS74)),"Close before in-house start; ","")&amp;IF(AND(AY74&lt;&gt;"",AS74=""),"In-house start date missing; ","")&amp;IF(AND(AY74&lt;&gt;"",AT74=""),"Qty received missing; ","")&amp;IF(AND(AY74&lt;&gt;"",BF74=""),"QC status missing; ","")&amp;IF(N(AT74)&gt;N(Q74)*1.05,"Received &gt; ordered +5%; ","")&amp;IF(AND(N(AI74)&gt;0,AE74=""),"Payment terms missing; ","")&amp;IF(N(AI74)&gt;N(AD74)+1,"Overpaid vs PO; ","")&amp;IF(AND(N(AK74)&gt;0,AY74&lt;&gt;"",AO74=""),"Payment due date missing; ","")="","OK",IF(AND(A74&lt;&gt;"",OR(B74="",C74="",E74="",F74="",H74="")),"PR info missing; ","")&amp;IF(AND(K74="Approved",OR(J74="",I74="")),"Approval ref/date missing; ","")&amp;IF(AND(O74&lt;&gt;"",K74&lt;&gt;"Approved"),"PO without approval; ","")&amp;IF(AND(O74&lt;&gt;"",OR(P74="",M74="",Q74="",S74="",T74="")),"PO details missing; ","")&amp;IF(AND(O74&lt;&gt;"",AR74=""),"Committed date missing; ","")&amp;IF(AND(ISNUMBER(J74),ISNUMBER(B74),N(J74)&lt;N(B74)),"Approval dated before PR; ","")&amp;IF(AND(ISNUMBER(P74),ISNUMBER(J74),N(P74)&lt;N(J74)),"PO dated before approval; ","")&amp;IF(AND(ISNUMBER(AY74),ISNUMBER(AS74),N(AY74)&lt;N(AS74)),"Close before in-house start; ","")&amp;IF(AND(AY74&lt;&gt;"",AS74=""),"In-house start date missing; ","")&amp;IF(AND(AY74&lt;&gt;"",AT74=""),"Qty received missing; ","")&amp;IF(AND(AY74&lt;&gt;"",BF74=""),"QC status missing; ","")&amp;IF(N(AT74)&gt;N(Q74)*1.05,"Received &gt; ordered +5%; ","")&amp;IF(AND(N(AI74)&gt;0,AE74=""),"Payment terms missing; ","")&amp;IF(N(AI74)&gt;N(AD74)+1,"Overpaid vs PO; ","")&amp;IF(AND(N(AK74)&gt;0,AY74&lt;&gt;"",AO74=""),"Payment due date missing; ","")))</f>
        <v/>
      </c>
      <c r="BK74" s="76" t="str">
        <f aca="false">IF(A74="","",IF(N(AP74)&gt;0,"Pay supplier: "&amp;N(AP74)&amp;" days overdue; ","")&amp;IF(AND(O74&lt;&gt;"",AY74="",N(BD74)&gt;0),"Expedite delivery: "&amp;N(BD74)&amp;" days late; ","")&amp;IF(AND(BI74="Awaiting Approval",ISNUMBER(B74),Settings!$B$4-N(B74)&gt;Settings!$B$19),"Get approval: PR waiting "&amp;(Settings!$B$4-N(B74))&amp;" days; ","")&amp;IF(AND(BI74="Approved - PO Pending",ISNUMBER(J74),Settings!$B$4-N(J74)&gt;Settings!$B$20),"Issue PO: approved "&amp;(Settings!$B$4-N(J74))&amp;" days ago; ","")&amp;IF(AND(OR(BI74="Awaiting Approval",BI74="Approved - PO Pending"),N(AB74)&gt;Settings!$B$7),"Negotiate price: "&amp;TEXT(AB74,"0%")&amp;" above budget; ","")&amp;IF(LEFT(AX74,12)="Short Closed","Short closed: claim balance / credit note"&amp;IF(N(AL74)&gt;0," BDT "&amp;TEXT(AL74,"#,##0"),"")&amp;"; ","")&amp;IF(BF74="Rejected","QC rejected: return / replace; ","")&amp;IF(AND(O74&lt;&gt;"",AY74="",N(AL74)&gt;0,N(BD74)&gt;0),"Advance at risk: BDT "&amp;TEXT(AL74,"#,##0")&amp;" paid, goods late; ","")&amp;IF(AND(BJ74&lt;&gt;"",BJ74&lt;&gt;"OK"),"Fix data entry (see Data Check); ",""))</f>
        <v/>
      </c>
      <c r="BL74" s="73" t="str">
        <f aca="false">IF(BK74="","",IF(OR(N(AP74)&gt;30,AND(AY74="",N(BD74)&gt;15),BF74="Rejected",AND(LEFT(AX74,12)="Short Closed",N(AL74)&gt;0),AND(O74&lt;&gt;"",AY74="",N(AL74)&gt;0,N(BD74)&gt;0)),"High",IF(OR(N(AP74)&gt;0,AND(AY74="",N(BD74)&gt;7),LEFT(AX74,12)="Short Closed",AND(BI74="Awaiting Approval",ISNUMBER(B74),Settings!$B$4-N(B74)&gt;2*Settings!$B$19),AND(BI74="Approved - PO Pending",ISNUMBER(J74),Settings!$B$4-N(J74)&gt;2*Settings!$B$20)),"Medium","Low")))</f>
        <v/>
      </c>
      <c r="BM74" s="77" t="str">
        <f aca="false">IF(BL74="","",IF(BL74="High",1,IF(BL74="Medium",2,3))*10000+ROW())</f>
        <v/>
      </c>
      <c r="BN74" s="62"/>
    </row>
    <row r="75" customFormat="false" ht="18" hidden="false" customHeight="true" outlineLevel="0" collapsed="false">
      <c r="A75" s="60"/>
      <c r="B75" s="61"/>
      <c r="C75" s="62"/>
      <c r="D75" s="62"/>
      <c r="E75" s="62"/>
      <c r="F75" s="62"/>
      <c r="G75" s="62"/>
      <c r="H75" s="60"/>
      <c r="I75" s="60"/>
      <c r="J75" s="61"/>
      <c r="K75" s="60"/>
      <c r="L75" s="60"/>
      <c r="M75" s="62"/>
      <c r="N75" s="60"/>
      <c r="O75" s="60"/>
      <c r="P75" s="61"/>
      <c r="Q75" s="63"/>
      <c r="R75" s="60"/>
      <c r="S75" s="64"/>
      <c r="T75" s="60"/>
      <c r="U75" s="65" t="str">
        <f aca="false">IF(AND(T75="",S75=""),"",IF(T75="",1,IFERROR(INDEX(Settings!$B$12:$B$16,MATCH(T75,Settings!$A$12:$A$16,0)),1)))</f>
        <v/>
      </c>
      <c r="V75" s="64"/>
      <c r="W75" s="66" t="str">
        <f aca="false">IF(OR(Q75="",S75=""),"",Q75*S75*U75)</f>
        <v/>
      </c>
      <c r="X75" s="65" t="str">
        <f aca="false">IF(OR(W75="",N(Q75)=0),"",W75/Q75)</f>
        <v/>
      </c>
      <c r="Y75" s="65" t="str">
        <f aca="false">IF(OR(X75="",P75="",E75=""),"",IF(_xlfn.MAXIFS($P$6:$P$205,$E$6:$E$205,E75,$P$6:$P$205,"&lt;"&amp;P75,$X$6:$X$205,"&gt;0")=0,"",IFERROR(AVERAGEIFS($X$6:$X$205,$E$6:$E$205,E75,$P$6:$P$205,_xlfn.MAXIFS($P$6:$P$205,$E$6:$E$205,E75,$P$6:$P$205,"&lt;"&amp;P75,$X$6:$X$205,"&gt;0"),$X$6:$X$205,"&gt;0"),"")))</f>
        <v/>
      </c>
      <c r="Z75" s="67" t="str">
        <f aca="false">IF(OR(Y75="",X75=""),"",X75/Y75-1)</f>
        <v/>
      </c>
      <c r="AA75" s="68" t="str">
        <f aca="false">IF(OR(W75="",V75=""),"",W75-Q75*V75)</f>
        <v/>
      </c>
      <c r="AB75" s="69" t="str">
        <f aca="false">IF(AA75="","",IF(N(V75)*N(Q75)=0,"",AA75/(Q75*V75)))</f>
        <v/>
      </c>
      <c r="AC75" s="70"/>
      <c r="AD75" s="66" t="str">
        <f aca="false">IF(W75="","",W75*(1+N(AC75)))</f>
        <v/>
      </c>
      <c r="AE75" s="62"/>
      <c r="AF75" s="71"/>
      <c r="AG75" s="71"/>
      <c r="AH75" s="71"/>
      <c r="AI75" s="66" t="str">
        <f aca="false">IF(A75="","",N(AF75)+N(AG75)+N(AH75))</f>
        <v/>
      </c>
      <c r="AJ75" s="72" t="str">
        <f aca="false">IF(AD75="","",IF(N(AD75)=0,"",AI75/AD75))</f>
        <v/>
      </c>
      <c r="AK75" s="66" t="str">
        <f aca="false">IF(AD75="","",IF(AD75-AI75&lt;1,0,ROUND(AD75-AI75,2)))</f>
        <v/>
      </c>
      <c r="AL75" s="66" t="str">
        <f aca="false">IF(OR(O75="",AD75=""),"",MAX(0,ROUND(N(AI75)-(AD75-N(AW75)),0)))</f>
        <v/>
      </c>
      <c r="AM75" s="73" t="str">
        <f aca="false">IF(A75="","",IF(O75="","No PO Yet",IF(AI75=0,"Not Paid",IF(N(AJ75)&gt;=0.999,"Fully Paid",IF(N(AG75)+N(AH75)&gt;0,"Partially Paid","Initial / Advance Paid")))))</f>
        <v/>
      </c>
      <c r="AN75" s="61"/>
      <c r="AO75" s="61"/>
      <c r="AP75" s="74" t="str">
        <f aca="false">IF(AK75="","",IF(OR(N(AK75)=0,AO75=""),"",MAX(0,Settings!$B$4-AO75)))</f>
        <v/>
      </c>
      <c r="AQ75" s="73" t="str">
        <f aca="false">IF(AK75="","",IF(N(AK75)&lt;=0,"",IF(AO75="","No Due Date",IF(Settings!$B$4&lt;=AO75,"Not Yet Due",IF(Settings!$B$4-AO75&lt;=30,"1-30 Days",IF(Settings!$B$4-AO75&lt;=60,"31-60 Days",IF(Settings!$B$4-AO75&lt;=90,"61-90 Days","90+ Days")))))))</f>
        <v/>
      </c>
      <c r="AR75" s="61"/>
      <c r="AS75" s="61"/>
      <c r="AT75" s="63"/>
      <c r="AU75" s="72" t="str">
        <f aca="false">IF(Q75="","",IF(N(Q75)=0,"",N(AT75)/Q75))</f>
        <v/>
      </c>
      <c r="AV75" s="75" t="str">
        <f aca="false">IF(OR(A75="",O75="",Q75=""),"",MAX(0,Q75-N(AT75)))</f>
        <v/>
      </c>
      <c r="AW75" s="66" t="str">
        <f aca="false">IF(OR(AV75="",W75=""),"",IF(N(Q75)=0,0,AV75/Q75*AD75))</f>
        <v/>
      </c>
      <c r="AX75" s="76" t="str">
        <f aca="false">IF(A75="","",IF(O75="","No PO Yet",IF(Q75="","Order Qty Missing",IF(N(AT75)&gt;=Q75,IF(N(AT75)&gt;Q75,"All In-house (+"&amp;TEXT(N(AT75)-Q75,"#,##0")&amp;" "&amp;R75&amp;" excess)","All In-house"),IF(AY75&lt;&gt;"","Short Closed - "&amp;TEXT(AV75,"#,##0")&amp;" "&amp;R75&amp;" not received",IF(N(AT75)=0,"Not Started - "&amp;TEXT(AV75,"#,##0")&amp;" "&amp;R75&amp;" pending","Pending "&amp;TEXT(AV75,"#,##0")&amp;" "&amp;R75&amp;" ("&amp;TEXT(AU75,"0%")&amp;" received)"))))))</f>
        <v/>
      </c>
      <c r="AY75" s="61"/>
      <c r="AZ75" s="77" t="str">
        <f aca="false">IF(OR(B75="",J75=""),"",J75-B75)</f>
        <v/>
      </c>
      <c r="BA75" s="77" t="str">
        <f aca="false">IF(OR(J75="",P75=""),"",P75-J75)</f>
        <v/>
      </c>
      <c r="BB75" s="77" t="str">
        <f aca="false">IF(OR(P75="",AY75=""),"",AY75-P75)</f>
        <v/>
      </c>
      <c r="BC75" s="77" t="str">
        <f aca="false">IF(OR(B75="",AY75=""),"",AY75-B75)</f>
        <v/>
      </c>
      <c r="BD75" s="74" t="str">
        <f aca="false">IF(OR(AR75="",O75=""),"",MAX(0,IF(AY75="",Settings!$B$4,AY75)-AR75))</f>
        <v/>
      </c>
      <c r="BE75" s="73" t="str">
        <f aca="false">IF(OR(AY75="",AR75=""),"",IF(AND(AY75&lt;=AR75,N(AU75)&gt;=Settings!$B$6),"OTIF","Not OTIF"))</f>
        <v/>
      </c>
      <c r="BF75" s="60"/>
      <c r="BG75" s="62"/>
      <c r="BH75" s="78"/>
      <c r="BI75" s="76" t="str">
        <f aca="false">IF(A75="","",IF(K75="Rejected","Rejected",IF(K75&lt;&gt;"Approved","Awaiting Approval",IF(O75="","Approved - PO Pending",IF(AY75&lt;&gt;"",IF(N(AJ75)&gt;=0.999,"Closed","In-house Closed - Payment Due"),IF(AS75&lt;&gt;"","Receiving In-house","PO Issued - Awaiting Delivery"))))))</f>
        <v/>
      </c>
      <c r="BJ75" s="76" t="str">
        <f aca="false">IF(A75="","",IF(IF(AND(A75&lt;&gt;"",OR(B75="",C75="",E75="",F75="",H75="")),"PR info missing; ","")&amp;IF(AND(K75="Approved",OR(J75="",I75="")),"Approval ref/date missing; ","")&amp;IF(AND(O75&lt;&gt;"",K75&lt;&gt;"Approved"),"PO without approval; ","")&amp;IF(AND(O75&lt;&gt;"",OR(P75="",M75="",Q75="",S75="",T75="")),"PO details missing; ","")&amp;IF(AND(O75&lt;&gt;"",AR75=""),"Committed date missing; ","")&amp;IF(AND(ISNUMBER(J75),ISNUMBER(B75),N(J75)&lt;N(B75)),"Approval dated before PR; ","")&amp;IF(AND(ISNUMBER(P75),ISNUMBER(J75),N(P75)&lt;N(J75)),"PO dated before approval; ","")&amp;IF(AND(ISNUMBER(AY75),ISNUMBER(AS75),N(AY75)&lt;N(AS75)),"Close before in-house start; ","")&amp;IF(AND(AY75&lt;&gt;"",AS75=""),"In-house start date missing; ","")&amp;IF(AND(AY75&lt;&gt;"",AT75=""),"Qty received missing; ","")&amp;IF(AND(AY75&lt;&gt;"",BF75=""),"QC status missing; ","")&amp;IF(N(AT75)&gt;N(Q75)*1.05,"Received &gt; ordered +5%; ","")&amp;IF(AND(N(AI75)&gt;0,AE75=""),"Payment terms missing; ","")&amp;IF(N(AI75)&gt;N(AD75)+1,"Overpaid vs PO; ","")&amp;IF(AND(N(AK75)&gt;0,AY75&lt;&gt;"",AO75=""),"Payment due date missing; ","")="","OK",IF(AND(A75&lt;&gt;"",OR(B75="",C75="",E75="",F75="",H75="")),"PR info missing; ","")&amp;IF(AND(K75="Approved",OR(J75="",I75="")),"Approval ref/date missing; ","")&amp;IF(AND(O75&lt;&gt;"",K75&lt;&gt;"Approved"),"PO without approval; ","")&amp;IF(AND(O75&lt;&gt;"",OR(P75="",M75="",Q75="",S75="",T75="")),"PO details missing; ","")&amp;IF(AND(O75&lt;&gt;"",AR75=""),"Committed date missing; ","")&amp;IF(AND(ISNUMBER(J75),ISNUMBER(B75),N(J75)&lt;N(B75)),"Approval dated before PR; ","")&amp;IF(AND(ISNUMBER(P75),ISNUMBER(J75),N(P75)&lt;N(J75)),"PO dated before approval; ","")&amp;IF(AND(ISNUMBER(AY75),ISNUMBER(AS75),N(AY75)&lt;N(AS75)),"Close before in-house start; ","")&amp;IF(AND(AY75&lt;&gt;"",AS75=""),"In-house start date missing; ","")&amp;IF(AND(AY75&lt;&gt;"",AT75=""),"Qty received missing; ","")&amp;IF(AND(AY75&lt;&gt;"",BF75=""),"QC status missing; ","")&amp;IF(N(AT75)&gt;N(Q75)*1.05,"Received &gt; ordered +5%; ","")&amp;IF(AND(N(AI75)&gt;0,AE75=""),"Payment terms missing; ","")&amp;IF(N(AI75)&gt;N(AD75)+1,"Overpaid vs PO; ","")&amp;IF(AND(N(AK75)&gt;0,AY75&lt;&gt;"",AO75=""),"Payment due date missing; ","")))</f>
        <v/>
      </c>
      <c r="BK75" s="76" t="str">
        <f aca="false">IF(A75="","",IF(N(AP75)&gt;0,"Pay supplier: "&amp;N(AP75)&amp;" days overdue; ","")&amp;IF(AND(O75&lt;&gt;"",AY75="",N(BD75)&gt;0),"Expedite delivery: "&amp;N(BD75)&amp;" days late; ","")&amp;IF(AND(BI75="Awaiting Approval",ISNUMBER(B75),Settings!$B$4-N(B75)&gt;Settings!$B$19),"Get approval: PR waiting "&amp;(Settings!$B$4-N(B75))&amp;" days; ","")&amp;IF(AND(BI75="Approved - PO Pending",ISNUMBER(J75),Settings!$B$4-N(J75)&gt;Settings!$B$20),"Issue PO: approved "&amp;(Settings!$B$4-N(J75))&amp;" days ago; ","")&amp;IF(AND(OR(BI75="Awaiting Approval",BI75="Approved - PO Pending"),N(AB75)&gt;Settings!$B$7),"Negotiate price: "&amp;TEXT(AB75,"0%")&amp;" above budget; ","")&amp;IF(LEFT(AX75,12)="Short Closed","Short closed: claim balance / credit note"&amp;IF(N(AL75)&gt;0," BDT "&amp;TEXT(AL75,"#,##0"),"")&amp;"; ","")&amp;IF(BF75="Rejected","QC rejected: return / replace; ","")&amp;IF(AND(O75&lt;&gt;"",AY75="",N(AL75)&gt;0,N(BD75)&gt;0),"Advance at risk: BDT "&amp;TEXT(AL75,"#,##0")&amp;" paid, goods late; ","")&amp;IF(AND(BJ75&lt;&gt;"",BJ75&lt;&gt;"OK"),"Fix data entry (see Data Check); ",""))</f>
        <v/>
      </c>
      <c r="BL75" s="73" t="str">
        <f aca="false">IF(BK75="","",IF(OR(N(AP75)&gt;30,AND(AY75="",N(BD75)&gt;15),BF75="Rejected",AND(LEFT(AX75,12)="Short Closed",N(AL75)&gt;0),AND(O75&lt;&gt;"",AY75="",N(AL75)&gt;0,N(BD75)&gt;0)),"High",IF(OR(N(AP75)&gt;0,AND(AY75="",N(BD75)&gt;7),LEFT(AX75,12)="Short Closed",AND(BI75="Awaiting Approval",ISNUMBER(B75),Settings!$B$4-N(B75)&gt;2*Settings!$B$19),AND(BI75="Approved - PO Pending",ISNUMBER(J75),Settings!$B$4-N(J75)&gt;2*Settings!$B$20)),"Medium","Low")))</f>
        <v/>
      </c>
      <c r="BM75" s="77" t="str">
        <f aca="false">IF(BL75="","",IF(BL75="High",1,IF(BL75="Medium",2,3))*10000+ROW())</f>
        <v/>
      </c>
      <c r="BN75" s="62"/>
    </row>
    <row r="76" customFormat="false" ht="18" hidden="false" customHeight="true" outlineLevel="0" collapsed="false">
      <c r="A76" s="60"/>
      <c r="B76" s="61"/>
      <c r="C76" s="62"/>
      <c r="D76" s="62"/>
      <c r="E76" s="62"/>
      <c r="F76" s="62"/>
      <c r="G76" s="62"/>
      <c r="H76" s="60"/>
      <c r="I76" s="60"/>
      <c r="J76" s="61"/>
      <c r="K76" s="60"/>
      <c r="L76" s="60"/>
      <c r="M76" s="62"/>
      <c r="N76" s="60"/>
      <c r="O76" s="60"/>
      <c r="P76" s="61"/>
      <c r="Q76" s="63"/>
      <c r="R76" s="60"/>
      <c r="S76" s="64"/>
      <c r="T76" s="60"/>
      <c r="U76" s="65" t="str">
        <f aca="false">IF(AND(T76="",S76=""),"",IF(T76="",1,IFERROR(INDEX(Settings!$B$12:$B$16,MATCH(T76,Settings!$A$12:$A$16,0)),1)))</f>
        <v/>
      </c>
      <c r="V76" s="64"/>
      <c r="W76" s="66" t="str">
        <f aca="false">IF(OR(Q76="",S76=""),"",Q76*S76*U76)</f>
        <v/>
      </c>
      <c r="X76" s="65" t="str">
        <f aca="false">IF(OR(W76="",N(Q76)=0),"",W76/Q76)</f>
        <v/>
      </c>
      <c r="Y76" s="65" t="str">
        <f aca="false">IF(OR(X76="",P76="",E76=""),"",IF(_xlfn.MAXIFS($P$6:$P$205,$E$6:$E$205,E76,$P$6:$P$205,"&lt;"&amp;P76,$X$6:$X$205,"&gt;0")=0,"",IFERROR(AVERAGEIFS($X$6:$X$205,$E$6:$E$205,E76,$P$6:$P$205,_xlfn.MAXIFS($P$6:$P$205,$E$6:$E$205,E76,$P$6:$P$205,"&lt;"&amp;P76,$X$6:$X$205,"&gt;0"),$X$6:$X$205,"&gt;0"),"")))</f>
        <v/>
      </c>
      <c r="Z76" s="67" t="str">
        <f aca="false">IF(OR(Y76="",X76=""),"",X76/Y76-1)</f>
        <v/>
      </c>
      <c r="AA76" s="68" t="str">
        <f aca="false">IF(OR(W76="",V76=""),"",W76-Q76*V76)</f>
        <v/>
      </c>
      <c r="AB76" s="69" t="str">
        <f aca="false">IF(AA76="","",IF(N(V76)*N(Q76)=0,"",AA76/(Q76*V76)))</f>
        <v/>
      </c>
      <c r="AC76" s="70"/>
      <c r="AD76" s="66" t="str">
        <f aca="false">IF(W76="","",W76*(1+N(AC76)))</f>
        <v/>
      </c>
      <c r="AE76" s="62"/>
      <c r="AF76" s="71"/>
      <c r="AG76" s="71"/>
      <c r="AH76" s="71"/>
      <c r="AI76" s="66" t="str">
        <f aca="false">IF(A76="","",N(AF76)+N(AG76)+N(AH76))</f>
        <v/>
      </c>
      <c r="AJ76" s="72" t="str">
        <f aca="false">IF(AD76="","",IF(N(AD76)=0,"",AI76/AD76))</f>
        <v/>
      </c>
      <c r="AK76" s="66" t="str">
        <f aca="false">IF(AD76="","",IF(AD76-AI76&lt;1,0,ROUND(AD76-AI76,2)))</f>
        <v/>
      </c>
      <c r="AL76" s="66" t="str">
        <f aca="false">IF(OR(O76="",AD76=""),"",MAX(0,ROUND(N(AI76)-(AD76-N(AW76)),0)))</f>
        <v/>
      </c>
      <c r="AM76" s="73" t="str">
        <f aca="false">IF(A76="","",IF(O76="","No PO Yet",IF(AI76=0,"Not Paid",IF(N(AJ76)&gt;=0.999,"Fully Paid",IF(N(AG76)+N(AH76)&gt;0,"Partially Paid","Initial / Advance Paid")))))</f>
        <v/>
      </c>
      <c r="AN76" s="61"/>
      <c r="AO76" s="61"/>
      <c r="AP76" s="74" t="str">
        <f aca="false">IF(AK76="","",IF(OR(N(AK76)=0,AO76=""),"",MAX(0,Settings!$B$4-AO76)))</f>
        <v/>
      </c>
      <c r="AQ76" s="73" t="str">
        <f aca="false">IF(AK76="","",IF(N(AK76)&lt;=0,"",IF(AO76="","No Due Date",IF(Settings!$B$4&lt;=AO76,"Not Yet Due",IF(Settings!$B$4-AO76&lt;=30,"1-30 Days",IF(Settings!$B$4-AO76&lt;=60,"31-60 Days",IF(Settings!$B$4-AO76&lt;=90,"61-90 Days","90+ Days")))))))</f>
        <v/>
      </c>
      <c r="AR76" s="61"/>
      <c r="AS76" s="61"/>
      <c r="AT76" s="63"/>
      <c r="AU76" s="72" t="str">
        <f aca="false">IF(Q76="","",IF(N(Q76)=0,"",N(AT76)/Q76))</f>
        <v/>
      </c>
      <c r="AV76" s="75" t="str">
        <f aca="false">IF(OR(A76="",O76="",Q76=""),"",MAX(0,Q76-N(AT76)))</f>
        <v/>
      </c>
      <c r="AW76" s="66" t="str">
        <f aca="false">IF(OR(AV76="",W76=""),"",IF(N(Q76)=0,0,AV76/Q76*AD76))</f>
        <v/>
      </c>
      <c r="AX76" s="76" t="str">
        <f aca="false">IF(A76="","",IF(O76="","No PO Yet",IF(Q76="","Order Qty Missing",IF(N(AT76)&gt;=Q76,IF(N(AT76)&gt;Q76,"All In-house (+"&amp;TEXT(N(AT76)-Q76,"#,##0")&amp;" "&amp;R76&amp;" excess)","All In-house"),IF(AY76&lt;&gt;"","Short Closed - "&amp;TEXT(AV76,"#,##0")&amp;" "&amp;R76&amp;" not received",IF(N(AT76)=0,"Not Started - "&amp;TEXT(AV76,"#,##0")&amp;" "&amp;R76&amp;" pending","Pending "&amp;TEXT(AV76,"#,##0")&amp;" "&amp;R76&amp;" ("&amp;TEXT(AU76,"0%")&amp;" received)"))))))</f>
        <v/>
      </c>
      <c r="AY76" s="61"/>
      <c r="AZ76" s="77" t="str">
        <f aca="false">IF(OR(B76="",J76=""),"",J76-B76)</f>
        <v/>
      </c>
      <c r="BA76" s="77" t="str">
        <f aca="false">IF(OR(J76="",P76=""),"",P76-J76)</f>
        <v/>
      </c>
      <c r="BB76" s="77" t="str">
        <f aca="false">IF(OR(P76="",AY76=""),"",AY76-P76)</f>
        <v/>
      </c>
      <c r="BC76" s="77" t="str">
        <f aca="false">IF(OR(B76="",AY76=""),"",AY76-B76)</f>
        <v/>
      </c>
      <c r="BD76" s="74" t="str">
        <f aca="false">IF(OR(AR76="",O76=""),"",MAX(0,IF(AY76="",Settings!$B$4,AY76)-AR76))</f>
        <v/>
      </c>
      <c r="BE76" s="73" t="str">
        <f aca="false">IF(OR(AY76="",AR76=""),"",IF(AND(AY76&lt;=AR76,N(AU76)&gt;=Settings!$B$6),"OTIF","Not OTIF"))</f>
        <v/>
      </c>
      <c r="BF76" s="60"/>
      <c r="BG76" s="62"/>
      <c r="BH76" s="78"/>
      <c r="BI76" s="76" t="str">
        <f aca="false">IF(A76="","",IF(K76="Rejected","Rejected",IF(K76&lt;&gt;"Approved","Awaiting Approval",IF(O76="","Approved - PO Pending",IF(AY76&lt;&gt;"",IF(N(AJ76)&gt;=0.999,"Closed","In-house Closed - Payment Due"),IF(AS76&lt;&gt;"","Receiving In-house","PO Issued - Awaiting Delivery"))))))</f>
        <v/>
      </c>
      <c r="BJ76" s="76" t="str">
        <f aca="false">IF(A76="","",IF(IF(AND(A76&lt;&gt;"",OR(B76="",C76="",E76="",F76="",H76="")),"PR info missing; ","")&amp;IF(AND(K76="Approved",OR(J76="",I76="")),"Approval ref/date missing; ","")&amp;IF(AND(O76&lt;&gt;"",K76&lt;&gt;"Approved"),"PO without approval; ","")&amp;IF(AND(O76&lt;&gt;"",OR(P76="",M76="",Q76="",S76="",T76="")),"PO details missing; ","")&amp;IF(AND(O76&lt;&gt;"",AR76=""),"Committed date missing; ","")&amp;IF(AND(ISNUMBER(J76),ISNUMBER(B76),N(J76)&lt;N(B76)),"Approval dated before PR; ","")&amp;IF(AND(ISNUMBER(P76),ISNUMBER(J76),N(P76)&lt;N(J76)),"PO dated before approval; ","")&amp;IF(AND(ISNUMBER(AY76),ISNUMBER(AS76),N(AY76)&lt;N(AS76)),"Close before in-house start; ","")&amp;IF(AND(AY76&lt;&gt;"",AS76=""),"In-house start date missing; ","")&amp;IF(AND(AY76&lt;&gt;"",AT76=""),"Qty received missing; ","")&amp;IF(AND(AY76&lt;&gt;"",BF76=""),"QC status missing; ","")&amp;IF(N(AT76)&gt;N(Q76)*1.05,"Received &gt; ordered +5%; ","")&amp;IF(AND(N(AI76)&gt;0,AE76=""),"Payment terms missing; ","")&amp;IF(N(AI76)&gt;N(AD76)+1,"Overpaid vs PO; ","")&amp;IF(AND(N(AK76)&gt;0,AY76&lt;&gt;"",AO76=""),"Payment due date missing; ","")="","OK",IF(AND(A76&lt;&gt;"",OR(B76="",C76="",E76="",F76="",H76="")),"PR info missing; ","")&amp;IF(AND(K76="Approved",OR(J76="",I76="")),"Approval ref/date missing; ","")&amp;IF(AND(O76&lt;&gt;"",K76&lt;&gt;"Approved"),"PO without approval; ","")&amp;IF(AND(O76&lt;&gt;"",OR(P76="",M76="",Q76="",S76="",T76="")),"PO details missing; ","")&amp;IF(AND(O76&lt;&gt;"",AR76=""),"Committed date missing; ","")&amp;IF(AND(ISNUMBER(J76),ISNUMBER(B76),N(J76)&lt;N(B76)),"Approval dated before PR; ","")&amp;IF(AND(ISNUMBER(P76),ISNUMBER(J76),N(P76)&lt;N(J76)),"PO dated before approval; ","")&amp;IF(AND(ISNUMBER(AY76),ISNUMBER(AS76),N(AY76)&lt;N(AS76)),"Close before in-house start; ","")&amp;IF(AND(AY76&lt;&gt;"",AS76=""),"In-house start date missing; ","")&amp;IF(AND(AY76&lt;&gt;"",AT76=""),"Qty received missing; ","")&amp;IF(AND(AY76&lt;&gt;"",BF76=""),"QC status missing; ","")&amp;IF(N(AT76)&gt;N(Q76)*1.05,"Received &gt; ordered +5%; ","")&amp;IF(AND(N(AI76)&gt;0,AE76=""),"Payment terms missing; ","")&amp;IF(N(AI76)&gt;N(AD76)+1,"Overpaid vs PO; ","")&amp;IF(AND(N(AK76)&gt;0,AY76&lt;&gt;"",AO76=""),"Payment due date missing; ","")))</f>
        <v/>
      </c>
      <c r="BK76" s="76" t="str">
        <f aca="false">IF(A76="","",IF(N(AP76)&gt;0,"Pay supplier: "&amp;N(AP76)&amp;" days overdue; ","")&amp;IF(AND(O76&lt;&gt;"",AY76="",N(BD76)&gt;0),"Expedite delivery: "&amp;N(BD76)&amp;" days late; ","")&amp;IF(AND(BI76="Awaiting Approval",ISNUMBER(B76),Settings!$B$4-N(B76)&gt;Settings!$B$19),"Get approval: PR waiting "&amp;(Settings!$B$4-N(B76))&amp;" days; ","")&amp;IF(AND(BI76="Approved - PO Pending",ISNUMBER(J76),Settings!$B$4-N(J76)&gt;Settings!$B$20),"Issue PO: approved "&amp;(Settings!$B$4-N(J76))&amp;" days ago; ","")&amp;IF(AND(OR(BI76="Awaiting Approval",BI76="Approved - PO Pending"),N(AB76)&gt;Settings!$B$7),"Negotiate price: "&amp;TEXT(AB76,"0%")&amp;" above budget; ","")&amp;IF(LEFT(AX76,12)="Short Closed","Short closed: claim balance / credit note"&amp;IF(N(AL76)&gt;0," BDT "&amp;TEXT(AL76,"#,##0"),"")&amp;"; ","")&amp;IF(BF76="Rejected","QC rejected: return / replace; ","")&amp;IF(AND(O76&lt;&gt;"",AY76="",N(AL76)&gt;0,N(BD76)&gt;0),"Advance at risk: BDT "&amp;TEXT(AL76,"#,##0")&amp;" paid, goods late; ","")&amp;IF(AND(BJ76&lt;&gt;"",BJ76&lt;&gt;"OK"),"Fix data entry (see Data Check); ",""))</f>
        <v/>
      </c>
      <c r="BL76" s="73" t="str">
        <f aca="false">IF(BK76="","",IF(OR(N(AP76)&gt;30,AND(AY76="",N(BD76)&gt;15),BF76="Rejected",AND(LEFT(AX76,12)="Short Closed",N(AL76)&gt;0),AND(O76&lt;&gt;"",AY76="",N(AL76)&gt;0,N(BD76)&gt;0)),"High",IF(OR(N(AP76)&gt;0,AND(AY76="",N(BD76)&gt;7),LEFT(AX76,12)="Short Closed",AND(BI76="Awaiting Approval",ISNUMBER(B76),Settings!$B$4-N(B76)&gt;2*Settings!$B$19),AND(BI76="Approved - PO Pending",ISNUMBER(J76),Settings!$B$4-N(J76)&gt;2*Settings!$B$20)),"Medium","Low")))</f>
        <v/>
      </c>
      <c r="BM76" s="77" t="str">
        <f aca="false">IF(BL76="","",IF(BL76="High",1,IF(BL76="Medium",2,3))*10000+ROW())</f>
        <v/>
      </c>
      <c r="BN76" s="62"/>
    </row>
    <row r="77" customFormat="false" ht="18" hidden="false" customHeight="true" outlineLevel="0" collapsed="false">
      <c r="A77" s="60"/>
      <c r="B77" s="61"/>
      <c r="C77" s="62"/>
      <c r="D77" s="62"/>
      <c r="E77" s="62"/>
      <c r="F77" s="62"/>
      <c r="G77" s="62"/>
      <c r="H77" s="60"/>
      <c r="I77" s="60"/>
      <c r="J77" s="61"/>
      <c r="K77" s="60"/>
      <c r="L77" s="60"/>
      <c r="M77" s="62"/>
      <c r="N77" s="60"/>
      <c r="O77" s="60"/>
      <c r="P77" s="61"/>
      <c r="Q77" s="63"/>
      <c r="R77" s="60"/>
      <c r="S77" s="64"/>
      <c r="T77" s="60"/>
      <c r="U77" s="65" t="str">
        <f aca="false">IF(AND(T77="",S77=""),"",IF(T77="",1,IFERROR(INDEX(Settings!$B$12:$B$16,MATCH(T77,Settings!$A$12:$A$16,0)),1)))</f>
        <v/>
      </c>
      <c r="V77" s="64"/>
      <c r="W77" s="66" t="str">
        <f aca="false">IF(OR(Q77="",S77=""),"",Q77*S77*U77)</f>
        <v/>
      </c>
      <c r="X77" s="65" t="str">
        <f aca="false">IF(OR(W77="",N(Q77)=0),"",W77/Q77)</f>
        <v/>
      </c>
      <c r="Y77" s="65" t="str">
        <f aca="false">IF(OR(X77="",P77="",E77=""),"",IF(_xlfn.MAXIFS($P$6:$P$205,$E$6:$E$205,E77,$P$6:$P$205,"&lt;"&amp;P77,$X$6:$X$205,"&gt;0")=0,"",IFERROR(AVERAGEIFS($X$6:$X$205,$E$6:$E$205,E77,$P$6:$P$205,_xlfn.MAXIFS($P$6:$P$205,$E$6:$E$205,E77,$P$6:$P$205,"&lt;"&amp;P77,$X$6:$X$205,"&gt;0"),$X$6:$X$205,"&gt;0"),"")))</f>
        <v/>
      </c>
      <c r="Z77" s="67" t="str">
        <f aca="false">IF(OR(Y77="",X77=""),"",X77/Y77-1)</f>
        <v/>
      </c>
      <c r="AA77" s="68" t="str">
        <f aca="false">IF(OR(W77="",V77=""),"",W77-Q77*V77)</f>
        <v/>
      </c>
      <c r="AB77" s="69" t="str">
        <f aca="false">IF(AA77="","",IF(N(V77)*N(Q77)=0,"",AA77/(Q77*V77)))</f>
        <v/>
      </c>
      <c r="AC77" s="70"/>
      <c r="AD77" s="66" t="str">
        <f aca="false">IF(W77="","",W77*(1+N(AC77)))</f>
        <v/>
      </c>
      <c r="AE77" s="62"/>
      <c r="AF77" s="71"/>
      <c r="AG77" s="71"/>
      <c r="AH77" s="71"/>
      <c r="AI77" s="66" t="str">
        <f aca="false">IF(A77="","",N(AF77)+N(AG77)+N(AH77))</f>
        <v/>
      </c>
      <c r="AJ77" s="72" t="str">
        <f aca="false">IF(AD77="","",IF(N(AD77)=0,"",AI77/AD77))</f>
        <v/>
      </c>
      <c r="AK77" s="66" t="str">
        <f aca="false">IF(AD77="","",IF(AD77-AI77&lt;1,0,ROUND(AD77-AI77,2)))</f>
        <v/>
      </c>
      <c r="AL77" s="66" t="str">
        <f aca="false">IF(OR(O77="",AD77=""),"",MAX(0,ROUND(N(AI77)-(AD77-N(AW77)),0)))</f>
        <v/>
      </c>
      <c r="AM77" s="73" t="str">
        <f aca="false">IF(A77="","",IF(O77="","No PO Yet",IF(AI77=0,"Not Paid",IF(N(AJ77)&gt;=0.999,"Fully Paid",IF(N(AG77)+N(AH77)&gt;0,"Partially Paid","Initial / Advance Paid")))))</f>
        <v/>
      </c>
      <c r="AN77" s="61"/>
      <c r="AO77" s="61"/>
      <c r="AP77" s="74" t="str">
        <f aca="false">IF(AK77="","",IF(OR(N(AK77)=0,AO77=""),"",MAX(0,Settings!$B$4-AO77)))</f>
        <v/>
      </c>
      <c r="AQ77" s="73" t="str">
        <f aca="false">IF(AK77="","",IF(N(AK77)&lt;=0,"",IF(AO77="","No Due Date",IF(Settings!$B$4&lt;=AO77,"Not Yet Due",IF(Settings!$B$4-AO77&lt;=30,"1-30 Days",IF(Settings!$B$4-AO77&lt;=60,"31-60 Days",IF(Settings!$B$4-AO77&lt;=90,"61-90 Days","90+ Days")))))))</f>
        <v/>
      </c>
      <c r="AR77" s="61"/>
      <c r="AS77" s="61"/>
      <c r="AT77" s="63"/>
      <c r="AU77" s="72" t="str">
        <f aca="false">IF(Q77="","",IF(N(Q77)=0,"",N(AT77)/Q77))</f>
        <v/>
      </c>
      <c r="AV77" s="75" t="str">
        <f aca="false">IF(OR(A77="",O77="",Q77=""),"",MAX(0,Q77-N(AT77)))</f>
        <v/>
      </c>
      <c r="AW77" s="66" t="str">
        <f aca="false">IF(OR(AV77="",W77=""),"",IF(N(Q77)=0,0,AV77/Q77*AD77))</f>
        <v/>
      </c>
      <c r="AX77" s="76" t="str">
        <f aca="false">IF(A77="","",IF(O77="","No PO Yet",IF(Q77="","Order Qty Missing",IF(N(AT77)&gt;=Q77,IF(N(AT77)&gt;Q77,"All In-house (+"&amp;TEXT(N(AT77)-Q77,"#,##0")&amp;" "&amp;R77&amp;" excess)","All In-house"),IF(AY77&lt;&gt;"","Short Closed - "&amp;TEXT(AV77,"#,##0")&amp;" "&amp;R77&amp;" not received",IF(N(AT77)=0,"Not Started - "&amp;TEXT(AV77,"#,##0")&amp;" "&amp;R77&amp;" pending","Pending "&amp;TEXT(AV77,"#,##0")&amp;" "&amp;R77&amp;" ("&amp;TEXT(AU77,"0%")&amp;" received)"))))))</f>
        <v/>
      </c>
      <c r="AY77" s="61"/>
      <c r="AZ77" s="77" t="str">
        <f aca="false">IF(OR(B77="",J77=""),"",J77-B77)</f>
        <v/>
      </c>
      <c r="BA77" s="77" t="str">
        <f aca="false">IF(OR(J77="",P77=""),"",P77-J77)</f>
        <v/>
      </c>
      <c r="BB77" s="77" t="str">
        <f aca="false">IF(OR(P77="",AY77=""),"",AY77-P77)</f>
        <v/>
      </c>
      <c r="BC77" s="77" t="str">
        <f aca="false">IF(OR(B77="",AY77=""),"",AY77-B77)</f>
        <v/>
      </c>
      <c r="BD77" s="74" t="str">
        <f aca="false">IF(OR(AR77="",O77=""),"",MAX(0,IF(AY77="",Settings!$B$4,AY77)-AR77))</f>
        <v/>
      </c>
      <c r="BE77" s="73" t="str">
        <f aca="false">IF(OR(AY77="",AR77=""),"",IF(AND(AY77&lt;=AR77,N(AU77)&gt;=Settings!$B$6),"OTIF","Not OTIF"))</f>
        <v/>
      </c>
      <c r="BF77" s="60"/>
      <c r="BG77" s="62"/>
      <c r="BH77" s="78"/>
      <c r="BI77" s="76" t="str">
        <f aca="false">IF(A77="","",IF(K77="Rejected","Rejected",IF(K77&lt;&gt;"Approved","Awaiting Approval",IF(O77="","Approved - PO Pending",IF(AY77&lt;&gt;"",IF(N(AJ77)&gt;=0.999,"Closed","In-house Closed - Payment Due"),IF(AS77&lt;&gt;"","Receiving In-house","PO Issued - Awaiting Delivery"))))))</f>
        <v/>
      </c>
      <c r="BJ77" s="76" t="str">
        <f aca="false">IF(A77="","",IF(IF(AND(A77&lt;&gt;"",OR(B77="",C77="",E77="",F77="",H77="")),"PR info missing; ","")&amp;IF(AND(K77="Approved",OR(J77="",I77="")),"Approval ref/date missing; ","")&amp;IF(AND(O77&lt;&gt;"",K77&lt;&gt;"Approved"),"PO without approval; ","")&amp;IF(AND(O77&lt;&gt;"",OR(P77="",M77="",Q77="",S77="",T77="")),"PO details missing; ","")&amp;IF(AND(O77&lt;&gt;"",AR77=""),"Committed date missing; ","")&amp;IF(AND(ISNUMBER(J77),ISNUMBER(B77),N(J77)&lt;N(B77)),"Approval dated before PR; ","")&amp;IF(AND(ISNUMBER(P77),ISNUMBER(J77),N(P77)&lt;N(J77)),"PO dated before approval; ","")&amp;IF(AND(ISNUMBER(AY77),ISNUMBER(AS77),N(AY77)&lt;N(AS77)),"Close before in-house start; ","")&amp;IF(AND(AY77&lt;&gt;"",AS77=""),"In-house start date missing; ","")&amp;IF(AND(AY77&lt;&gt;"",AT77=""),"Qty received missing; ","")&amp;IF(AND(AY77&lt;&gt;"",BF77=""),"QC status missing; ","")&amp;IF(N(AT77)&gt;N(Q77)*1.05,"Received &gt; ordered +5%; ","")&amp;IF(AND(N(AI77)&gt;0,AE77=""),"Payment terms missing; ","")&amp;IF(N(AI77)&gt;N(AD77)+1,"Overpaid vs PO; ","")&amp;IF(AND(N(AK77)&gt;0,AY77&lt;&gt;"",AO77=""),"Payment due date missing; ","")="","OK",IF(AND(A77&lt;&gt;"",OR(B77="",C77="",E77="",F77="",H77="")),"PR info missing; ","")&amp;IF(AND(K77="Approved",OR(J77="",I77="")),"Approval ref/date missing; ","")&amp;IF(AND(O77&lt;&gt;"",K77&lt;&gt;"Approved"),"PO without approval; ","")&amp;IF(AND(O77&lt;&gt;"",OR(P77="",M77="",Q77="",S77="",T77="")),"PO details missing; ","")&amp;IF(AND(O77&lt;&gt;"",AR77=""),"Committed date missing; ","")&amp;IF(AND(ISNUMBER(J77),ISNUMBER(B77),N(J77)&lt;N(B77)),"Approval dated before PR; ","")&amp;IF(AND(ISNUMBER(P77),ISNUMBER(J77),N(P77)&lt;N(J77)),"PO dated before approval; ","")&amp;IF(AND(ISNUMBER(AY77),ISNUMBER(AS77),N(AY77)&lt;N(AS77)),"Close before in-house start; ","")&amp;IF(AND(AY77&lt;&gt;"",AS77=""),"In-house start date missing; ","")&amp;IF(AND(AY77&lt;&gt;"",AT77=""),"Qty received missing; ","")&amp;IF(AND(AY77&lt;&gt;"",BF77=""),"QC status missing; ","")&amp;IF(N(AT77)&gt;N(Q77)*1.05,"Received &gt; ordered +5%; ","")&amp;IF(AND(N(AI77)&gt;0,AE77=""),"Payment terms missing; ","")&amp;IF(N(AI77)&gt;N(AD77)+1,"Overpaid vs PO; ","")&amp;IF(AND(N(AK77)&gt;0,AY77&lt;&gt;"",AO77=""),"Payment due date missing; ","")))</f>
        <v/>
      </c>
      <c r="BK77" s="76" t="str">
        <f aca="false">IF(A77="","",IF(N(AP77)&gt;0,"Pay supplier: "&amp;N(AP77)&amp;" days overdue; ","")&amp;IF(AND(O77&lt;&gt;"",AY77="",N(BD77)&gt;0),"Expedite delivery: "&amp;N(BD77)&amp;" days late; ","")&amp;IF(AND(BI77="Awaiting Approval",ISNUMBER(B77),Settings!$B$4-N(B77)&gt;Settings!$B$19),"Get approval: PR waiting "&amp;(Settings!$B$4-N(B77))&amp;" days; ","")&amp;IF(AND(BI77="Approved - PO Pending",ISNUMBER(J77),Settings!$B$4-N(J77)&gt;Settings!$B$20),"Issue PO: approved "&amp;(Settings!$B$4-N(J77))&amp;" days ago; ","")&amp;IF(AND(OR(BI77="Awaiting Approval",BI77="Approved - PO Pending"),N(AB77)&gt;Settings!$B$7),"Negotiate price: "&amp;TEXT(AB77,"0%")&amp;" above budget; ","")&amp;IF(LEFT(AX77,12)="Short Closed","Short closed: claim balance / credit note"&amp;IF(N(AL77)&gt;0," BDT "&amp;TEXT(AL77,"#,##0"),"")&amp;"; ","")&amp;IF(BF77="Rejected","QC rejected: return / replace; ","")&amp;IF(AND(O77&lt;&gt;"",AY77="",N(AL77)&gt;0,N(BD77)&gt;0),"Advance at risk: BDT "&amp;TEXT(AL77,"#,##0")&amp;" paid, goods late; ","")&amp;IF(AND(BJ77&lt;&gt;"",BJ77&lt;&gt;"OK"),"Fix data entry (see Data Check); ",""))</f>
        <v/>
      </c>
      <c r="BL77" s="73" t="str">
        <f aca="false">IF(BK77="","",IF(OR(N(AP77)&gt;30,AND(AY77="",N(BD77)&gt;15),BF77="Rejected",AND(LEFT(AX77,12)="Short Closed",N(AL77)&gt;0),AND(O77&lt;&gt;"",AY77="",N(AL77)&gt;0,N(BD77)&gt;0)),"High",IF(OR(N(AP77)&gt;0,AND(AY77="",N(BD77)&gt;7),LEFT(AX77,12)="Short Closed",AND(BI77="Awaiting Approval",ISNUMBER(B77),Settings!$B$4-N(B77)&gt;2*Settings!$B$19),AND(BI77="Approved - PO Pending",ISNUMBER(J77),Settings!$B$4-N(J77)&gt;2*Settings!$B$20)),"Medium","Low")))</f>
        <v/>
      </c>
      <c r="BM77" s="77" t="str">
        <f aca="false">IF(BL77="","",IF(BL77="High",1,IF(BL77="Medium",2,3))*10000+ROW())</f>
        <v/>
      </c>
      <c r="BN77" s="62"/>
    </row>
    <row r="78" customFormat="false" ht="18" hidden="false" customHeight="true" outlineLevel="0" collapsed="false">
      <c r="A78" s="60"/>
      <c r="B78" s="61"/>
      <c r="C78" s="62"/>
      <c r="D78" s="62"/>
      <c r="E78" s="62"/>
      <c r="F78" s="62"/>
      <c r="G78" s="62"/>
      <c r="H78" s="60"/>
      <c r="I78" s="60"/>
      <c r="J78" s="61"/>
      <c r="K78" s="60"/>
      <c r="L78" s="60"/>
      <c r="M78" s="62"/>
      <c r="N78" s="60"/>
      <c r="O78" s="60"/>
      <c r="P78" s="61"/>
      <c r="Q78" s="63"/>
      <c r="R78" s="60"/>
      <c r="S78" s="64"/>
      <c r="T78" s="60"/>
      <c r="U78" s="65" t="str">
        <f aca="false">IF(AND(T78="",S78=""),"",IF(T78="",1,IFERROR(INDEX(Settings!$B$12:$B$16,MATCH(T78,Settings!$A$12:$A$16,0)),1)))</f>
        <v/>
      </c>
      <c r="V78" s="64"/>
      <c r="W78" s="66" t="str">
        <f aca="false">IF(OR(Q78="",S78=""),"",Q78*S78*U78)</f>
        <v/>
      </c>
      <c r="X78" s="65" t="str">
        <f aca="false">IF(OR(W78="",N(Q78)=0),"",W78/Q78)</f>
        <v/>
      </c>
      <c r="Y78" s="65" t="str">
        <f aca="false">IF(OR(X78="",P78="",E78=""),"",IF(_xlfn.MAXIFS($P$6:$P$205,$E$6:$E$205,E78,$P$6:$P$205,"&lt;"&amp;P78,$X$6:$X$205,"&gt;0")=0,"",IFERROR(AVERAGEIFS($X$6:$X$205,$E$6:$E$205,E78,$P$6:$P$205,_xlfn.MAXIFS($P$6:$P$205,$E$6:$E$205,E78,$P$6:$P$205,"&lt;"&amp;P78,$X$6:$X$205,"&gt;0"),$X$6:$X$205,"&gt;0"),"")))</f>
        <v/>
      </c>
      <c r="Z78" s="67" t="str">
        <f aca="false">IF(OR(Y78="",X78=""),"",X78/Y78-1)</f>
        <v/>
      </c>
      <c r="AA78" s="68" t="str">
        <f aca="false">IF(OR(W78="",V78=""),"",W78-Q78*V78)</f>
        <v/>
      </c>
      <c r="AB78" s="69" t="str">
        <f aca="false">IF(AA78="","",IF(N(V78)*N(Q78)=0,"",AA78/(Q78*V78)))</f>
        <v/>
      </c>
      <c r="AC78" s="70"/>
      <c r="AD78" s="66" t="str">
        <f aca="false">IF(W78="","",W78*(1+N(AC78)))</f>
        <v/>
      </c>
      <c r="AE78" s="62"/>
      <c r="AF78" s="71"/>
      <c r="AG78" s="71"/>
      <c r="AH78" s="71"/>
      <c r="AI78" s="66" t="str">
        <f aca="false">IF(A78="","",N(AF78)+N(AG78)+N(AH78))</f>
        <v/>
      </c>
      <c r="AJ78" s="72" t="str">
        <f aca="false">IF(AD78="","",IF(N(AD78)=0,"",AI78/AD78))</f>
        <v/>
      </c>
      <c r="AK78" s="66" t="str">
        <f aca="false">IF(AD78="","",IF(AD78-AI78&lt;1,0,ROUND(AD78-AI78,2)))</f>
        <v/>
      </c>
      <c r="AL78" s="66" t="str">
        <f aca="false">IF(OR(O78="",AD78=""),"",MAX(0,ROUND(N(AI78)-(AD78-N(AW78)),0)))</f>
        <v/>
      </c>
      <c r="AM78" s="73" t="str">
        <f aca="false">IF(A78="","",IF(O78="","No PO Yet",IF(AI78=0,"Not Paid",IF(N(AJ78)&gt;=0.999,"Fully Paid",IF(N(AG78)+N(AH78)&gt;0,"Partially Paid","Initial / Advance Paid")))))</f>
        <v/>
      </c>
      <c r="AN78" s="61"/>
      <c r="AO78" s="61"/>
      <c r="AP78" s="74" t="str">
        <f aca="false">IF(AK78="","",IF(OR(N(AK78)=0,AO78=""),"",MAX(0,Settings!$B$4-AO78)))</f>
        <v/>
      </c>
      <c r="AQ78" s="73" t="str">
        <f aca="false">IF(AK78="","",IF(N(AK78)&lt;=0,"",IF(AO78="","No Due Date",IF(Settings!$B$4&lt;=AO78,"Not Yet Due",IF(Settings!$B$4-AO78&lt;=30,"1-30 Days",IF(Settings!$B$4-AO78&lt;=60,"31-60 Days",IF(Settings!$B$4-AO78&lt;=90,"61-90 Days","90+ Days")))))))</f>
        <v/>
      </c>
      <c r="AR78" s="61"/>
      <c r="AS78" s="61"/>
      <c r="AT78" s="63"/>
      <c r="AU78" s="72" t="str">
        <f aca="false">IF(Q78="","",IF(N(Q78)=0,"",N(AT78)/Q78))</f>
        <v/>
      </c>
      <c r="AV78" s="75" t="str">
        <f aca="false">IF(OR(A78="",O78="",Q78=""),"",MAX(0,Q78-N(AT78)))</f>
        <v/>
      </c>
      <c r="AW78" s="66" t="str">
        <f aca="false">IF(OR(AV78="",W78=""),"",IF(N(Q78)=0,0,AV78/Q78*AD78))</f>
        <v/>
      </c>
      <c r="AX78" s="76" t="str">
        <f aca="false">IF(A78="","",IF(O78="","No PO Yet",IF(Q78="","Order Qty Missing",IF(N(AT78)&gt;=Q78,IF(N(AT78)&gt;Q78,"All In-house (+"&amp;TEXT(N(AT78)-Q78,"#,##0")&amp;" "&amp;R78&amp;" excess)","All In-house"),IF(AY78&lt;&gt;"","Short Closed - "&amp;TEXT(AV78,"#,##0")&amp;" "&amp;R78&amp;" not received",IF(N(AT78)=0,"Not Started - "&amp;TEXT(AV78,"#,##0")&amp;" "&amp;R78&amp;" pending","Pending "&amp;TEXT(AV78,"#,##0")&amp;" "&amp;R78&amp;" ("&amp;TEXT(AU78,"0%")&amp;" received)"))))))</f>
        <v/>
      </c>
      <c r="AY78" s="61"/>
      <c r="AZ78" s="77" t="str">
        <f aca="false">IF(OR(B78="",J78=""),"",J78-B78)</f>
        <v/>
      </c>
      <c r="BA78" s="77" t="str">
        <f aca="false">IF(OR(J78="",P78=""),"",P78-J78)</f>
        <v/>
      </c>
      <c r="BB78" s="77" t="str">
        <f aca="false">IF(OR(P78="",AY78=""),"",AY78-P78)</f>
        <v/>
      </c>
      <c r="BC78" s="77" t="str">
        <f aca="false">IF(OR(B78="",AY78=""),"",AY78-B78)</f>
        <v/>
      </c>
      <c r="BD78" s="74" t="str">
        <f aca="false">IF(OR(AR78="",O78=""),"",MAX(0,IF(AY78="",Settings!$B$4,AY78)-AR78))</f>
        <v/>
      </c>
      <c r="BE78" s="73" t="str">
        <f aca="false">IF(OR(AY78="",AR78=""),"",IF(AND(AY78&lt;=AR78,N(AU78)&gt;=Settings!$B$6),"OTIF","Not OTIF"))</f>
        <v/>
      </c>
      <c r="BF78" s="60"/>
      <c r="BG78" s="62"/>
      <c r="BH78" s="78"/>
      <c r="BI78" s="76" t="str">
        <f aca="false">IF(A78="","",IF(K78="Rejected","Rejected",IF(K78&lt;&gt;"Approved","Awaiting Approval",IF(O78="","Approved - PO Pending",IF(AY78&lt;&gt;"",IF(N(AJ78)&gt;=0.999,"Closed","In-house Closed - Payment Due"),IF(AS78&lt;&gt;"","Receiving In-house","PO Issued - Awaiting Delivery"))))))</f>
        <v/>
      </c>
      <c r="BJ78" s="76" t="str">
        <f aca="false">IF(A78="","",IF(IF(AND(A78&lt;&gt;"",OR(B78="",C78="",E78="",F78="",H78="")),"PR info missing; ","")&amp;IF(AND(K78="Approved",OR(J78="",I78="")),"Approval ref/date missing; ","")&amp;IF(AND(O78&lt;&gt;"",K78&lt;&gt;"Approved"),"PO without approval; ","")&amp;IF(AND(O78&lt;&gt;"",OR(P78="",M78="",Q78="",S78="",T78="")),"PO details missing; ","")&amp;IF(AND(O78&lt;&gt;"",AR78=""),"Committed date missing; ","")&amp;IF(AND(ISNUMBER(J78),ISNUMBER(B78),N(J78)&lt;N(B78)),"Approval dated before PR; ","")&amp;IF(AND(ISNUMBER(P78),ISNUMBER(J78),N(P78)&lt;N(J78)),"PO dated before approval; ","")&amp;IF(AND(ISNUMBER(AY78),ISNUMBER(AS78),N(AY78)&lt;N(AS78)),"Close before in-house start; ","")&amp;IF(AND(AY78&lt;&gt;"",AS78=""),"In-house start date missing; ","")&amp;IF(AND(AY78&lt;&gt;"",AT78=""),"Qty received missing; ","")&amp;IF(AND(AY78&lt;&gt;"",BF78=""),"QC status missing; ","")&amp;IF(N(AT78)&gt;N(Q78)*1.05,"Received &gt; ordered +5%; ","")&amp;IF(AND(N(AI78)&gt;0,AE78=""),"Payment terms missing; ","")&amp;IF(N(AI78)&gt;N(AD78)+1,"Overpaid vs PO; ","")&amp;IF(AND(N(AK78)&gt;0,AY78&lt;&gt;"",AO78=""),"Payment due date missing; ","")="","OK",IF(AND(A78&lt;&gt;"",OR(B78="",C78="",E78="",F78="",H78="")),"PR info missing; ","")&amp;IF(AND(K78="Approved",OR(J78="",I78="")),"Approval ref/date missing; ","")&amp;IF(AND(O78&lt;&gt;"",K78&lt;&gt;"Approved"),"PO without approval; ","")&amp;IF(AND(O78&lt;&gt;"",OR(P78="",M78="",Q78="",S78="",T78="")),"PO details missing; ","")&amp;IF(AND(O78&lt;&gt;"",AR78=""),"Committed date missing; ","")&amp;IF(AND(ISNUMBER(J78),ISNUMBER(B78),N(J78)&lt;N(B78)),"Approval dated before PR; ","")&amp;IF(AND(ISNUMBER(P78),ISNUMBER(J78),N(P78)&lt;N(J78)),"PO dated before approval; ","")&amp;IF(AND(ISNUMBER(AY78),ISNUMBER(AS78),N(AY78)&lt;N(AS78)),"Close before in-house start; ","")&amp;IF(AND(AY78&lt;&gt;"",AS78=""),"In-house start date missing; ","")&amp;IF(AND(AY78&lt;&gt;"",AT78=""),"Qty received missing; ","")&amp;IF(AND(AY78&lt;&gt;"",BF78=""),"QC status missing; ","")&amp;IF(N(AT78)&gt;N(Q78)*1.05,"Received &gt; ordered +5%; ","")&amp;IF(AND(N(AI78)&gt;0,AE78=""),"Payment terms missing; ","")&amp;IF(N(AI78)&gt;N(AD78)+1,"Overpaid vs PO; ","")&amp;IF(AND(N(AK78)&gt;0,AY78&lt;&gt;"",AO78=""),"Payment due date missing; ","")))</f>
        <v/>
      </c>
      <c r="BK78" s="76" t="str">
        <f aca="false">IF(A78="","",IF(N(AP78)&gt;0,"Pay supplier: "&amp;N(AP78)&amp;" days overdue; ","")&amp;IF(AND(O78&lt;&gt;"",AY78="",N(BD78)&gt;0),"Expedite delivery: "&amp;N(BD78)&amp;" days late; ","")&amp;IF(AND(BI78="Awaiting Approval",ISNUMBER(B78),Settings!$B$4-N(B78)&gt;Settings!$B$19),"Get approval: PR waiting "&amp;(Settings!$B$4-N(B78))&amp;" days; ","")&amp;IF(AND(BI78="Approved - PO Pending",ISNUMBER(J78),Settings!$B$4-N(J78)&gt;Settings!$B$20),"Issue PO: approved "&amp;(Settings!$B$4-N(J78))&amp;" days ago; ","")&amp;IF(AND(OR(BI78="Awaiting Approval",BI78="Approved - PO Pending"),N(AB78)&gt;Settings!$B$7),"Negotiate price: "&amp;TEXT(AB78,"0%")&amp;" above budget; ","")&amp;IF(LEFT(AX78,12)="Short Closed","Short closed: claim balance / credit note"&amp;IF(N(AL78)&gt;0," BDT "&amp;TEXT(AL78,"#,##0"),"")&amp;"; ","")&amp;IF(BF78="Rejected","QC rejected: return / replace; ","")&amp;IF(AND(O78&lt;&gt;"",AY78="",N(AL78)&gt;0,N(BD78)&gt;0),"Advance at risk: BDT "&amp;TEXT(AL78,"#,##0")&amp;" paid, goods late; ","")&amp;IF(AND(BJ78&lt;&gt;"",BJ78&lt;&gt;"OK"),"Fix data entry (see Data Check); ",""))</f>
        <v/>
      </c>
      <c r="BL78" s="73" t="str">
        <f aca="false">IF(BK78="","",IF(OR(N(AP78)&gt;30,AND(AY78="",N(BD78)&gt;15),BF78="Rejected",AND(LEFT(AX78,12)="Short Closed",N(AL78)&gt;0),AND(O78&lt;&gt;"",AY78="",N(AL78)&gt;0,N(BD78)&gt;0)),"High",IF(OR(N(AP78)&gt;0,AND(AY78="",N(BD78)&gt;7),LEFT(AX78,12)="Short Closed",AND(BI78="Awaiting Approval",ISNUMBER(B78),Settings!$B$4-N(B78)&gt;2*Settings!$B$19),AND(BI78="Approved - PO Pending",ISNUMBER(J78),Settings!$B$4-N(J78)&gt;2*Settings!$B$20)),"Medium","Low")))</f>
        <v/>
      </c>
      <c r="BM78" s="77" t="str">
        <f aca="false">IF(BL78="","",IF(BL78="High",1,IF(BL78="Medium",2,3))*10000+ROW())</f>
        <v/>
      </c>
      <c r="BN78" s="62"/>
    </row>
    <row r="79" customFormat="false" ht="18" hidden="false" customHeight="true" outlineLevel="0" collapsed="false">
      <c r="A79" s="60"/>
      <c r="B79" s="61"/>
      <c r="C79" s="62"/>
      <c r="D79" s="62"/>
      <c r="E79" s="62"/>
      <c r="F79" s="62"/>
      <c r="G79" s="62"/>
      <c r="H79" s="60"/>
      <c r="I79" s="60"/>
      <c r="J79" s="61"/>
      <c r="K79" s="60"/>
      <c r="L79" s="60"/>
      <c r="M79" s="62"/>
      <c r="N79" s="60"/>
      <c r="O79" s="60"/>
      <c r="P79" s="61"/>
      <c r="Q79" s="63"/>
      <c r="R79" s="60"/>
      <c r="S79" s="64"/>
      <c r="T79" s="60"/>
      <c r="U79" s="65" t="str">
        <f aca="false">IF(AND(T79="",S79=""),"",IF(T79="",1,IFERROR(INDEX(Settings!$B$12:$B$16,MATCH(T79,Settings!$A$12:$A$16,0)),1)))</f>
        <v/>
      </c>
      <c r="V79" s="64"/>
      <c r="W79" s="66" t="str">
        <f aca="false">IF(OR(Q79="",S79=""),"",Q79*S79*U79)</f>
        <v/>
      </c>
      <c r="X79" s="65" t="str">
        <f aca="false">IF(OR(W79="",N(Q79)=0),"",W79/Q79)</f>
        <v/>
      </c>
      <c r="Y79" s="65" t="str">
        <f aca="false">IF(OR(X79="",P79="",E79=""),"",IF(_xlfn.MAXIFS($P$6:$P$205,$E$6:$E$205,E79,$P$6:$P$205,"&lt;"&amp;P79,$X$6:$X$205,"&gt;0")=0,"",IFERROR(AVERAGEIFS($X$6:$X$205,$E$6:$E$205,E79,$P$6:$P$205,_xlfn.MAXIFS($P$6:$P$205,$E$6:$E$205,E79,$P$6:$P$205,"&lt;"&amp;P79,$X$6:$X$205,"&gt;0"),$X$6:$X$205,"&gt;0"),"")))</f>
        <v/>
      </c>
      <c r="Z79" s="67" t="str">
        <f aca="false">IF(OR(Y79="",X79=""),"",X79/Y79-1)</f>
        <v/>
      </c>
      <c r="AA79" s="68" t="str">
        <f aca="false">IF(OR(W79="",V79=""),"",W79-Q79*V79)</f>
        <v/>
      </c>
      <c r="AB79" s="69" t="str">
        <f aca="false">IF(AA79="","",IF(N(V79)*N(Q79)=0,"",AA79/(Q79*V79)))</f>
        <v/>
      </c>
      <c r="AC79" s="70"/>
      <c r="AD79" s="66" t="str">
        <f aca="false">IF(W79="","",W79*(1+N(AC79)))</f>
        <v/>
      </c>
      <c r="AE79" s="62"/>
      <c r="AF79" s="71"/>
      <c r="AG79" s="71"/>
      <c r="AH79" s="71"/>
      <c r="AI79" s="66" t="str">
        <f aca="false">IF(A79="","",N(AF79)+N(AG79)+N(AH79))</f>
        <v/>
      </c>
      <c r="AJ79" s="72" t="str">
        <f aca="false">IF(AD79="","",IF(N(AD79)=0,"",AI79/AD79))</f>
        <v/>
      </c>
      <c r="AK79" s="66" t="str">
        <f aca="false">IF(AD79="","",IF(AD79-AI79&lt;1,0,ROUND(AD79-AI79,2)))</f>
        <v/>
      </c>
      <c r="AL79" s="66" t="str">
        <f aca="false">IF(OR(O79="",AD79=""),"",MAX(0,ROUND(N(AI79)-(AD79-N(AW79)),0)))</f>
        <v/>
      </c>
      <c r="AM79" s="73" t="str">
        <f aca="false">IF(A79="","",IF(O79="","No PO Yet",IF(AI79=0,"Not Paid",IF(N(AJ79)&gt;=0.999,"Fully Paid",IF(N(AG79)+N(AH79)&gt;0,"Partially Paid","Initial / Advance Paid")))))</f>
        <v/>
      </c>
      <c r="AN79" s="61"/>
      <c r="AO79" s="61"/>
      <c r="AP79" s="74" t="str">
        <f aca="false">IF(AK79="","",IF(OR(N(AK79)=0,AO79=""),"",MAX(0,Settings!$B$4-AO79)))</f>
        <v/>
      </c>
      <c r="AQ79" s="73" t="str">
        <f aca="false">IF(AK79="","",IF(N(AK79)&lt;=0,"",IF(AO79="","No Due Date",IF(Settings!$B$4&lt;=AO79,"Not Yet Due",IF(Settings!$B$4-AO79&lt;=30,"1-30 Days",IF(Settings!$B$4-AO79&lt;=60,"31-60 Days",IF(Settings!$B$4-AO79&lt;=90,"61-90 Days","90+ Days")))))))</f>
        <v/>
      </c>
      <c r="AR79" s="61"/>
      <c r="AS79" s="61"/>
      <c r="AT79" s="63"/>
      <c r="AU79" s="72" t="str">
        <f aca="false">IF(Q79="","",IF(N(Q79)=0,"",N(AT79)/Q79))</f>
        <v/>
      </c>
      <c r="AV79" s="75" t="str">
        <f aca="false">IF(OR(A79="",O79="",Q79=""),"",MAX(0,Q79-N(AT79)))</f>
        <v/>
      </c>
      <c r="AW79" s="66" t="str">
        <f aca="false">IF(OR(AV79="",W79=""),"",IF(N(Q79)=0,0,AV79/Q79*AD79))</f>
        <v/>
      </c>
      <c r="AX79" s="76" t="str">
        <f aca="false">IF(A79="","",IF(O79="","No PO Yet",IF(Q79="","Order Qty Missing",IF(N(AT79)&gt;=Q79,IF(N(AT79)&gt;Q79,"All In-house (+"&amp;TEXT(N(AT79)-Q79,"#,##0")&amp;" "&amp;R79&amp;" excess)","All In-house"),IF(AY79&lt;&gt;"","Short Closed - "&amp;TEXT(AV79,"#,##0")&amp;" "&amp;R79&amp;" not received",IF(N(AT79)=0,"Not Started - "&amp;TEXT(AV79,"#,##0")&amp;" "&amp;R79&amp;" pending","Pending "&amp;TEXT(AV79,"#,##0")&amp;" "&amp;R79&amp;" ("&amp;TEXT(AU79,"0%")&amp;" received)"))))))</f>
        <v/>
      </c>
      <c r="AY79" s="61"/>
      <c r="AZ79" s="77" t="str">
        <f aca="false">IF(OR(B79="",J79=""),"",J79-B79)</f>
        <v/>
      </c>
      <c r="BA79" s="77" t="str">
        <f aca="false">IF(OR(J79="",P79=""),"",P79-J79)</f>
        <v/>
      </c>
      <c r="BB79" s="77" t="str">
        <f aca="false">IF(OR(P79="",AY79=""),"",AY79-P79)</f>
        <v/>
      </c>
      <c r="BC79" s="77" t="str">
        <f aca="false">IF(OR(B79="",AY79=""),"",AY79-B79)</f>
        <v/>
      </c>
      <c r="BD79" s="74" t="str">
        <f aca="false">IF(OR(AR79="",O79=""),"",MAX(0,IF(AY79="",Settings!$B$4,AY79)-AR79))</f>
        <v/>
      </c>
      <c r="BE79" s="73" t="str">
        <f aca="false">IF(OR(AY79="",AR79=""),"",IF(AND(AY79&lt;=AR79,N(AU79)&gt;=Settings!$B$6),"OTIF","Not OTIF"))</f>
        <v/>
      </c>
      <c r="BF79" s="60"/>
      <c r="BG79" s="62"/>
      <c r="BH79" s="78"/>
      <c r="BI79" s="76" t="str">
        <f aca="false">IF(A79="","",IF(K79="Rejected","Rejected",IF(K79&lt;&gt;"Approved","Awaiting Approval",IF(O79="","Approved - PO Pending",IF(AY79&lt;&gt;"",IF(N(AJ79)&gt;=0.999,"Closed","In-house Closed - Payment Due"),IF(AS79&lt;&gt;"","Receiving In-house","PO Issued - Awaiting Delivery"))))))</f>
        <v/>
      </c>
      <c r="BJ79" s="76" t="str">
        <f aca="false">IF(A79="","",IF(IF(AND(A79&lt;&gt;"",OR(B79="",C79="",E79="",F79="",H79="")),"PR info missing; ","")&amp;IF(AND(K79="Approved",OR(J79="",I79="")),"Approval ref/date missing; ","")&amp;IF(AND(O79&lt;&gt;"",K79&lt;&gt;"Approved"),"PO without approval; ","")&amp;IF(AND(O79&lt;&gt;"",OR(P79="",M79="",Q79="",S79="",T79="")),"PO details missing; ","")&amp;IF(AND(O79&lt;&gt;"",AR79=""),"Committed date missing; ","")&amp;IF(AND(ISNUMBER(J79),ISNUMBER(B79),N(J79)&lt;N(B79)),"Approval dated before PR; ","")&amp;IF(AND(ISNUMBER(P79),ISNUMBER(J79),N(P79)&lt;N(J79)),"PO dated before approval; ","")&amp;IF(AND(ISNUMBER(AY79),ISNUMBER(AS79),N(AY79)&lt;N(AS79)),"Close before in-house start; ","")&amp;IF(AND(AY79&lt;&gt;"",AS79=""),"In-house start date missing; ","")&amp;IF(AND(AY79&lt;&gt;"",AT79=""),"Qty received missing; ","")&amp;IF(AND(AY79&lt;&gt;"",BF79=""),"QC status missing; ","")&amp;IF(N(AT79)&gt;N(Q79)*1.05,"Received &gt; ordered +5%; ","")&amp;IF(AND(N(AI79)&gt;0,AE79=""),"Payment terms missing; ","")&amp;IF(N(AI79)&gt;N(AD79)+1,"Overpaid vs PO; ","")&amp;IF(AND(N(AK79)&gt;0,AY79&lt;&gt;"",AO79=""),"Payment due date missing; ","")="","OK",IF(AND(A79&lt;&gt;"",OR(B79="",C79="",E79="",F79="",H79="")),"PR info missing; ","")&amp;IF(AND(K79="Approved",OR(J79="",I79="")),"Approval ref/date missing; ","")&amp;IF(AND(O79&lt;&gt;"",K79&lt;&gt;"Approved"),"PO without approval; ","")&amp;IF(AND(O79&lt;&gt;"",OR(P79="",M79="",Q79="",S79="",T79="")),"PO details missing; ","")&amp;IF(AND(O79&lt;&gt;"",AR79=""),"Committed date missing; ","")&amp;IF(AND(ISNUMBER(J79),ISNUMBER(B79),N(J79)&lt;N(B79)),"Approval dated before PR; ","")&amp;IF(AND(ISNUMBER(P79),ISNUMBER(J79),N(P79)&lt;N(J79)),"PO dated before approval; ","")&amp;IF(AND(ISNUMBER(AY79),ISNUMBER(AS79),N(AY79)&lt;N(AS79)),"Close before in-house start; ","")&amp;IF(AND(AY79&lt;&gt;"",AS79=""),"In-house start date missing; ","")&amp;IF(AND(AY79&lt;&gt;"",AT79=""),"Qty received missing; ","")&amp;IF(AND(AY79&lt;&gt;"",BF79=""),"QC status missing; ","")&amp;IF(N(AT79)&gt;N(Q79)*1.05,"Received &gt; ordered +5%; ","")&amp;IF(AND(N(AI79)&gt;0,AE79=""),"Payment terms missing; ","")&amp;IF(N(AI79)&gt;N(AD79)+1,"Overpaid vs PO; ","")&amp;IF(AND(N(AK79)&gt;0,AY79&lt;&gt;"",AO79=""),"Payment due date missing; ","")))</f>
        <v/>
      </c>
      <c r="BK79" s="76" t="str">
        <f aca="false">IF(A79="","",IF(N(AP79)&gt;0,"Pay supplier: "&amp;N(AP79)&amp;" days overdue; ","")&amp;IF(AND(O79&lt;&gt;"",AY79="",N(BD79)&gt;0),"Expedite delivery: "&amp;N(BD79)&amp;" days late; ","")&amp;IF(AND(BI79="Awaiting Approval",ISNUMBER(B79),Settings!$B$4-N(B79)&gt;Settings!$B$19),"Get approval: PR waiting "&amp;(Settings!$B$4-N(B79))&amp;" days; ","")&amp;IF(AND(BI79="Approved - PO Pending",ISNUMBER(J79),Settings!$B$4-N(J79)&gt;Settings!$B$20),"Issue PO: approved "&amp;(Settings!$B$4-N(J79))&amp;" days ago; ","")&amp;IF(AND(OR(BI79="Awaiting Approval",BI79="Approved - PO Pending"),N(AB79)&gt;Settings!$B$7),"Negotiate price: "&amp;TEXT(AB79,"0%")&amp;" above budget; ","")&amp;IF(LEFT(AX79,12)="Short Closed","Short closed: claim balance / credit note"&amp;IF(N(AL79)&gt;0," BDT "&amp;TEXT(AL79,"#,##0"),"")&amp;"; ","")&amp;IF(BF79="Rejected","QC rejected: return / replace; ","")&amp;IF(AND(O79&lt;&gt;"",AY79="",N(AL79)&gt;0,N(BD79)&gt;0),"Advance at risk: BDT "&amp;TEXT(AL79,"#,##0")&amp;" paid, goods late; ","")&amp;IF(AND(BJ79&lt;&gt;"",BJ79&lt;&gt;"OK"),"Fix data entry (see Data Check); ",""))</f>
        <v/>
      </c>
      <c r="BL79" s="73" t="str">
        <f aca="false">IF(BK79="","",IF(OR(N(AP79)&gt;30,AND(AY79="",N(BD79)&gt;15),BF79="Rejected",AND(LEFT(AX79,12)="Short Closed",N(AL79)&gt;0),AND(O79&lt;&gt;"",AY79="",N(AL79)&gt;0,N(BD79)&gt;0)),"High",IF(OR(N(AP79)&gt;0,AND(AY79="",N(BD79)&gt;7),LEFT(AX79,12)="Short Closed",AND(BI79="Awaiting Approval",ISNUMBER(B79),Settings!$B$4-N(B79)&gt;2*Settings!$B$19),AND(BI79="Approved - PO Pending",ISNUMBER(J79),Settings!$B$4-N(J79)&gt;2*Settings!$B$20)),"Medium","Low")))</f>
        <v/>
      </c>
      <c r="BM79" s="77" t="str">
        <f aca="false">IF(BL79="","",IF(BL79="High",1,IF(BL79="Medium",2,3))*10000+ROW())</f>
        <v/>
      </c>
      <c r="BN79" s="62"/>
    </row>
    <row r="80" customFormat="false" ht="18" hidden="false" customHeight="true" outlineLevel="0" collapsed="false">
      <c r="A80" s="60"/>
      <c r="B80" s="61"/>
      <c r="C80" s="62"/>
      <c r="D80" s="62"/>
      <c r="E80" s="62"/>
      <c r="F80" s="62"/>
      <c r="G80" s="62"/>
      <c r="H80" s="60"/>
      <c r="I80" s="60"/>
      <c r="J80" s="61"/>
      <c r="K80" s="60"/>
      <c r="L80" s="60"/>
      <c r="M80" s="62"/>
      <c r="N80" s="60"/>
      <c r="O80" s="60"/>
      <c r="P80" s="61"/>
      <c r="Q80" s="63"/>
      <c r="R80" s="60"/>
      <c r="S80" s="64"/>
      <c r="T80" s="60"/>
      <c r="U80" s="65" t="str">
        <f aca="false">IF(AND(T80="",S80=""),"",IF(T80="",1,IFERROR(INDEX(Settings!$B$12:$B$16,MATCH(T80,Settings!$A$12:$A$16,0)),1)))</f>
        <v/>
      </c>
      <c r="V80" s="64"/>
      <c r="W80" s="66" t="str">
        <f aca="false">IF(OR(Q80="",S80=""),"",Q80*S80*U80)</f>
        <v/>
      </c>
      <c r="X80" s="65" t="str">
        <f aca="false">IF(OR(W80="",N(Q80)=0),"",W80/Q80)</f>
        <v/>
      </c>
      <c r="Y80" s="65" t="str">
        <f aca="false">IF(OR(X80="",P80="",E80=""),"",IF(_xlfn.MAXIFS($P$6:$P$205,$E$6:$E$205,E80,$P$6:$P$205,"&lt;"&amp;P80,$X$6:$X$205,"&gt;0")=0,"",IFERROR(AVERAGEIFS($X$6:$X$205,$E$6:$E$205,E80,$P$6:$P$205,_xlfn.MAXIFS($P$6:$P$205,$E$6:$E$205,E80,$P$6:$P$205,"&lt;"&amp;P80,$X$6:$X$205,"&gt;0"),$X$6:$X$205,"&gt;0"),"")))</f>
        <v/>
      </c>
      <c r="Z80" s="67" t="str">
        <f aca="false">IF(OR(Y80="",X80=""),"",X80/Y80-1)</f>
        <v/>
      </c>
      <c r="AA80" s="68" t="str">
        <f aca="false">IF(OR(W80="",V80=""),"",W80-Q80*V80)</f>
        <v/>
      </c>
      <c r="AB80" s="69" t="str">
        <f aca="false">IF(AA80="","",IF(N(V80)*N(Q80)=0,"",AA80/(Q80*V80)))</f>
        <v/>
      </c>
      <c r="AC80" s="70"/>
      <c r="AD80" s="66" t="str">
        <f aca="false">IF(W80="","",W80*(1+N(AC80)))</f>
        <v/>
      </c>
      <c r="AE80" s="62"/>
      <c r="AF80" s="71"/>
      <c r="AG80" s="71"/>
      <c r="AH80" s="71"/>
      <c r="AI80" s="66" t="str">
        <f aca="false">IF(A80="","",N(AF80)+N(AG80)+N(AH80))</f>
        <v/>
      </c>
      <c r="AJ80" s="72" t="str">
        <f aca="false">IF(AD80="","",IF(N(AD80)=0,"",AI80/AD80))</f>
        <v/>
      </c>
      <c r="AK80" s="66" t="str">
        <f aca="false">IF(AD80="","",IF(AD80-AI80&lt;1,0,ROUND(AD80-AI80,2)))</f>
        <v/>
      </c>
      <c r="AL80" s="66" t="str">
        <f aca="false">IF(OR(O80="",AD80=""),"",MAX(0,ROUND(N(AI80)-(AD80-N(AW80)),0)))</f>
        <v/>
      </c>
      <c r="AM80" s="73" t="str">
        <f aca="false">IF(A80="","",IF(O80="","No PO Yet",IF(AI80=0,"Not Paid",IF(N(AJ80)&gt;=0.999,"Fully Paid",IF(N(AG80)+N(AH80)&gt;0,"Partially Paid","Initial / Advance Paid")))))</f>
        <v/>
      </c>
      <c r="AN80" s="61"/>
      <c r="AO80" s="61"/>
      <c r="AP80" s="74" t="str">
        <f aca="false">IF(AK80="","",IF(OR(N(AK80)=0,AO80=""),"",MAX(0,Settings!$B$4-AO80)))</f>
        <v/>
      </c>
      <c r="AQ80" s="73" t="str">
        <f aca="false">IF(AK80="","",IF(N(AK80)&lt;=0,"",IF(AO80="","No Due Date",IF(Settings!$B$4&lt;=AO80,"Not Yet Due",IF(Settings!$B$4-AO80&lt;=30,"1-30 Days",IF(Settings!$B$4-AO80&lt;=60,"31-60 Days",IF(Settings!$B$4-AO80&lt;=90,"61-90 Days","90+ Days")))))))</f>
        <v/>
      </c>
      <c r="AR80" s="61"/>
      <c r="AS80" s="61"/>
      <c r="AT80" s="63"/>
      <c r="AU80" s="72" t="str">
        <f aca="false">IF(Q80="","",IF(N(Q80)=0,"",N(AT80)/Q80))</f>
        <v/>
      </c>
      <c r="AV80" s="75" t="str">
        <f aca="false">IF(OR(A80="",O80="",Q80=""),"",MAX(0,Q80-N(AT80)))</f>
        <v/>
      </c>
      <c r="AW80" s="66" t="str">
        <f aca="false">IF(OR(AV80="",W80=""),"",IF(N(Q80)=0,0,AV80/Q80*AD80))</f>
        <v/>
      </c>
      <c r="AX80" s="76" t="str">
        <f aca="false">IF(A80="","",IF(O80="","No PO Yet",IF(Q80="","Order Qty Missing",IF(N(AT80)&gt;=Q80,IF(N(AT80)&gt;Q80,"All In-house (+"&amp;TEXT(N(AT80)-Q80,"#,##0")&amp;" "&amp;R80&amp;" excess)","All In-house"),IF(AY80&lt;&gt;"","Short Closed - "&amp;TEXT(AV80,"#,##0")&amp;" "&amp;R80&amp;" not received",IF(N(AT80)=0,"Not Started - "&amp;TEXT(AV80,"#,##0")&amp;" "&amp;R80&amp;" pending","Pending "&amp;TEXT(AV80,"#,##0")&amp;" "&amp;R80&amp;" ("&amp;TEXT(AU80,"0%")&amp;" received)"))))))</f>
        <v/>
      </c>
      <c r="AY80" s="61"/>
      <c r="AZ80" s="77" t="str">
        <f aca="false">IF(OR(B80="",J80=""),"",J80-B80)</f>
        <v/>
      </c>
      <c r="BA80" s="77" t="str">
        <f aca="false">IF(OR(J80="",P80=""),"",P80-J80)</f>
        <v/>
      </c>
      <c r="BB80" s="77" t="str">
        <f aca="false">IF(OR(P80="",AY80=""),"",AY80-P80)</f>
        <v/>
      </c>
      <c r="BC80" s="77" t="str">
        <f aca="false">IF(OR(B80="",AY80=""),"",AY80-B80)</f>
        <v/>
      </c>
      <c r="BD80" s="74" t="str">
        <f aca="false">IF(OR(AR80="",O80=""),"",MAX(0,IF(AY80="",Settings!$B$4,AY80)-AR80))</f>
        <v/>
      </c>
      <c r="BE80" s="73" t="str">
        <f aca="false">IF(OR(AY80="",AR80=""),"",IF(AND(AY80&lt;=AR80,N(AU80)&gt;=Settings!$B$6),"OTIF","Not OTIF"))</f>
        <v/>
      </c>
      <c r="BF80" s="60"/>
      <c r="BG80" s="62"/>
      <c r="BH80" s="78"/>
      <c r="BI80" s="76" t="str">
        <f aca="false">IF(A80="","",IF(K80="Rejected","Rejected",IF(K80&lt;&gt;"Approved","Awaiting Approval",IF(O80="","Approved - PO Pending",IF(AY80&lt;&gt;"",IF(N(AJ80)&gt;=0.999,"Closed","In-house Closed - Payment Due"),IF(AS80&lt;&gt;"","Receiving In-house","PO Issued - Awaiting Delivery"))))))</f>
        <v/>
      </c>
      <c r="BJ80" s="76" t="str">
        <f aca="false">IF(A80="","",IF(IF(AND(A80&lt;&gt;"",OR(B80="",C80="",E80="",F80="",H80="")),"PR info missing; ","")&amp;IF(AND(K80="Approved",OR(J80="",I80="")),"Approval ref/date missing; ","")&amp;IF(AND(O80&lt;&gt;"",K80&lt;&gt;"Approved"),"PO without approval; ","")&amp;IF(AND(O80&lt;&gt;"",OR(P80="",M80="",Q80="",S80="",T80="")),"PO details missing; ","")&amp;IF(AND(O80&lt;&gt;"",AR80=""),"Committed date missing; ","")&amp;IF(AND(ISNUMBER(J80),ISNUMBER(B80),N(J80)&lt;N(B80)),"Approval dated before PR; ","")&amp;IF(AND(ISNUMBER(P80),ISNUMBER(J80),N(P80)&lt;N(J80)),"PO dated before approval; ","")&amp;IF(AND(ISNUMBER(AY80),ISNUMBER(AS80),N(AY80)&lt;N(AS80)),"Close before in-house start; ","")&amp;IF(AND(AY80&lt;&gt;"",AS80=""),"In-house start date missing; ","")&amp;IF(AND(AY80&lt;&gt;"",AT80=""),"Qty received missing; ","")&amp;IF(AND(AY80&lt;&gt;"",BF80=""),"QC status missing; ","")&amp;IF(N(AT80)&gt;N(Q80)*1.05,"Received &gt; ordered +5%; ","")&amp;IF(AND(N(AI80)&gt;0,AE80=""),"Payment terms missing; ","")&amp;IF(N(AI80)&gt;N(AD80)+1,"Overpaid vs PO; ","")&amp;IF(AND(N(AK80)&gt;0,AY80&lt;&gt;"",AO80=""),"Payment due date missing; ","")="","OK",IF(AND(A80&lt;&gt;"",OR(B80="",C80="",E80="",F80="",H80="")),"PR info missing; ","")&amp;IF(AND(K80="Approved",OR(J80="",I80="")),"Approval ref/date missing; ","")&amp;IF(AND(O80&lt;&gt;"",K80&lt;&gt;"Approved"),"PO without approval; ","")&amp;IF(AND(O80&lt;&gt;"",OR(P80="",M80="",Q80="",S80="",T80="")),"PO details missing; ","")&amp;IF(AND(O80&lt;&gt;"",AR80=""),"Committed date missing; ","")&amp;IF(AND(ISNUMBER(J80),ISNUMBER(B80),N(J80)&lt;N(B80)),"Approval dated before PR; ","")&amp;IF(AND(ISNUMBER(P80),ISNUMBER(J80),N(P80)&lt;N(J80)),"PO dated before approval; ","")&amp;IF(AND(ISNUMBER(AY80),ISNUMBER(AS80),N(AY80)&lt;N(AS80)),"Close before in-house start; ","")&amp;IF(AND(AY80&lt;&gt;"",AS80=""),"In-house start date missing; ","")&amp;IF(AND(AY80&lt;&gt;"",AT80=""),"Qty received missing; ","")&amp;IF(AND(AY80&lt;&gt;"",BF80=""),"QC status missing; ","")&amp;IF(N(AT80)&gt;N(Q80)*1.05,"Received &gt; ordered +5%; ","")&amp;IF(AND(N(AI80)&gt;0,AE80=""),"Payment terms missing; ","")&amp;IF(N(AI80)&gt;N(AD80)+1,"Overpaid vs PO; ","")&amp;IF(AND(N(AK80)&gt;0,AY80&lt;&gt;"",AO80=""),"Payment due date missing; ","")))</f>
        <v/>
      </c>
      <c r="BK80" s="76" t="str">
        <f aca="false">IF(A80="","",IF(N(AP80)&gt;0,"Pay supplier: "&amp;N(AP80)&amp;" days overdue; ","")&amp;IF(AND(O80&lt;&gt;"",AY80="",N(BD80)&gt;0),"Expedite delivery: "&amp;N(BD80)&amp;" days late; ","")&amp;IF(AND(BI80="Awaiting Approval",ISNUMBER(B80),Settings!$B$4-N(B80)&gt;Settings!$B$19),"Get approval: PR waiting "&amp;(Settings!$B$4-N(B80))&amp;" days; ","")&amp;IF(AND(BI80="Approved - PO Pending",ISNUMBER(J80),Settings!$B$4-N(J80)&gt;Settings!$B$20),"Issue PO: approved "&amp;(Settings!$B$4-N(J80))&amp;" days ago; ","")&amp;IF(AND(OR(BI80="Awaiting Approval",BI80="Approved - PO Pending"),N(AB80)&gt;Settings!$B$7),"Negotiate price: "&amp;TEXT(AB80,"0%")&amp;" above budget; ","")&amp;IF(LEFT(AX80,12)="Short Closed","Short closed: claim balance / credit note"&amp;IF(N(AL80)&gt;0," BDT "&amp;TEXT(AL80,"#,##0"),"")&amp;"; ","")&amp;IF(BF80="Rejected","QC rejected: return / replace; ","")&amp;IF(AND(O80&lt;&gt;"",AY80="",N(AL80)&gt;0,N(BD80)&gt;0),"Advance at risk: BDT "&amp;TEXT(AL80,"#,##0")&amp;" paid, goods late; ","")&amp;IF(AND(BJ80&lt;&gt;"",BJ80&lt;&gt;"OK"),"Fix data entry (see Data Check); ",""))</f>
        <v/>
      </c>
      <c r="BL80" s="73" t="str">
        <f aca="false">IF(BK80="","",IF(OR(N(AP80)&gt;30,AND(AY80="",N(BD80)&gt;15),BF80="Rejected",AND(LEFT(AX80,12)="Short Closed",N(AL80)&gt;0),AND(O80&lt;&gt;"",AY80="",N(AL80)&gt;0,N(BD80)&gt;0)),"High",IF(OR(N(AP80)&gt;0,AND(AY80="",N(BD80)&gt;7),LEFT(AX80,12)="Short Closed",AND(BI80="Awaiting Approval",ISNUMBER(B80),Settings!$B$4-N(B80)&gt;2*Settings!$B$19),AND(BI80="Approved - PO Pending",ISNUMBER(J80),Settings!$B$4-N(J80)&gt;2*Settings!$B$20)),"Medium","Low")))</f>
        <v/>
      </c>
      <c r="BM80" s="77" t="str">
        <f aca="false">IF(BL80="","",IF(BL80="High",1,IF(BL80="Medium",2,3))*10000+ROW())</f>
        <v/>
      </c>
      <c r="BN80" s="62"/>
    </row>
    <row r="81" customFormat="false" ht="18" hidden="false" customHeight="true" outlineLevel="0" collapsed="false">
      <c r="A81" s="60"/>
      <c r="B81" s="61"/>
      <c r="C81" s="62"/>
      <c r="D81" s="62"/>
      <c r="E81" s="62"/>
      <c r="F81" s="62"/>
      <c r="G81" s="62"/>
      <c r="H81" s="60"/>
      <c r="I81" s="60"/>
      <c r="J81" s="61"/>
      <c r="K81" s="60"/>
      <c r="L81" s="60"/>
      <c r="M81" s="62"/>
      <c r="N81" s="60"/>
      <c r="O81" s="60"/>
      <c r="P81" s="61"/>
      <c r="Q81" s="63"/>
      <c r="R81" s="60"/>
      <c r="S81" s="64"/>
      <c r="T81" s="60"/>
      <c r="U81" s="65" t="str">
        <f aca="false">IF(AND(T81="",S81=""),"",IF(T81="",1,IFERROR(INDEX(Settings!$B$12:$B$16,MATCH(T81,Settings!$A$12:$A$16,0)),1)))</f>
        <v/>
      </c>
      <c r="V81" s="64"/>
      <c r="W81" s="66" t="str">
        <f aca="false">IF(OR(Q81="",S81=""),"",Q81*S81*U81)</f>
        <v/>
      </c>
      <c r="X81" s="65" t="str">
        <f aca="false">IF(OR(W81="",N(Q81)=0),"",W81/Q81)</f>
        <v/>
      </c>
      <c r="Y81" s="65" t="str">
        <f aca="false">IF(OR(X81="",P81="",E81=""),"",IF(_xlfn.MAXIFS($P$6:$P$205,$E$6:$E$205,E81,$P$6:$P$205,"&lt;"&amp;P81,$X$6:$X$205,"&gt;0")=0,"",IFERROR(AVERAGEIFS($X$6:$X$205,$E$6:$E$205,E81,$P$6:$P$205,_xlfn.MAXIFS($P$6:$P$205,$E$6:$E$205,E81,$P$6:$P$205,"&lt;"&amp;P81,$X$6:$X$205,"&gt;0"),$X$6:$X$205,"&gt;0"),"")))</f>
        <v/>
      </c>
      <c r="Z81" s="67" t="str">
        <f aca="false">IF(OR(Y81="",X81=""),"",X81/Y81-1)</f>
        <v/>
      </c>
      <c r="AA81" s="68" t="str">
        <f aca="false">IF(OR(W81="",V81=""),"",W81-Q81*V81)</f>
        <v/>
      </c>
      <c r="AB81" s="69" t="str">
        <f aca="false">IF(AA81="","",IF(N(V81)*N(Q81)=0,"",AA81/(Q81*V81)))</f>
        <v/>
      </c>
      <c r="AC81" s="70"/>
      <c r="AD81" s="66" t="str">
        <f aca="false">IF(W81="","",W81*(1+N(AC81)))</f>
        <v/>
      </c>
      <c r="AE81" s="62"/>
      <c r="AF81" s="71"/>
      <c r="AG81" s="71"/>
      <c r="AH81" s="71"/>
      <c r="AI81" s="66" t="str">
        <f aca="false">IF(A81="","",N(AF81)+N(AG81)+N(AH81))</f>
        <v/>
      </c>
      <c r="AJ81" s="72" t="str">
        <f aca="false">IF(AD81="","",IF(N(AD81)=0,"",AI81/AD81))</f>
        <v/>
      </c>
      <c r="AK81" s="66" t="str">
        <f aca="false">IF(AD81="","",IF(AD81-AI81&lt;1,0,ROUND(AD81-AI81,2)))</f>
        <v/>
      </c>
      <c r="AL81" s="66" t="str">
        <f aca="false">IF(OR(O81="",AD81=""),"",MAX(0,ROUND(N(AI81)-(AD81-N(AW81)),0)))</f>
        <v/>
      </c>
      <c r="AM81" s="73" t="str">
        <f aca="false">IF(A81="","",IF(O81="","No PO Yet",IF(AI81=0,"Not Paid",IF(N(AJ81)&gt;=0.999,"Fully Paid",IF(N(AG81)+N(AH81)&gt;0,"Partially Paid","Initial / Advance Paid")))))</f>
        <v/>
      </c>
      <c r="AN81" s="61"/>
      <c r="AO81" s="61"/>
      <c r="AP81" s="74" t="str">
        <f aca="false">IF(AK81="","",IF(OR(N(AK81)=0,AO81=""),"",MAX(0,Settings!$B$4-AO81)))</f>
        <v/>
      </c>
      <c r="AQ81" s="73" t="str">
        <f aca="false">IF(AK81="","",IF(N(AK81)&lt;=0,"",IF(AO81="","No Due Date",IF(Settings!$B$4&lt;=AO81,"Not Yet Due",IF(Settings!$B$4-AO81&lt;=30,"1-30 Days",IF(Settings!$B$4-AO81&lt;=60,"31-60 Days",IF(Settings!$B$4-AO81&lt;=90,"61-90 Days","90+ Days")))))))</f>
        <v/>
      </c>
      <c r="AR81" s="61"/>
      <c r="AS81" s="61"/>
      <c r="AT81" s="63"/>
      <c r="AU81" s="72" t="str">
        <f aca="false">IF(Q81="","",IF(N(Q81)=0,"",N(AT81)/Q81))</f>
        <v/>
      </c>
      <c r="AV81" s="75" t="str">
        <f aca="false">IF(OR(A81="",O81="",Q81=""),"",MAX(0,Q81-N(AT81)))</f>
        <v/>
      </c>
      <c r="AW81" s="66" t="str">
        <f aca="false">IF(OR(AV81="",W81=""),"",IF(N(Q81)=0,0,AV81/Q81*AD81))</f>
        <v/>
      </c>
      <c r="AX81" s="76" t="str">
        <f aca="false">IF(A81="","",IF(O81="","No PO Yet",IF(Q81="","Order Qty Missing",IF(N(AT81)&gt;=Q81,IF(N(AT81)&gt;Q81,"All In-house (+"&amp;TEXT(N(AT81)-Q81,"#,##0")&amp;" "&amp;R81&amp;" excess)","All In-house"),IF(AY81&lt;&gt;"","Short Closed - "&amp;TEXT(AV81,"#,##0")&amp;" "&amp;R81&amp;" not received",IF(N(AT81)=0,"Not Started - "&amp;TEXT(AV81,"#,##0")&amp;" "&amp;R81&amp;" pending","Pending "&amp;TEXT(AV81,"#,##0")&amp;" "&amp;R81&amp;" ("&amp;TEXT(AU81,"0%")&amp;" received)"))))))</f>
        <v/>
      </c>
      <c r="AY81" s="61"/>
      <c r="AZ81" s="77" t="str">
        <f aca="false">IF(OR(B81="",J81=""),"",J81-B81)</f>
        <v/>
      </c>
      <c r="BA81" s="77" t="str">
        <f aca="false">IF(OR(J81="",P81=""),"",P81-J81)</f>
        <v/>
      </c>
      <c r="BB81" s="77" t="str">
        <f aca="false">IF(OR(P81="",AY81=""),"",AY81-P81)</f>
        <v/>
      </c>
      <c r="BC81" s="77" t="str">
        <f aca="false">IF(OR(B81="",AY81=""),"",AY81-B81)</f>
        <v/>
      </c>
      <c r="BD81" s="74" t="str">
        <f aca="false">IF(OR(AR81="",O81=""),"",MAX(0,IF(AY81="",Settings!$B$4,AY81)-AR81))</f>
        <v/>
      </c>
      <c r="BE81" s="73" t="str">
        <f aca="false">IF(OR(AY81="",AR81=""),"",IF(AND(AY81&lt;=AR81,N(AU81)&gt;=Settings!$B$6),"OTIF","Not OTIF"))</f>
        <v/>
      </c>
      <c r="BF81" s="60"/>
      <c r="BG81" s="62"/>
      <c r="BH81" s="78"/>
      <c r="BI81" s="76" t="str">
        <f aca="false">IF(A81="","",IF(K81="Rejected","Rejected",IF(K81&lt;&gt;"Approved","Awaiting Approval",IF(O81="","Approved - PO Pending",IF(AY81&lt;&gt;"",IF(N(AJ81)&gt;=0.999,"Closed","In-house Closed - Payment Due"),IF(AS81&lt;&gt;"","Receiving In-house","PO Issued - Awaiting Delivery"))))))</f>
        <v/>
      </c>
      <c r="BJ81" s="76" t="str">
        <f aca="false">IF(A81="","",IF(IF(AND(A81&lt;&gt;"",OR(B81="",C81="",E81="",F81="",H81="")),"PR info missing; ","")&amp;IF(AND(K81="Approved",OR(J81="",I81="")),"Approval ref/date missing; ","")&amp;IF(AND(O81&lt;&gt;"",K81&lt;&gt;"Approved"),"PO without approval; ","")&amp;IF(AND(O81&lt;&gt;"",OR(P81="",M81="",Q81="",S81="",T81="")),"PO details missing; ","")&amp;IF(AND(O81&lt;&gt;"",AR81=""),"Committed date missing; ","")&amp;IF(AND(ISNUMBER(J81),ISNUMBER(B81),N(J81)&lt;N(B81)),"Approval dated before PR; ","")&amp;IF(AND(ISNUMBER(P81),ISNUMBER(J81),N(P81)&lt;N(J81)),"PO dated before approval; ","")&amp;IF(AND(ISNUMBER(AY81),ISNUMBER(AS81),N(AY81)&lt;N(AS81)),"Close before in-house start; ","")&amp;IF(AND(AY81&lt;&gt;"",AS81=""),"In-house start date missing; ","")&amp;IF(AND(AY81&lt;&gt;"",AT81=""),"Qty received missing; ","")&amp;IF(AND(AY81&lt;&gt;"",BF81=""),"QC status missing; ","")&amp;IF(N(AT81)&gt;N(Q81)*1.05,"Received &gt; ordered +5%; ","")&amp;IF(AND(N(AI81)&gt;0,AE81=""),"Payment terms missing; ","")&amp;IF(N(AI81)&gt;N(AD81)+1,"Overpaid vs PO; ","")&amp;IF(AND(N(AK81)&gt;0,AY81&lt;&gt;"",AO81=""),"Payment due date missing; ","")="","OK",IF(AND(A81&lt;&gt;"",OR(B81="",C81="",E81="",F81="",H81="")),"PR info missing; ","")&amp;IF(AND(K81="Approved",OR(J81="",I81="")),"Approval ref/date missing; ","")&amp;IF(AND(O81&lt;&gt;"",K81&lt;&gt;"Approved"),"PO without approval; ","")&amp;IF(AND(O81&lt;&gt;"",OR(P81="",M81="",Q81="",S81="",T81="")),"PO details missing; ","")&amp;IF(AND(O81&lt;&gt;"",AR81=""),"Committed date missing; ","")&amp;IF(AND(ISNUMBER(J81),ISNUMBER(B81),N(J81)&lt;N(B81)),"Approval dated before PR; ","")&amp;IF(AND(ISNUMBER(P81),ISNUMBER(J81),N(P81)&lt;N(J81)),"PO dated before approval; ","")&amp;IF(AND(ISNUMBER(AY81),ISNUMBER(AS81),N(AY81)&lt;N(AS81)),"Close before in-house start; ","")&amp;IF(AND(AY81&lt;&gt;"",AS81=""),"In-house start date missing; ","")&amp;IF(AND(AY81&lt;&gt;"",AT81=""),"Qty received missing; ","")&amp;IF(AND(AY81&lt;&gt;"",BF81=""),"QC status missing; ","")&amp;IF(N(AT81)&gt;N(Q81)*1.05,"Received &gt; ordered +5%; ","")&amp;IF(AND(N(AI81)&gt;0,AE81=""),"Payment terms missing; ","")&amp;IF(N(AI81)&gt;N(AD81)+1,"Overpaid vs PO; ","")&amp;IF(AND(N(AK81)&gt;0,AY81&lt;&gt;"",AO81=""),"Payment due date missing; ","")))</f>
        <v/>
      </c>
      <c r="BK81" s="76" t="str">
        <f aca="false">IF(A81="","",IF(N(AP81)&gt;0,"Pay supplier: "&amp;N(AP81)&amp;" days overdue; ","")&amp;IF(AND(O81&lt;&gt;"",AY81="",N(BD81)&gt;0),"Expedite delivery: "&amp;N(BD81)&amp;" days late; ","")&amp;IF(AND(BI81="Awaiting Approval",ISNUMBER(B81),Settings!$B$4-N(B81)&gt;Settings!$B$19),"Get approval: PR waiting "&amp;(Settings!$B$4-N(B81))&amp;" days; ","")&amp;IF(AND(BI81="Approved - PO Pending",ISNUMBER(J81),Settings!$B$4-N(J81)&gt;Settings!$B$20),"Issue PO: approved "&amp;(Settings!$B$4-N(J81))&amp;" days ago; ","")&amp;IF(AND(OR(BI81="Awaiting Approval",BI81="Approved - PO Pending"),N(AB81)&gt;Settings!$B$7),"Negotiate price: "&amp;TEXT(AB81,"0%")&amp;" above budget; ","")&amp;IF(LEFT(AX81,12)="Short Closed","Short closed: claim balance / credit note"&amp;IF(N(AL81)&gt;0," BDT "&amp;TEXT(AL81,"#,##0"),"")&amp;"; ","")&amp;IF(BF81="Rejected","QC rejected: return / replace; ","")&amp;IF(AND(O81&lt;&gt;"",AY81="",N(AL81)&gt;0,N(BD81)&gt;0),"Advance at risk: BDT "&amp;TEXT(AL81,"#,##0")&amp;" paid, goods late; ","")&amp;IF(AND(BJ81&lt;&gt;"",BJ81&lt;&gt;"OK"),"Fix data entry (see Data Check); ",""))</f>
        <v/>
      </c>
      <c r="BL81" s="73" t="str">
        <f aca="false">IF(BK81="","",IF(OR(N(AP81)&gt;30,AND(AY81="",N(BD81)&gt;15),BF81="Rejected",AND(LEFT(AX81,12)="Short Closed",N(AL81)&gt;0),AND(O81&lt;&gt;"",AY81="",N(AL81)&gt;0,N(BD81)&gt;0)),"High",IF(OR(N(AP81)&gt;0,AND(AY81="",N(BD81)&gt;7),LEFT(AX81,12)="Short Closed",AND(BI81="Awaiting Approval",ISNUMBER(B81),Settings!$B$4-N(B81)&gt;2*Settings!$B$19),AND(BI81="Approved - PO Pending",ISNUMBER(J81),Settings!$B$4-N(J81)&gt;2*Settings!$B$20)),"Medium","Low")))</f>
        <v/>
      </c>
      <c r="BM81" s="77" t="str">
        <f aca="false">IF(BL81="","",IF(BL81="High",1,IF(BL81="Medium",2,3))*10000+ROW())</f>
        <v/>
      </c>
      <c r="BN81" s="62"/>
    </row>
    <row r="82" customFormat="false" ht="18" hidden="false" customHeight="true" outlineLevel="0" collapsed="false">
      <c r="A82" s="60"/>
      <c r="B82" s="61"/>
      <c r="C82" s="62"/>
      <c r="D82" s="62"/>
      <c r="E82" s="62"/>
      <c r="F82" s="62"/>
      <c r="G82" s="62"/>
      <c r="H82" s="60"/>
      <c r="I82" s="60"/>
      <c r="J82" s="61"/>
      <c r="K82" s="60"/>
      <c r="L82" s="60"/>
      <c r="M82" s="62"/>
      <c r="N82" s="60"/>
      <c r="O82" s="60"/>
      <c r="P82" s="61"/>
      <c r="Q82" s="63"/>
      <c r="R82" s="60"/>
      <c r="S82" s="64"/>
      <c r="T82" s="60"/>
      <c r="U82" s="65" t="str">
        <f aca="false">IF(AND(T82="",S82=""),"",IF(T82="",1,IFERROR(INDEX(Settings!$B$12:$B$16,MATCH(T82,Settings!$A$12:$A$16,0)),1)))</f>
        <v/>
      </c>
      <c r="V82" s="64"/>
      <c r="W82" s="66" t="str">
        <f aca="false">IF(OR(Q82="",S82=""),"",Q82*S82*U82)</f>
        <v/>
      </c>
      <c r="X82" s="65" t="str">
        <f aca="false">IF(OR(W82="",N(Q82)=0),"",W82/Q82)</f>
        <v/>
      </c>
      <c r="Y82" s="65" t="str">
        <f aca="false">IF(OR(X82="",P82="",E82=""),"",IF(_xlfn.MAXIFS($P$6:$P$205,$E$6:$E$205,E82,$P$6:$P$205,"&lt;"&amp;P82,$X$6:$X$205,"&gt;0")=0,"",IFERROR(AVERAGEIFS($X$6:$X$205,$E$6:$E$205,E82,$P$6:$P$205,_xlfn.MAXIFS($P$6:$P$205,$E$6:$E$205,E82,$P$6:$P$205,"&lt;"&amp;P82,$X$6:$X$205,"&gt;0"),$X$6:$X$205,"&gt;0"),"")))</f>
        <v/>
      </c>
      <c r="Z82" s="67" t="str">
        <f aca="false">IF(OR(Y82="",X82=""),"",X82/Y82-1)</f>
        <v/>
      </c>
      <c r="AA82" s="68" t="str">
        <f aca="false">IF(OR(W82="",V82=""),"",W82-Q82*V82)</f>
        <v/>
      </c>
      <c r="AB82" s="69" t="str">
        <f aca="false">IF(AA82="","",IF(N(V82)*N(Q82)=0,"",AA82/(Q82*V82)))</f>
        <v/>
      </c>
      <c r="AC82" s="70"/>
      <c r="AD82" s="66" t="str">
        <f aca="false">IF(W82="","",W82*(1+N(AC82)))</f>
        <v/>
      </c>
      <c r="AE82" s="62"/>
      <c r="AF82" s="71"/>
      <c r="AG82" s="71"/>
      <c r="AH82" s="71"/>
      <c r="AI82" s="66" t="str">
        <f aca="false">IF(A82="","",N(AF82)+N(AG82)+N(AH82))</f>
        <v/>
      </c>
      <c r="AJ82" s="72" t="str">
        <f aca="false">IF(AD82="","",IF(N(AD82)=0,"",AI82/AD82))</f>
        <v/>
      </c>
      <c r="AK82" s="66" t="str">
        <f aca="false">IF(AD82="","",IF(AD82-AI82&lt;1,0,ROUND(AD82-AI82,2)))</f>
        <v/>
      </c>
      <c r="AL82" s="66" t="str">
        <f aca="false">IF(OR(O82="",AD82=""),"",MAX(0,ROUND(N(AI82)-(AD82-N(AW82)),0)))</f>
        <v/>
      </c>
      <c r="AM82" s="73" t="str">
        <f aca="false">IF(A82="","",IF(O82="","No PO Yet",IF(AI82=0,"Not Paid",IF(N(AJ82)&gt;=0.999,"Fully Paid",IF(N(AG82)+N(AH82)&gt;0,"Partially Paid","Initial / Advance Paid")))))</f>
        <v/>
      </c>
      <c r="AN82" s="61"/>
      <c r="AO82" s="61"/>
      <c r="AP82" s="74" t="str">
        <f aca="false">IF(AK82="","",IF(OR(N(AK82)=0,AO82=""),"",MAX(0,Settings!$B$4-AO82)))</f>
        <v/>
      </c>
      <c r="AQ82" s="73" t="str">
        <f aca="false">IF(AK82="","",IF(N(AK82)&lt;=0,"",IF(AO82="","No Due Date",IF(Settings!$B$4&lt;=AO82,"Not Yet Due",IF(Settings!$B$4-AO82&lt;=30,"1-30 Days",IF(Settings!$B$4-AO82&lt;=60,"31-60 Days",IF(Settings!$B$4-AO82&lt;=90,"61-90 Days","90+ Days")))))))</f>
        <v/>
      </c>
      <c r="AR82" s="61"/>
      <c r="AS82" s="61"/>
      <c r="AT82" s="63"/>
      <c r="AU82" s="72" t="str">
        <f aca="false">IF(Q82="","",IF(N(Q82)=0,"",N(AT82)/Q82))</f>
        <v/>
      </c>
      <c r="AV82" s="75" t="str">
        <f aca="false">IF(OR(A82="",O82="",Q82=""),"",MAX(0,Q82-N(AT82)))</f>
        <v/>
      </c>
      <c r="AW82" s="66" t="str">
        <f aca="false">IF(OR(AV82="",W82=""),"",IF(N(Q82)=0,0,AV82/Q82*AD82))</f>
        <v/>
      </c>
      <c r="AX82" s="76" t="str">
        <f aca="false">IF(A82="","",IF(O82="","No PO Yet",IF(Q82="","Order Qty Missing",IF(N(AT82)&gt;=Q82,IF(N(AT82)&gt;Q82,"All In-house (+"&amp;TEXT(N(AT82)-Q82,"#,##0")&amp;" "&amp;R82&amp;" excess)","All In-house"),IF(AY82&lt;&gt;"","Short Closed - "&amp;TEXT(AV82,"#,##0")&amp;" "&amp;R82&amp;" not received",IF(N(AT82)=0,"Not Started - "&amp;TEXT(AV82,"#,##0")&amp;" "&amp;R82&amp;" pending","Pending "&amp;TEXT(AV82,"#,##0")&amp;" "&amp;R82&amp;" ("&amp;TEXT(AU82,"0%")&amp;" received)"))))))</f>
        <v/>
      </c>
      <c r="AY82" s="61"/>
      <c r="AZ82" s="77" t="str">
        <f aca="false">IF(OR(B82="",J82=""),"",J82-B82)</f>
        <v/>
      </c>
      <c r="BA82" s="77" t="str">
        <f aca="false">IF(OR(J82="",P82=""),"",P82-J82)</f>
        <v/>
      </c>
      <c r="BB82" s="77" t="str">
        <f aca="false">IF(OR(P82="",AY82=""),"",AY82-P82)</f>
        <v/>
      </c>
      <c r="BC82" s="77" t="str">
        <f aca="false">IF(OR(B82="",AY82=""),"",AY82-B82)</f>
        <v/>
      </c>
      <c r="BD82" s="74" t="str">
        <f aca="false">IF(OR(AR82="",O82=""),"",MAX(0,IF(AY82="",Settings!$B$4,AY82)-AR82))</f>
        <v/>
      </c>
      <c r="BE82" s="73" t="str">
        <f aca="false">IF(OR(AY82="",AR82=""),"",IF(AND(AY82&lt;=AR82,N(AU82)&gt;=Settings!$B$6),"OTIF","Not OTIF"))</f>
        <v/>
      </c>
      <c r="BF82" s="60"/>
      <c r="BG82" s="62"/>
      <c r="BH82" s="78"/>
      <c r="BI82" s="76" t="str">
        <f aca="false">IF(A82="","",IF(K82="Rejected","Rejected",IF(K82&lt;&gt;"Approved","Awaiting Approval",IF(O82="","Approved - PO Pending",IF(AY82&lt;&gt;"",IF(N(AJ82)&gt;=0.999,"Closed","In-house Closed - Payment Due"),IF(AS82&lt;&gt;"","Receiving In-house","PO Issued - Awaiting Delivery"))))))</f>
        <v/>
      </c>
      <c r="BJ82" s="76" t="str">
        <f aca="false">IF(A82="","",IF(IF(AND(A82&lt;&gt;"",OR(B82="",C82="",E82="",F82="",H82="")),"PR info missing; ","")&amp;IF(AND(K82="Approved",OR(J82="",I82="")),"Approval ref/date missing; ","")&amp;IF(AND(O82&lt;&gt;"",K82&lt;&gt;"Approved"),"PO without approval; ","")&amp;IF(AND(O82&lt;&gt;"",OR(P82="",M82="",Q82="",S82="",T82="")),"PO details missing; ","")&amp;IF(AND(O82&lt;&gt;"",AR82=""),"Committed date missing; ","")&amp;IF(AND(ISNUMBER(J82),ISNUMBER(B82),N(J82)&lt;N(B82)),"Approval dated before PR; ","")&amp;IF(AND(ISNUMBER(P82),ISNUMBER(J82),N(P82)&lt;N(J82)),"PO dated before approval; ","")&amp;IF(AND(ISNUMBER(AY82),ISNUMBER(AS82),N(AY82)&lt;N(AS82)),"Close before in-house start; ","")&amp;IF(AND(AY82&lt;&gt;"",AS82=""),"In-house start date missing; ","")&amp;IF(AND(AY82&lt;&gt;"",AT82=""),"Qty received missing; ","")&amp;IF(AND(AY82&lt;&gt;"",BF82=""),"QC status missing; ","")&amp;IF(N(AT82)&gt;N(Q82)*1.05,"Received &gt; ordered +5%; ","")&amp;IF(AND(N(AI82)&gt;0,AE82=""),"Payment terms missing; ","")&amp;IF(N(AI82)&gt;N(AD82)+1,"Overpaid vs PO; ","")&amp;IF(AND(N(AK82)&gt;0,AY82&lt;&gt;"",AO82=""),"Payment due date missing; ","")="","OK",IF(AND(A82&lt;&gt;"",OR(B82="",C82="",E82="",F82="",H82="")),"PR info missing; ","")&amp;IF(AND(K82="Approved",OR(J82="",I82="")),"Approval ref/date missing; ","")&amp;IF(AND(O82&lt;&gt;"",K82&lt;&gt;"Approved"),"PO without approval; ","")&amp;IF(AND(O82&lt;&gt;"",OR(P82="",M82="",Q82="",S82="",T82="")),"PO details missing; ","")&amp;IF(AND(O82&lt;&gt;"",AR82=""),"Committed date missing; ","")&amp;IF(AND(ISNUMBER(J82),ISNUMBER(B82),N(J82)&lt;N(B82)),"Approval dated before PR; ","")&amp;IF(AND(ISNUMBER(P82),ISNUMBER(J82),N(P82)&lt;N(J82)),"PO dated before approval; ","")&amp;IF(AND(ISNUMBER(AY82),ISNUMBER(AS82),N(AY82)&lt;N(AS82)),"Close before in-house start; ","")&amp;IF(AND(AY82&lt;&gt;"",AS82=""),"In-house start date missing; ","")&amp;IF(AND(AY82&lt;&gt;"",AT82=""),"Qty received missing; ","")&amp;IF(AND(AY82&lt;&gt;"",BF82=""),"QC status missing; ","")&amp;IF(N(AT82)&gt;N(Q82)*1.05,"Received &gt; ordered +5%; ","")&amp;IF(AND(N(AI82)&gt;0,AE82=""),"Payment terms missing; ","")&amp;IF(N(AI82)&gt;N(AD82)+1,"Overpaid vs PO; ","")&amp;IF(AND(N(AK82)&gt;0,AY82&lt;&gt;"",AO82=""),"Payment due date missing; ","")))</f>
        <v/>
      </c>
      <c r="BK82" s="76" t="str">
        <f aca="false">IF(A82="","",IF(N(AP82)&gt;0,"Pay supplier: "&amp;N(AP82)&amp;" days overdue; ","")&amp;IF(AND(O82&lt;&gt;"",AY82="",N(BD82)&gt;0),"Expedite delivery: "&amp;N(BD82)&amp;" days late; ","")&amp;IF(AND(BI82="Awaiting Approval",ISNUMBER(B82),Settings!$B$4-N(B82)&gt;Settings!$B$19),"Get approval: PR waiting "&amp;(Settings!$B$4-N(B82))&amp;" days; ","")&amp;IF(AND(BI82="Approved - PO Pending",ISNUMBER(J82),Settings!$B$4-N(J82)&gt;Settings!$B$20),"Issue PO: approved "&amp;(Settings!$B$4-N(J82))&amp;" days ago; ","")&amp;IF(AND(OR(BI82="Awaiting Approval",BI82="Approved - PO Pending"),N(AB82)&gt;Settings!$B$7),"Negotiate price: "&amp;TEXT(AB82,"0%")&amp;" above budget; ","")&amp;IF(LEFT(AX82,12)="Short Closed","Short closed: claim balance / credit note"&amp;IF(N(AL82)&gt;0," BDT "&amp;TEXT(AL82,"#,##0"),"")&amp;"; ","")&amp;IF(BF82="Rejected","QC rejected: return / replace; ","")&amp;IF(AND(O82&lt;&gt;"",AY82="",N(AL82)&gt;0,N(BD82)&gt;0),"Advance at risk: BDT "&amp;TEXT(AL82,"#,##0")&amp;" paid, goods late; ","")&amp;IF(AND(BJ82&lt;&gt;"",BJ82&lt;&gt;"OK"),"Fix data entry (see Data Check); ",""))</f>
        <v/>
      </c>
      <c r="BL82" s="73" t="str">
        <f aca="false">IF(BK82="","",IF(OR(N(AP82)&gt;30,AND(AY82="",N(BD82)&gt;15),BF82="Rejected",AND(LEFT(AX82,12)="Short Closed",N(AL82)&gt;0),AND(O82&lt;&gt;"",AY82="",N(AL82)&gt;0,N(BD82)&gt;0)),"High",IF(OR(N(AP82)&gt;0,AND(AY82="",N(BD82)&gt;7),LEFT(AX82,12)="Short Closed",AND(BI82="Awaiting Approval",ISNUMBER(B82),Settings!$B$4-N(B82)&gt;2*Settings!$B$19),AND(BI82="Approved - PO Pending",ISNUMBER(J82),Settings!$B$4-N(J82)&gt;2*Settings!$B$20)),"Medium","Low")))</f>
        <v/>
      </c>
      <c r="BM82" s="77" t="str">
        <f aca="false">IF(BL82="","",IF(BL82="High",1,IF(BL82="Medium",2,3))*10000+ROW())</f>
        <v/>
      </c>
      <c r="BN82" s="62"/>
    </row>
    <row r="83" customFormat="false" ht="18" hidden="false" customHeight="true" outlineLevel="0" collapsed="false">
      <c r="A83" s="60"/>
      <c r="B83" s="61"/>
      <c r="C83" s="62"/>
      <c r="D83" s="62"/>
      <c r="E83" s="62"/>
      <c r="F83" s="62"/>
      <c r="G83" s="62"/>
      <c r="H83" s="60"/>
      <c r="I83" s="60"/>
      <c r="J83" s="61"/>
      <c r="K83" s="60"/>
      <c r="L83" s="60"/>
      <c r="M83" s="62"/>
      <c r="N83" s="60"/>
      <c r="O83" s="60"/>
      <c r="P83" s="61"/>
      <c r="Q83" s="63"/>
      <c r="R83" s="60"/>
      <c r="S83" s="64"/>
      <c r="T83" s="60"/>
      <c r="U83" s="65" t="str">
        <f aca="false">IF(AND(T83="",S83=""),"",IF(T83="",1,IFERROR(INDEX(Settings!$B$12:$B$16,MATCH(T83,Settings!$A$12:$A$16,0)),1)))</f>
        <v/>
      </c>
      <c r="V83" s="64"/>
      <c r="W83" s="66" t="str">
        <f aca="false">IF(OR(Q83="",S83=""),"",Q83*S83*U83)</f>
        <v/>
      </c>
      <c r="X83" s="65" t="str">
        <f aca="false">IF(OR(W83="",N(Q83)=0),"",W83/Q83)</f>
        <v/>
      </c>
      <c r="Y83" s="65" t="str">
        <f aca="false">IF(OR(X83="",P83="",E83=""),"",IF(_xlfn.MAXIFS($P$6:$P$205,$E$6:$E$205,E83,$P$6:$P$205,"&lt;"&amp;P83,$X$6:$X$205,"&gt;0")=0,"",IFERROR(AVERAGEIFS($X$6:$X$205,$E$6:$E$205,E83,$P$6:$P$205,_xlfn.MAXIFS($P$6:$P$205,$E$6:$E$205,E83,$P$6:$P$205,"&lt;"&amp;P83,$X$6:$X$205,"&gt;0"),$X$6:$X$205,"&gt;0"),"")))</f>
        <v/>
      </c>
      <c r="Z83" s="67" t="str">
        <f aca="false">IF(OR(Y83="",X83=""),"",X83/Y83-1)</f>
        <v/>
      </c>
      <c r="AA83" s="68" t="str">
        <f aca="false">IF(OR(W83="",V83=""),"",W83-Q83*V83)</f>
        <v/>
      </c>
      <c r="AB83" s="69" t="str">
        <f aca="false">IF(AA83="","",IF(N(V83)*N(Q83)=0,"",AA83/(Q83*V83)))</f>
        <v/>
      </c>
      <c r="AC83" s="70"/>
      <c r="AD83" s="66" t="str">
        <f aca="false">IF(W83="","",W83*(1+N(AC83)))</f>
        <v/>
      </c>
      <c r="AE83" s="62"/>
      <c r="AF83" s="71"/>
      <c r="AG83" s="71"/>
      <c r="AH83" s="71"/>
      <c r="AI83" s="66" t="str">
        <f aca="false">IF(A83="","",N(AF83)+N(AG83)+N(AH83))</f>
        <v/>
      </c>
      <c r="AJ83" s="72" t="str">
        <f aca="false">IF(AD83="","",IF(N(AD83)=0,"",AI83/AD83))</f>
        <v/>
      </c>
      <c r="AK83" s="66" t="str">
        <f aca="false">IF(AD83="","",IF(AD83-AI83&lt;1,0,ROUND(AD83-AI83,2)))</f>
        <v/>
      </c>
      <c r="AL83" s="66" t="str">
        <f aca="false">IF(OR(O83="",AD83=""),"",MAX(0,ROUND(N(AI83)-(AD83-N(AW83)),0)))</f>
        <v/>
      </c>
      <c r="AM83" s="73" t="str">
        <f aca="false">IF(A83="","",IF(O83="","No PO Yet",IF(AI83=0,"Not Paid",IF(N(AJ83)&gt;=0.999,"Fully Paid",IF(N(AG83)+N(AH83)&gt;0,"Partially Paid","Initial / Advance Paid")))))</f>
        <v/>
      </c>
      <c r="AN83" s="61"/>
      <c r="AO83" s="61"/>
      <c r="AP83" s="74" t="str">
        <f aca="false">IF(AK83="","",IF(OR(N(AK83)=0,AO83=""),"",MAX(0,Settings!$B$4-AO83)))</f>
        <v/>
      </c>
      <c r="AQ83" s="73" t="str">
        <f aca="false">IF(AK83="","",IF(N(AK83)&lt;=0,"",IF(AO83="","No Due Date",IF(Settings!$B$4&lt;=AO83,"Not Yet Due",IF(Settings!$B$4-AO83&lt;=30,"1-30 Days",IF(Settings!$B$4-AO83&lt;=60,"31-60 Days",IF(Settings!$B$4-AO83&lt;=90,"61-90 Days","90+ Days")))))))</f>
        <v/>
      </c>
      <c r="AR83" s="61"/>
      <c r="AS83" s="61"/>
      <c r="AT83" s="63"/>
      <c r="AU83" s="72" t="str">
        <f aca="false">IF(Q83="","",IF(N(Q83)=0,"",N(AT83)/Q83))</f>
        <v/>
      </c>
      <c r="AV83" s="75" t="str">
        <f aca="false">IF(OR(A83="",O83="",Q83=""),"",MAX(0,Q83-N(AT83)))</f>
        <v/>
      </c>
      <c r="AW83" s="66" t="str">
        <f aca="false">IF(OR(AV83="",W83=""),"",IF(N(Q83)=0,0,AV83/Q83*AD83))</f>
        <v/>
      </c>
      <c r="AX83" s="76" t="str">
        <f aca="false">IF(A83="","",IF(O83="","No PO Yet",IF(Q83="","Order Qty Missing",IF(N(AT83)&gt;=Q83,IF(N(AT83)&gt;Q83,"All In-house (+"&amp;TEXT(N(AT83)-Q83,"#,##0")&amp;" "&amp;R83&amp;" excess)","All In-house"),IF(AY83&lt;&gt;"","Short Closed - "&amp;TEXT(AV83,"#,##0")&amp;" "&amp;R83&amp;" not received",IF(N(AT83)=0,"Not Started - "&amp;TEXT(AV83,"#,##0")&amp;" "&amp;R83&amp;" pending","Pending "&amp;TEXT(AV83,"#,##0")&amp;" "&amp;R83&amp;" ("&amp;TEXT(AU83,"0%")&amp;" received)"))))))</f>
        <v/>
      </c>
      <c r="AY83" s="61"/>
      <c r="AZ83" s="77" t="str">
        <f aca="false">IF(OR(B83="",J83=""),"",J83-B83)</f>
        <v/>
      </c>
      <c r="BA83" s="77" t="str">
        <f aca="false">IF(OR(J83="",P83=""),"",P83-J83)</f>
        <v/>
      </c>
      <c r="BB83" s="77" t="str">
        <f aca="false">IF(OR(P83="",AY83=""),"",AY83-P83)</f>
        <v/>
      </c>
      <c r="BC83" s="77" t="str">
        <f aca="false">IF(OR(B83="",AY83=""),"",AY83-B83)</f>
        <v/>
      </c>
      <c r="BD83" s="74" t="str">
        <f aca="false">IF(OR(AR83="",O83=""),"",MAX(0,IF(AY83="",Settings!$B$4,AY83)-AR83))</f>
        <v/>
      </c>
      <c r="BE83" s="73" t="str">
        <f aca="false">IF(OR(AY83="",AR83=""),"",IF(AND(AY83&lt;=AR83,N(AU83)&gt;=Settings!$B$6),"OTIF","Not OTIF"))</f>
        <v/>
      </c>
      <c r="BF83" s="60"/>
      <c r="BG83" s="62"/>
      <c r="BH83" s="78"/>
      <c r="BI83" s="76" t="str">
        <f aca="false">IF(A83="","",IF(K83="Rejected","Rejected",IF(K83&lt;&gt;"Approved","Awaiting Approval",IF(O83="","Approved - PO Pending",IF(AY83&lt;&gt;"",IF(N(AJ83)&gt;=0.999,"Closed","In-house Closed - Payment Due"),IF(AS83&lt;&gt;"","Receiving In-house","PO Issued - Awaiting Delivery"))))))</f>
        <v/>
      </c>
      <c r="BJ83" s="76" t="str">
        <f aca="false">IF(A83="","",IF(IF(AND(A83&lt;&gt;"",OR(B83="",C83="",E83="",F83="",H83="")),"PR info missing; ","")&amp;IF(AND(K83="Approved",OR(J83="",I83="")),"Approval ref/date missing; ","")&amp;IF(AND(O83&lt;&gt;"",K83&lt;&gt;"Approved"),"PO without approval; ","")&amp;IF(AND(O83&lt;&gt;"",OR(P83="",M83="",Q83="",S83="",T83="")),"PO details missing; ","")&amp;IF(AND(O83&lt;&gt;"",AR83=""),"Committed date missing; ","")&amp;IF(AND(ISNUMBER(J83),ISNUMBER(B83),N(J83)&lt;N(B83)),"Approval dated before PR; ","")&amp;IF(AND(ISNUMBER(P83),ISNUMBER(J83),N(P83)&lt;N(J83)),"PO dated before approval; ","")&amp;IF(AND(ISNUMBER(AY83),ISNUMBER(AS83),N(AY83)&lt;N(AS83)),"Close before in-house start; ","")&amp;IF(AND(AY83&lt;&gt;"",AS83=""),"In-house start date missing; ","")&amp;IF(AND(AY83&lt;&gt;"",AT83=""),"Qty received missing; ","")&amp;IF(AND(AY83&lt;&gt;"",BF83=""),"QC status missing; ","")&amp;IF(N(AT83)&gt;N(Q83)*1.05,"Received &gt; ordered +5%; ","")&amp;IF(AND(N(AI83)&gt;0,AE83=""),"Payment terms missing; ","")&amp;IF(N(AI83)&gt;N(AD83)+1,"Overpaid vs PO; ","")&amp;IF(AND(N(AK83)&gt;0,AY83&lt;&gt;"",AO83=""),"Payment due date missing; ","")="","OK",IF(AND(A83&lt;&gt;"",OR(B83="",C83="",E83="",F83="",H83="")),"PR info missing; ","")&amp;IF(AND(K83="Approved",OR(J83="",I83="")),"Approval ref/date missing; ","")&amp;IF(AND(O83&lt;&gt;"",K83&lt;&gt;"Approved"),"PO without approval; ","")&amp;IF(AND(O83&lt;&gt;"",OR(P83="",M83="",Q83="",S83="",T83="")),"PO details missing; ","")&amp;IF(AND(O83&lt;&gt;"",AR83=""),"Committed date missing; ","")&amp;IF(AND(ISNUMBER(J83),ISNUMBER(B83),N(J83)&lt;N(B83)),"Approval dated before PR; ","")&amp;IF(AND(ISNUMBER(P83),ISNUMBER(J83),N(P83)&lt;N(J83)),"PO dated before approval; ","")&amp;IF(AND(ISNUMBER(AY83),ISNUMBER(AS83),N(AY83)&lt;N(AS83)),"Close before in-house start; ","")&amp;IF(AND(AY83&lt;&gt;"",AS83=""),"In-house start date missing; ","")&amp;IF(AND(AY83&lt;&gt;"",AT83=""),"Qty received missing; ","")&amp;IF(AND(AY83&lt;&gt;"",BF83=""),"QC status missing; ","")&amp;IF(N(AT83)&gt;N(Q83)*1.05,"Received &gt; ordered +5%; ","")&amp;IF(AND(N(AI83)&gt;0,AE83=""),"Payment terms missing; ","")&amp;IF(N(AI83)&gt;N(AD83)+1,"Overpaid vs PO; ","")&amp;IF(AND(N(AK83)&gt;0,AY83&lt;&gt;"",AO83=""),"Payment due date missing; ","")))</f>
        <v/>
      </c>
      <c r="BK83" s="76" t="str">
        <f aca="false">IF(A83="","",IF(N(AP83)&gt;0,"Pay supplier: "&amp;N(AP83)&amp;" days overdue; ","")&amp;IF(AND(O83&lt;&gt;"",AY83="",N(BD83)&gt;0),"Expedite delivery: "&amp;N(BD83)&amp;" days late; ","")&amp;IF(AND(BI83="Awaiting Approval",ISNUMBER(B83),Settings!$B$4-N(B83)&gt;Settings!$B$19),"Get approval: PR waiting "&amp;(Settings!$B$4-N(B83))&amp;" days; ","")&amp;IF(AND(BI83="Approved - PO Pending",ISNUMBER(J83),Settings!$B$4-N(J83)&gt;Settings!$B$20),"Issue PO: approved "&amp;(Settings!$B$4-N(J83))&amp;" days ago; ","")&amp;IF(AND(OR(BI83="Awaiting Approval",BI83="Approved - PO Pending"),N(AB83)&gt;Settings!$B$7),"Negotiate price: "&amp;TEXT(AB83,"0%")&amp;" above budget; ","")&amp;IF(LEFT(AX83,12)="Short Closed","Short closed: claim balance / credit note"&amp;IF(N(AL83)&gt;0," BDT "&amp;TEXT(AL83,"#,##0"),"")&amp;"; ","")&amp;IF(BF83="Rejected","QC rejected: return / replace; ","")&amp;IF(AND(O83&lt;&gt;"",AY83="",N(AL83)&gt;0,N(BD83)&gt;0),"Advance at risk: BDT "&amp;TEXT(AL83,"#,##0")&amp;" paid, goods late; ","")&amp;IF(AND(BJ83&lt;&gt;"",BJ83&lt;&gt;"OK"),"Fix data entry (see Data Check); ",""))</f>
        <v/>
      </c>
      <c r="BL83" s="73" t="str">
        <f aca="false">IF(BK83="","",IF(OR(N(AP83)&gt;30,AND(AY83="",N(BD83)&gt;15),BF83="Rejected",AND(LEFT(AX83,12)="Short Closed",N(AL83)&gt;0),AND(O83&lt;&gt;"",AY83="",N(AL83)&gt;0,N(BD83)&gt;0)),"High",IF(OR(N(AP83)&gt;0,AND(AY83="",N(BD83)&gt;7),LEFT(AX83,12)="Short Closed",AND(BI83="Awaiting Approval",ISNUMBER(B83),Settings!$B$4-N(B83)&gt;2*Settings!$B$19),AND(BI83="Approved - PO Pending",ISNUMBER(J83),Settings!$B$4-N(J83)&gt;2*Settings!$B$20)),"Medium","Low")))</f>
        <v/>
      </c>
      <c r="BM83" s="77" t="str">
        <f aca="false">IF(BL83="","",IF(BL83="High",1,IF(BL83="Medium",2,3))*10000+ROW())</f>
        <v/>
      </c>
      <c r="BN83" s="62"/>
    </row>
    <row r="84" customFormat="false" ht="18" hidden="false" customHeight="true" outlineLevel="0" collapsed="false">
      <c r="A84" s="60"/>
      <c r="B84" s="61"/>
      <c r="C84" s="62"/>
      <c r="D84" s="62"/>
      <c r="E84" s="62"/>
      <c r="F84" s="62"/>
      <c r="G84" s="62"/>
      <c r="H84" s="60"/>
      <c r="I84" s="60"/>
      <c r="J84" s="61"/>
      <c r="K84" s="60"/>
      <c r="L84" s="60"/>
      <c r="M84" s="62"/>
      <c r="N84" s="60"/>
      <c r="O84" s="60"/>
      <c r="P84" s="61"/>
      <c r="Q84" s="63"/>
      <c r="R84" s="60"/>
      <c r="S84" s="64"/>
      <c r="T84" s="60"/>
      <c r="U84" s="65" t="str">
        <f aca="false">IF(AND(T84="",S84=""),"",IF(T84="",1,IFERROR(INDEX(Settings!$B$12:$B$16,MATCH(T84,Settings!$A$12:$A$16,0)),1)))</f>
        <v/>
      </c>
      <c r="V84" s="64"/>
      <c r="W84" s="66" t="str">
        <f aca="false">IF(OR(Q84="",S84=""),"",Q84*S84*U84)</f>
        <v/>
      </c>
      <c r="X84" s="65" t="str">
        <f aca="false">IF(OR(W84="",N(Q84)=0),"",W84/Q84)</f>
        <v/>
      </c>
      <c r="Y84" s="65" t="str">
        <f aca="false">IF(OR(X84="",P84="",E84=""),"",IF(_xlfn.MAXIFS($P$6:$P$205,$E$6:$E$205,E84,$P$6:$P$205,"&lt;"&amp;P84,$X$6:$X$205,"&gt;0")=0,"",IFERROR(AVERAGEIFS($X$6:$X$205,$E$6:$E$205,E84,$P$6:$P$205,_xlfn.MAXIFS($P$6:$P$205,$E$6:$E$205,E84,$P$6:$P$205,"&lt;"&amp;P84,$X$6:$X$205,"&gt;0"),$X$6:$X$205,"&gt;0"),"")))</f>
        <v/>
      </c>
      <c r="Z84" s="67" t="str">
        <f aca="false">IF(OR(Y84="",X84=""),"",X84/Y84-1)</f>
        <v/>
      </c>
      <c r="AA84" s="68" t="str">
        <f aca="false">IF(OR(W84="",V84=""),"",W84-Q84*V84)</f>
        <v/>
      </c>
      <c r="AB84" s="69" t="str">
        <f aca="false">IF(AA84="","",IF(N(V84)*N(Q84)=0,"",AA84/(Q84*V84)))</f>
        <v/>
      </c>
      <c r="AC84" s="70"/>
      <c r="AD84" s="66" t="str">
        <f aca="false">IF(W84="","",W84*(1+N(AC84)))</f>
        <v/>
      </c>
      <c r="AE84" s="62"/>
      <c r="AF84" s="71"/>
      <c r="AG84" s="71"/>
      <c r="AH84" s="71"/>
      <c r="AI84" s="66" t="str">
        <f aca="false">IF(A84="","",N(AF84)+N(AG84)+N(AH84))</f>
        <v/>
      </c>
      <c r="AJ84" s="72" t="str">
        <f aca="false">IF(AD84="","",IF(N(AD84)=0,"",AI84/AD84))</f>
        <v/>
      </c>
      <c r="AK84" s="66" t="str">
        <f aca="false">IF(AD84="","",IF(AD84-AI84&lt;1,0,ROUND(AD84-AI84,2)))</f>
        <v/>
      </c>
      <c r="AL84" s="66" t="str">
        <f aca="false">IF(OR(O84="",AD84=""),"",MAX(0,ROUND(N(AI84)-(AD84-N(AW84)),0)))</f>
        <v/>
      </c>
      <c r="AM84" s="73" t="str">
        <f aca="false">IF(A84="","",IF(O84="","No PO Yet",IF(AI84=0,"Not Paid",IF(N(AJ84)&gt;=0.999,"Fully Paid",IF(N(AG84)+N(AH84)&gt;0,"Partially Paid","Initial / Advance Paid")))))</f>
        <v/>
      </c>
      <c r="AN84" s="61"/>
      <c r="AO84" s="61"/>
      <c r="AP84" s="74" t="str">
        <f aca="false">IF(AK84="","",IF(OR(N(AK84)=0,AO84=""),"",MAX(0,Settings!$B$4-AO84)))</f>
        <v/>
      </c>
      <c r="AQ84" s="73" t="str">
        <f aca="false">IF(AK84="","",IF(N(AK84)&lt;=0,"",IF(AO84="","No Due Date",IF(Settings!$B$4&lt;=AO84,"Not Yet Due",IF(Settings!$B$4-AO84&lt;=30,"1-30 Days",IF(Settings!$B$4-AO84&lt;=60,"31-60 Days",IF(Settings!$B$4-AO84&lt;=90,"61-90 Days","90+ Days")))))))</f>
        <v/>
      </c>
      <c r="AR84" s="61"/>
      <c r="AS84" s="61"/>
      <c r="AT84" s="63"/>
      <c r="AU84" s="72" t="str">
        <f aca="false">IF(Q84="","",IF(N(Q84)=0,"",N(AT84)/Q84))</f>
        <v/>
      </c>
      <c r="AV84" s="75" t="str">
        <f aca="false">IF(OR(A84="",O84="",Q84=""),"",MAX(0,Q84-N(AT84)))</f>
        <v/>
      </c>
      <c r="AW84" s="66" t="str">
        <f aca="false">IF(OR(AV84="",W84=""),"",IF(N(Q84)=0,0,AV84/Q84*AD84))</f>
        <v/>
      </c>
      <c r="AX84" s="76" t="str">
        <f aca="false">IF(A84="","",IF(O84="","No PO Yet",IF(Q84="","Order Qty Missing",IF(N(AT84)&gt;=Q84,IF(N(AT84)&gt;Q84,"All In-house (+"&amp;TEXT(N(AT84)-Q84,"#,##0")&amp;" "&amp;R84&amp;" excess)","All In-house"),IF(AY84&lt;&gt;"","Short Closed - "&amp;TEXT(AV84,"#,##0")&amp;" "&amp;R84&amp;" not received",IF(N(AT84)=0,"Not Started - "&amp;TEXT(AV84,"#,##0")&amp;" "&amp;R84&amp;" pending","Pending "&amp;TEXT(AV84,"#,##0")&amp;" "&amp;R84&amp;" ("&amp;TEXT(AU84,"0%")&amp;" received)"))))))</f>
        <v/>
      </c>
      <c r="AY84" s="61"/>
      <c r="AZ84" s="77" t="str">
        <f aca="false">IF(OR(B84="",J84=""),"",J84-B84)</f>
        <v/>
      </c>
      <c r="BA84" s="77" t="str">
        <f aca="false">IF(OR(J84="",P84=""),"",P84-J84)</f>
        <v/>
      </c>
      <c r="BB84" s="77" t="str">
        <f aca="false">IF(OR(P84="",AY84=""),"",AY84-P84)</f>
        <v/>
      </c>
      <c r="BC84" s="77" t="str">
        <f aca="false">IF(OR(B84="",AY84=""),"",AY84-B84)</f>
        <v/>
      </c>
      <c r="BD84" s="74" t="str">
        <f aca="false">IF(OR(AR84="",O84=""),"",MAX(0,IF(AY84="",Settings!$B$4,AY84)-AR84))</f>
        <v/>
      </c>
      <c r="BE84" s="73" t="str">
        <f aca="false">IF(OR(AY84="",AR84=""),"",IF(AND(AY84&lt;=AR84,N(AU84)&gt;=Settings!$B$6),"OTIF","Not OTIF"))</f>
        <v/>
      </c>
      <c r="BF84" s="60"/>
      <c r="BG84" s="62"/>
      <c r="BH84" s="78"/>
      <c r="BI84" s="76" t="str">
        <f aca="false">IF(A84="","",IF(K84="Rejected","Rejected",IF(K84&lt;&gt;"Approved","Awaiting Approval",IF(O84="","Approved - PO Pending",IF(AY84&lt;&gt;"",IF(N(AJ84)&gt;=0.999,"Closed","In-house Closed - Payment Due"),IF(AS84&lt;&gt;"","Receiving In-house","PO Issued - Awaiting Delivery"))))))</f>
        <v/>
      </c>
      <c r="BJ84" s="76" t="str">
        <f aca="false">IF(A84="","",IF(IF(AND(A84&lt;&gt;"",OR(B84="",C84="",E84="",F84="",H84="")),"PR info missing; ","")&amp;IF(AND(K84="Approved",OR(J84="",I84="")),"Approval ref/date missing; ","")&amp;IF(AND(O84&lt;&gt;"",K84&lt;&gt;"Approved"),"PO without approval; ","")&amp;IF(AND(O84&lt;&gt;"",OR(P84="",M84="",Q84="",S84="",T84="")),"PO details missing; ","")&amp;IF(AND(O84&lt;&gt;"",AR84=""),"Committed date missing; ","")&amp;IF(AND(ISNUMBER(J84),ISNUMBER(B84),N(J84)&lt;N(B84)),"Approval dated before PR; ","")&amp;IF(AND(ISNUMBER(P84),ISNUMBER(J84),N(P84)&lt;N(J84)),"PO dated before approval; ","")&amp;IF(AND(ISNUMBER(AY84),ISNUMBER(AS84),N(AY84)&lt;N(AS84)),"Close before in-house start; ","")&amp;IF(AND(AY84&lt;&gt;"",AS84=""),"In-house start date missing; ","")&amp;IF(AND(AY84&lt;&gt;"",AT84=""),"Qty received missing; ","")&amp;IF(AND(AY84&lt;&gt;"",BF84=""),"QC status missing; ","")&amp;IF(N(AT84)&gt;N(Q84)*1.05,"Received &gt; ordered +5%; ","")&amp;IF(AND(N(AI84)&gt;0,AE84=""),"Payment terms missing; ","")&amp;IF(N(AI84)&gt;N(AD84)+1,"Overpaid vs PO; ","")&amp;IF(AND(N(AK84)&gt;0,AY84&lt;&gt;"",AO84=""),"Payment due date missing; ","")="","OK",IF(AND(A84&lt;&gt;"",OR(B84="",C84="",E84="",F84="",H84="")),"PR info missing; ","")&amp;IF(AND(K84="Approved",OR(J84="",I84="")),"Approval ref/date missing; ","")&amp;IF(AND(O84&lt;&gt;"",K84&lt;&gt;"Approved"),"PO without approval; ","")&amp;IF(AND(O84&lt;&gt;"",OR(P84="",M84="",Q84="",S84="",T84="")),"PO details missing; ","")&amp;IF(AND(O84&lt;&gt;"",AR84=""),"Committed date missing; ","")&amp;IF(AND(ISNUMBER(J84),ISNUMBER(B84),N(J84)&lt;N(B84)),"Approval dated before PR; ","")&amp;IF(AND(ISNUMBER(P84),ISNUMBER(J84),N(P84)&lt;N(J84)),"PO dated before approval; ","")&amp;IF(AND(ISNUMBER(AY84),ISNUMBER(AS84),N(AY84)&lt;N(AS84)),"Close before in-house start; ","")&amp;IF(AND(AY84&lt;&gt;"",AS84=""),"In-house start date missing; ","")&amp;IF(AND(AY84&lt;&gt;"",AT84=""),"Qty received missing; ","")&amp;IF(AND(AY84&lt;&gt;"",BF84=""),"QC status missing; ","")&amp;IF(N(AT84)&gt;N(Q84)*1.05,"Received &gt; ordered +5%; ","")&amp;IF(AND(N(AI84)&gt;0,AE84=""),"Payment terms missing; ","")&amp;IF(N(AI84)&gt;N(AD84)+1,"Overpaid vs PO; ","")&amp;IF(AND(N(AK84)&gt;0,AY84&lt;&gt;"",AO84=""),"Payment due date missing; ","")))</f>
        <v/>
      </c>
      <c r="BK84" s="76" t="str">
        <f aca="false">IF(A84="","",IF(N(AP84)&gt;0,"Pay supplier: "&amp;N(AP84)&amp;" days overdue; ","")&amp;IF(AND(O84&lt;&gt;"",AY84="",N(BD84)&gt;0),"Expedite delivery: "&amp;N(BD84)&amp;" days late; ","")&amp;IF(AND(BI84="Awaiting Approval",ISNUMBER(B84),Settings!$B$4-N(B84)&gt;Settings!$B$19),"Get approval: PR waiting "&amp;(Settings!$B$4-N(B84))&amp;" days; ","")&amp;IF(AND(BI84="Approved - PO Pending",ISNUMBER(J84),Settings!$B$4-N(J84)&gt;Settings!$B$20),"Issue PO: approved "&amp;(Settings!$B$4-N(J84))&amp;" days ago; ","")&amp;IF(AND(OR(BI84="Awaiting Approval",BI84="Approved - PO Pending"),N(AB84)&gt;Settings!$B$7),"Negotiate price: "&amp;TEXT(AB84,"0%")&amp;" above budget; ","")&amp;IF(LEFT(AX84,12)="Short Closed","Short closed: claim balance / credit note"&amp;IF(N(AL84)&gt;0," BDT "&amp;TEXT(AL84,"#,##0"),"")&amp;"; ","")&amp;IF(BF84="Rejected","QC rejected: return / replace; ","")&amp;IF(AND(O84&lt;&gt;"",AY84="",N(AL84)&gt;0,N(BD84)&gt;0),"Advance at risk: BDT "&amp;TEXT(AL84,"#,##0")&amp;" paid, goods late; ","")&amp;IF(AND(BJ84&lt;&gt;"",BJ84&lt;&gt;"OK"),"Fix data entry (see Data Check); ",""))</f>
        <v/>
      </c>
      <c r="BL84" s="73" t="str">
        <f aca="false">IF(BK84="","",IF(OR(N(AP84)&gt;30,AND(AY84="",N(BD84)&gt;15),BF84="Rejected",AND(LEFT(AX84,12)="Short Closed",N(AL84)&gt;0),AND(O84&lt;&gt;"",AY84="",N(AL84)&gt;0,N(BD84)&gt;0)),"High",IF(OR(N(AP84)&gt;0,AND(AY84="",N(BD84)&gt;7),LEFT(AX84,12)="Short Closed",AND(BI84="Awaiting Approval",ISNUMBER(B84),Settings!$B$4-N(B84)&gt;2*Settings!$B$19),AND(BI84="Approved - PO Pending",ISNUMBER(J84),Settings!$B$4-N(J84)&gt;2*Settings!$B$20)),"Medium","Low")))</f>
        <v/>
      </c>
      <c r="BM84" s="77" t="str">
        <f aca="false">IF(BL84="","",IF(BL84="High",1,IF(BL84="Medium",2,3))*10000+ROW())</f>
        <v/>
      </c>
      <c r="BN84" s="62"/>
    </row>
    <row r="85" customFormat="false" ht="18" hidden="false" customHeight="true" outlineLevel="0" collapsed="false">
      <c r="A85" s="60"/>
      <c r="B85" s="61"/>
      <c r="C85" s="62"/>
      <c r="D85" s="62"/>
      <c r="E85" s="62"/>
      <c r="F85" s="62"/>
      <c r="G85" s="62"/>
      <c r="H85" s="60"/>
      <c r="I85" s="60"/>
      <c r="J85" s="61"/>
      <c r="K85" s="60"/>
      <c r="L85" s="60"/>
      <c r="M85" s="62"/>
      <c r="N85" s="60"/>
      <c r="O85" s="60"/>
      <c r="P85" s="61"/>
      <c r="Q85" s="63"/>
      <c r="R85" s="60"/>
      <c r="S85" s="64"/>
      <c r="T85" s="60"/>
      <c r="U85" s="65" t="str">
        <f aca="false">IF(AND(T85="",S85=""),"",IF(T85="",1,IFERROR(INDEX(Settings!$B$12:$B$16,MATCH(T85,Settings!$A$12:$A$16,0)),1)))</f>
        <v/>
      </c>
      <c r="V85" s="64"/>
      <c r="W85" s="66" t="str">
        <f aca="false">IF(OR(Q85="",S85=""),"",Q85*S85*U85)</f>
        <v/>
      </c>
      <c r="X85" s="65" t="str">
        <f aca="false">IF(OR(W85="",N(Q85)=0),"",W85/Q85)</f>
        <v/>
      </c>
      <c r="Y85" s="65" t="str">
        <f aca="false">IF(OR(X85="",P85="",E85=""),"",IF(_xlfn.MAXIFS($P$6:$P$205,$E$6:$E$205,E85,$P$6:$P$205,"&lt;"&amp;P85,$X$6:$X$205,"&gt;0")=0,"",IFERROR(AVERAGEIFS($X$6:$X$205,$E$6:$E$205,E85,$P$6:$P$205,_xlfn.MAXIFS($P$6:$P$205,$E$6:$E$205,E85,$P$6:$P$205,"&lt;"&amp;P85,$X$6:$X$205,"&gt;0"),$X$6:$X$205,"&gt;0"),"")))</f>
        <v/>
      </c>
      <c r="Z85" s="67" t="str">
        <f aca="false">IF(OR(Y85="",X85=""),"",X85/Y85-1)</f>
        <v/>
      </c>
      <c r="AA85" s="68" t="str">
        <f aca="false">IF(OR(W85="",V85=""),"",W85-Q85*V85)</f>
        <v/>
      </c>
      <c r="AB85" s="69" t="str">
        <f aca="false">IF(AA85="","",IF(N(V85)*N(Q85)=0,"",AA85/(Q85*V85)))</f>
        <v/>
      </c>
      <c r="AC85" s="70"/>
      <c r="AD85" s="66" t="str">
        <f aca="false">IF(W85="","",W85*(1+N(AC85)))</f>
        <v/>
      </c>
      <c r="AE85" s="62"/>
      <c r="AF85" s="71"/>
      <c r="AG85" s="71"/>
      <c r="AH85" s="71"/>
      <c r="AI85" s="66" t="str">
        <f aca="false">IF(A85="","",N(AF85)+N(AG85)+N(AH85))</f>
        <v/>
      </c>
      <c r="AJ85" s="72" t="str">
        <f aca="false">IF(AD85="","",IF(N(AD85)=0,"",AI85/AD85))</f>
        <v/>
      </c>
      <c r="AK85" s="66" t="str">
        <f aca="false">IF(AD85="","",IF(AD85-AI85&lt;1,0,ROUND(AD85-AI85,2)))</f>
        <v/>
      </c>
      <c r="AL85" s="66" t="str">
        <f aca="false">IF(OR(O85="",AD85=""),"",MAX(0,ROUND(N(AI85)-(AD85-N(AW85)),0)))</f>
        <v/>
      </c>
      <c r="AM85" s="73" t="str">
        <f aca="false">IF(A85="","",IF(O85="","No PO Yet",IF(AI85=0,"Not Paid",IF(N(AJ85)&gt;=0.999,"Fully Paid",IF(N(AG85)+N(AH85)&gt;0,"Partially Paid","Initial / Advance Paid")))))</f>
        <v/>
      </c>
      <c r="AN85" s="61"/>
      <c r="AO85" s="61"/>
      <c r="AP85" s="74" t="str">
        <f aca="false">IF(AK85="","",IF(OR(N(AK85)=0,AO85=""),"",MAX(0,Settings!$B$4-AO85)))</f>
        <v/>
      </c>
      <c r="AQ85" s="73" t="str">
        <f aca="false">IF(AK85="","",IF(N(AK85)&lt;=0,"",IF(AO85="","No Due Date",IF(Settings!$B$4&lt;=AO85,"Not Yet Due",IF(Settings!$B$4-AO85&lt;=30,"1-30 Days",IF(Settings!$B$4-AO85&lt;=60,"31-60 Days",IF(Settings!$B$4-AO85&lt;=90,"61-90 Days","90+ Days")))))))</f>
        <v/>
      </c>
      <c r="AR85" s="61"/>
      <c r="AS85" s="61"/>
      <c r="AT85" s="63"/>
      <c r="AU85" s="72" t="str">
        <f aca="false">IF(Q85="","",IF(N(Q85)=0,"",N(AT85)/Q85))</f>
        <v/>
      </c>
      <c r="AV85" s="75" t="str">
        <f aca="false">IF(OR(A85="",O85="",Q85=""),"",MAX(0,Q85-N(AT85)))</f>
        <v/>
      </c>
      <c r="AW85" s="66" t="str">
        <f aca="false">IF(OR(AV85="",W85=""),"",IF(N(Q85)=0,0,AV85/Q85*AD85))</f>
        <v/>
      </c>
      <c r="AX85" s="76" t="str">
        <f aca="false">IF(A85="","",IF(O85="","No PO Yet",IF(Q85="","Order Qty Missing",IF(N(AT85)&gt;=Q85,IF(N(AT85)&gt;Q85,"All In-house (+"&amp;TEXT(N(AT85)-Q85,"#,##0")&amp;" "&amp;R85&amp;" excess)","All In-house"),IF(AY85&lt;&gt;"","Short Closed - "&amp;TEXT(AV85,"#,##0")&amp;" "&amp;R85&amp;" not received",IF(N(AT85)=0,"Not Started - "&amp;TEXT(AV85,"#,##0")&amp;" "&amp;R85&amp;" pending","Pending "&amp;TEXT(AV85,"#,##0")&amp;" "&amp;R85&amp;" ("&amp;TEXT(AU85,"0%")&amp;" received)"))))))</f>
        <v/>
      </c>
      <c r="AY85" s="61"/>
      <c r="AZ85" s="77" t="str">
        <f aca="false">IF(OR(B85="",J85=""),"",J85-B85)</f>
        <v/>
      </c>
      <c r="BA85" s="77" t="str">
        <f aca="false">IF(OR(J85="",P85=""),"",P85-J85)</f>
        <v/>
      </c>
      <c r="BB85" s="77" t="str">
        <f aca="false">IF(OR(P85="",AY85=""),"",AY85-P85)</f>
        <v/>
      </c>
      <c r="BC85" s="77" t="str">
        <f aca="false">IF(OR(B85="",AY85=""),"",AY85-B85)</f>
        <v/>
      </c>
      <c r="BD85" s="74" t="str">
        <f aca="false">IF(OR(AR85="",O85=""),"",MAX(0,IF(AY85="",Settings!$B$4,AY85)-AR85))</f>
        <v/>
      </c>
      <c r="BE85" s="73" t="str">
        <f aca="false">IF(OR(AY85="",AR85=""),"",IF(AND(AY85&lt;=AR85,N(AU85)&gt;=Settings!$B$6),"OTIF","Not OTIF"))</f>
        <v/>
      </c>
      <c r="BF85" s="60"/>
      <c r="BG85" s="62"/>
      <c r="BH85" s="78"/>
      <c r="BI85" s="76" t="str">
        <f aca="false">IF(A85="","",IF(K85="Rejected","Rejected",IF(K85&lt;&gt;"Approved","Awaiting Approval",IF(O85="","Approved - PO Pending",IF(AY85&lt;&gt;"",IF(N(AJ85)&gt;=0.999,"Closed","In-house Closed - Payment Due"),IF(AS85&lt;&gt;"","Receiving In-house","PO Issued - Awaiting Delivery"))))))</f>
        <v/>
      </c>
      <c r="BJ85" s="76" t="str">
        <f aca="false">IF(A85="","",IF(IF(AND(A85&lt;&gt;"",OR(B85="",C85="",E85="",F85="",H85="")),"PR info missing; ","")&amp;IF(AND(K85="Approved",OR(J85="",I85="")),"Approval ref/date missing; ","")&amp;IF(AND(O85&lt;&gt;"",K85&lt;&gt;"Approved"),"PO without approval; ","")&amp;IF(AND(O85&lt;&gt;"",OR(P85="",M85="",Q85="",S85="",T85="")),"PO details missing; ","")&amp;IF(AND(O85&lt;&gt;"",AR85=""),"Committed date missing; ","")&amp;IF(AND(ISNUMBER(J85),ISNUMBER(B85),N(J85)&lt;N(B85)),"Approval dated before PR; ","")&amp;IF(AND(ISNUMBER(P85),ISNUMBER(J85),N(P85)&lt;N(J85)),"PO dated before approval; ","")&amp;IF(AND(ISNUMBER(AY85),ISNUMBER(AS85),N(AY85)&lt;N(AS85)),"Close before in-house start; ","")&amp;IF(AND(AY85&lt;&gt;"",AS85=""),"In-house start date missing; ","")&amp;IF(AND(AY85&lt;&gt;"",AT85=""),"Qty received missing; ","")&amp;IF(AND(AY85&lt;&gt;"",BF85=""),"QC status missing; ","")&amp;IF(N(AT85)&gt;N(Q85)*1.05,"Received &gt; ordered +5%; ","")&amp;IF(AND(N(AI85)&gt;0,AE85=""),"Payment terms missing; ","")&amp;IF(N(AI85)&gt;N(AD85)+1,"Overpaid vs PO; ","")&amp;IF(AND(N(AK85)&gt;0,AY85&lt;&gt;"",AO85=""),"Payment due date missing; ","")="","OK",IF(AND(A85&lt;&gt;"",OR(B85="",C85="",E85="",F85="",H85="")),"PR info missing; ","")&amp;IF(AND(K85="Approved",OR(J85="",I85="")),"Approval ref/date missing; ","")&amp;IF(AND(O85&lt;&gt;"",K85&lt;&gt;"Approved"),"PO without approval; ","")&amp;IF(AND(O85&lt;&gt;"",OR(P85="",M85="",Q85="",S85="",T85="")),"PO details missing; ","")&amp;IF(AND(O85&lt;&gt;"",AR85=""),"Committed date missing; ","")&amp;IF(AND(ISNUMBER(J85),ISNUMBER(B85),N(J85)&lt;N(B85)),"Approval dated before PR; ","")&amp;IF(AND(ISNUMBER(P85),ISNUMBER(J85),N(P85)&lt;N(J85)),"PO dated before approval; ","")&amp;IF(AND(ISNUMBER(AY85),ISNUMBER(AS85),N(AY85)&lt;N(AS85)),"Close before in-house start; ","")&amp;IF(AND(AY85&lt;&gt;"",AS85=""),"In-house start date missing; ","")&amp;IF(AND(AY85&lt;&gt;"",AT85=""),"Qty received missing; ","")&amp;IF(AND(AY85&lt;&gt;"",BF85=""),"QC status missing; ","")&amp;IF(N(AT85)&gt;N(Q85)*1.05,"Received &gt; ordered +5%; ","")&amp;IF(AND(N(AI85)&gt;0,AE85=""),"Payment terms missing; ","")&amp;IF(N(AI85)&gt;N(AD85)+1,"Overpaid vs PO; ","")&amp;IF(AND(N(AK85)&gt;0,AY85&lt;&gt;"",AO85=""),"Payment due date missing; ","")))</f>
        <v/>
      </c>
      <c r="BK85" s="76" t="str">
        <f aca="false">IF(A85="","",IF(N(AP85)&gt;0,"Pay supplier: "&amp;N(AP85)&amp;" days overdue; ","")&amp;IF(AND(O85&lt;&gt;"",AY85="",N(BD85)&gt;0),"Expedite delivery: "&amp;N(BD85)&amp;" days late; ","")&amp;IF(AND(BI85="Awaiting Approval",ISNUMBER(B85),Settings!$B$4-N(B85)&gt;Settings!$B$19),"Get approval: PR waiting "&amp;(Settings!$B$4-N(B85))&amp;" days; ","")&amp;IF(AND(BI85="Approved - PO Pending",ISNUMBER(J85),Settings!$B$4-N(J85)&gt;Settings!$B$20),"Issue PO: approved "&amp;(Settings!$B$4-N(J85))&amp;" days ago; ","")&amp;IF(AND(OR(BI85="Awaiting Approval",BI85="Approved - PO Pending"),N(AB85)&gt;Settings!$B$7),"Negotiate price: "&amp;TEXT(AB85,"0%")&amp;" above budget; ","")&amp;IF(LEFT(AX85,12)="Short Closed","Short closed: claim balance / credit note"&amp;IF(N(AL85)&gt;0," BDT "&amp;TEXT(AL85,"#,##0"),"")&amp;"; ","")&amp;IF(BF85="Rejected","QC rejected: return / replace; ","")&amp;IF(AND(O85&lt;&gt;"",AY85="",N(AL85)&gt;0,N(BD85)&gt;0),"Advance at risk: BDT "&amp;TEXT(AL85,"#,##0")&amp;" paid, goods late; ","")&amp;IF(AND(BJ85&lt;&gt;"",BJ85&lt;&gt;"OK"),"Fix data entry (see Data Check); ",""))</f>
        <v/>
      </c>
      <c r="BL85" s="73" t="str">
        <f aca="false">IF(BK85="","",IF(OR(N(AP85)&gt;30,AND(AY85="",N(BD85)&gt;15),BF85="Rejected",AND(LEFT(AX85,12)="Short Closed",N(AL85)&gt;0),AND(O85&lt;&gt;"",AY85="",N(AL85)&gt;0,N(BD85)&gt;0)),"High",IF(OR(N(AP85)&gt;0,AND(AY85="",N(BD85)&gt;7),LEFT(AX85,12)="Short Closed",AND(BI85="Awaiting Approval",ISNUMBER(B85),Settings!$B$4-N(B85)&gt;2*Settings!$B$19),AND(BI85="Approved - PO Pending",ISNUMBER(J85),Settings!$B$4-N(J85)&gt;2*Settings!$B$20)),"Medium","Low")))</f>
        <v/>
      </c>
      <c r="BM85" s="77" t="str">
        <f aca="false">IF(BL85="","",IF(BL85="High",1,IF(BL85="Medium",2,3))*10000+ROW())</f>
        <v/>
      </c>
      <c r="BN85" s="62"/>
    </row>
    <row r="86" customFormat="false" ht="18" hidden="false" customHeight="true" outlineLevel="0" collapsed="false">
      <c r="A86" s="60"/>
      <c r="B86" s="61"/>
      <c r="C86" s="62"/>
      <c r="D86" s="62"/>
      <c r="E86" s="62"/>
      <c r="F86" s="62"/>
      <c r="G86" s="62"/>
      <c r="H86" s="60"/>
      <c r="I86" s="60"/>
      <c r="J86" s="61"/>
      <c r="K86" s="60"/>
      <c r="L86" s="60"/>
      <c r="M86" s="62"/>
      <c r="N86" s="60"/>
      <c r="O86" s="60"/>
      <c r="P86" s="61"/>
      <c r="Q86" s="63"/>
      <c r="R86" s="60"/>
      <c r="S86" s="64"/>
      <c r="T86" s="60"/>
      <c r="U86" s="65" t="str">
        <f aca="false">IF(AND(T86="",S86=""),"",IF(T86="",1,IFERROR(INDEX(Settings!$B$12:$B$16,MATCH(T86,Settings!$A$12:$A$16,0)),1)))</f>
        <v/>
      </c>
      <c r="V86" s="64"/>
      <c r="W86" s="66" t="str">
        <f aca="false">IF(OR(Q86="",S86=""),"",Q86*S86*U86)</f>
        <v/>
      </c>
      <c r="X86" s="65" t="str">
        <f aca="false">IF(OR(W86="",N(Q86)=0),"",W86/Q86)</f>
        <v/>
      </c>
      <c r="Y86" s="65" t="str">
        <f aca="false">IF(OR(X86="",P86="",E86=""),"",IF(_xlfn.MAXIFS($P$6:$P$205,$E$6:$E$205,E86,$P$6:$P$205,"&lt;"&amp;P86,$X$6:$X$205,"&gt;0")=0,"",IFERROR(AVERAGEIFS($X$6:$X$205,$E$6:$E$205,E86,$P$6:$P$205,_xlfn.MAXIFS($P$6:$P$205,$E$6:$E$205,E86,$P$6:$P$205,"&lt;"&amp;P86,$X$6:$X$205,"&gt;0"),$X$6:$X$205,"&gt;0"),"")))</f>
        <v/>
      </c>
      <c r="Z86" s="67" t="str">
        <f aca="false">IF(OR(Y86="",X86=""),"",X86/Y86-1)</f>
        <v/>
      </c>
      <c r="AA86" s="68" t="str">
        <f aca="false">IF(OR(W86="",V86=""),"",W86-Q86*V86)</f>
        <v/>
      </c>
      <c r="AB86" s="69" t="str">
        <f aca="false">IF(AA86="","",IF(N(V86)*N(Q86)=0,"",AA86/(Q86*V86)))</f>
        <v/>
      </c>
      <c r="AC86" s="70"/>
      <c r="AD86" s="66" t="str">
        <f aca="false">IF(W86="","",W86*(1+N(AC86)))</f>
        <v/>
      </c>
      <c r="AE86" s="62"/>
      <c r="AF86" s="71"/>
      <c r="AG86" s="71"/>
      <c r="AH86" s="71"/>
      <c r="AI86" s="66" t="str">
        <f aca="false">IF(A86="","",N(AF86)+N(AG86)+N(AH86))</f>
        <v/>
      </c>
      <c r="AJ86" s="72" t="str">
        <f aca="false">IF(AD86="","",IF(N(AD86)=0,"",AI86/AD86))</f>
        <v/>
      </c>
      <c r="AK86" s="66" t="str">
        <f aca="false">IF(AD86="","",IF(AD86-AI86&lt;1,0,ROUND(AD86-AI86,2)))</f>
        <v/>
      </c>
      <c r="AL86" s="66" t="str">
        <f aca="false">IF(OR(O86="",AD86=""),"",MAX(0,ROUND(N(AI86)-(AD86-N(AW86)),0)))</f>
        <v/>
      </c>
      <c r="AM86" s="73" t="str">
        <f aca="false">IF(A86="","",IF(O86="","No PO Yet",IF(AI86=0,"Not Paid",IF(N(AJ86)&gt;=0.999,"Fully Paid",IF(N(AG86)+N(AH86)&gt;0,"Partially Paid","Initial / Advance Paid")))))</f>
        <v/>
      </c>
      <c r="AN86" s="61"/>
      <c r="AO86" s="61"/>
      <c r="AP86" s="74" t="str">
        <f aca="false">IF(AK86="","",IF(OR(N(AK86)=0,AO86=""),"",MAX(0,Settings!$B$4-AO86)))</f>
        <v/>
      </c>
      <c r="AQ86" s="73" t="str">
        <f aca="false">IF(AK86="","",IF(N(AK86)&lt;=0,"",IF(AO86="","No Due Date",IF(Settings!$B$4&lt;=AO86,"Not Yet Due",IF(Settings!$B$4-AO86&lt;=30,"1-30 Days",IF(Settings!$B$4-AO86&lt;=60,"31-60 Days",IF(Settings!$B$4-AO86&lt;=90,"61-90 Days","90+ Days")))))))</f>
        <v/>
      </c>
      <c r="AR86" s="61"/>
      <c r="AS86" s="61"/>
      <c r="AT86" s="63"/>
      <c r="AU86" s="72" t="str">
        <f aca="false">IF(Q86="","",IF(N(Q86)=0,"",N(AT86)/Q86))</f>
        <v/>
      </c>
      <c r="AV86" s="75" t="str">
        <f aca="false">IF(OR(A86="",O86="",Q86=""),"",MAX(0,Q86-N(AT86)))</f>
        <v/>
      </c>
      <c r="AW86" s="66" t="str">
        <f aca="false">IF(OR(AV86="",W86=""),"",IF(N(Q86)=0,0,AV86/Q86*AD86))</f>
        <v/>
      </c>
      <c r="AX86" s="76" t="str">
        <f aca="false">IF(A86="","",IF(O86="","No PO Yet",IF(Q86="","Order Qty Missing",IF(N(AT86)&gt;=Q86,IF(N(AT86)&gt;Q86,"All In-house (+"&amp;TEXT(N(AT86)-Q86,"#,##0")&amp;" "&amp;R86&amp;" excess)","All In-house"),IF(AY86&lt;&gt;"","Short Closed - "&amp;TEXT(AV86,"#,##0")&amp;" "&amp;R86&amp;" not received",IF(N(AT86)=0,"Not Started - "&amp;TEXT(AV86,"#,##0")&amp;" "&amp;R86&amp;" pending","Pending "&amp;TEXT(AV86,"#,##0")&amp;" "&amp;R86&amp;" ("&amp;TEXT(AU86,"0%")&amp;" received)"))))))</f>
        <v/>
      </c>
      <c r="AY86" s="61"/>
      <c r="AZ86" s="77" t="str">
        <f aca="false">IF(OR(B86="",J86=""),"",J86-B86)</f>
        <v/>
      </c>
      <c r="BA86" s="77" t="str">
        <f aca="false">IF(OR(J86="",P86=""),"",P86-J86)</f>
        <v/>
      </c>
      <c r="BB86" s="77" t="str">
        <f aca="false">IF(OR(P86="",AY86=""),"",AY86-P86)</f>
        <v/>
      </c>
      <c r="BC86" s="77" t="str">
        <f aca="false">IF(OR(B86="",AY86=""),"",AY86-B86)</f>
        <v/>
      </c>
      <c r="BD86" s="74" t="str">
        <f aca="false">IF(OR(AR86="",O86=""),"",MAX(0,IF(AY86="",Settings!$B$4,AY86)-AR86))</f>
        <v/>
      </c>
      <c r="BE86" s="73" t="str">
        <f aca="false">IF(OR(AY86="",AR86=""),"",IF(AND(AY86&lt;=AR86,N(AU86)&gt;=Settings!$B$6),"OTIF","Not OTIF"))</f>
        <v/>
      </c>
      <c r="BF86" s="60"/>
      <c r="BG86" s="62"/>
      <c r="BH86" s="78"/>
      <c r="BI86" s="76" t="str">
        <f aca="false">IF(A86="","",IF(K86="Rejected","Rejected",IF(K86&lt;&gt;"Approved","Awaiting Approval",IF(O86="","Approved - PO Pending",IF(AY86&lt;&gt;"",IF(N(AJ86)&gt;=0.999,"Closed","In-house Closed - Payment Due"),IF(AS86&lt;&gt;"","Receiving In-house","PO Issued - Awaiting Delivery"))))))</f>
        <v/>
      </c>
      <c r="BJ86" s="76" t="str">
        <f aca="false">IF(A86="","",IF(IF(AND(A86&lt;&gt;"",OR(B86="",C86="",E86="",F86="",H86="")),"PR info missing; ","")&amp;IF(AND(K86="Approved",OR(J86="",I86="")),"Approval ref/date missing; ","")&amp;IF(AND(O86&lt;&gt;"",K86&lt;&gt;"Approved"),"PO without approval; ","")&amp;IF(AND(O86&lt;&gt;"",OR(P86="",M86="",Q86="",S86="",T86="")),"PO details missing; ","")&amp;IF(AND(O86&lt;&gt;"",AR86=""),"Committed date missing; ","")&amp;IF(AND(ISNUMBER(J86),ISNUMBER(B86),N(J86)&lt;N(B86)),"Approval dated before PR; ","")&amp;IF(AND(ISNUMBER(P86),ISNUMBER(J86),N(P86)&lt;N(J86)),"PO dated before approval; ","")&amp;IF(AND(ISNUMBER(AY86),ISNUMBER(AS86),N(AY86)&lt;N(AS86)),"Close before in-house start; ","")&amp;IF(AND(AY86&lt;&gt;"",AS86=""),"In-house start date missing; ","")&amp;IF(AND(AY86&lt;&gt;"",AT86=""),"Qty received missing; ","")&amp;IF(AND(AY86&lt;&gt;"",BF86=""),"QC status missing; ","")&amp;IF(N(AT86)&gt;N(Q86)*1.05,"Received &gt; ordered +5%; ","")&amp;IF(AND(N(AI86)&gt;0,AE86=""),"Payment terms missing; ","")&amp;IF(N(AI86)&gt;N(AD86)+1,"Overpaid vs PO; ","")&amp;IF(AND(N(AK86)&gt;0,AY86&lt;&gt;"",AO86=""),"Payment due date missing; ","")="","OK",IF(AND(A86&lt;&gt;"",OR(B86="",C86="",E86="",F86="",H86="")),"PR info missing; ","")&amp;IF(AND(K86="Approved",OR(J86="",I86="")),"Approval ref/date missing; ","")&amp;IF(AND(O86&lt;&gt;"",K86&lt;&gt;"Approved"),"PO without approval; ","")&amp;IF(AND(O86&lt;&gt;"",OR(P86="",M86="",Q86="",S86="",T86="")),"PO details missing; ","")&amp;IF(AND(O86&lt;&gt;"",AR86=""),"Committed date missing; ","")&amp;IF(AND(ISNUMBER(J86),ISNUMBER(B86),N(J86)&lt;N(B86)),"Approval dated before PR; ","")&amp;IF(AND(ISNUMBER(P86),ISNUMBER(J86),N(P86)&lt;N(J86)),"PO dated before approval; ","")&amp;IF(AND(ISNUMBER(AY86),ISNUMBER(AS86),N(AY86)&lt;N(AS86)),"Close before in-house start; ","")&amp;IF(AND(AY86&lt;&gt;"",AS86=""),"In-house start date missing; ","")&amp;IF(AND(AY86&lt;&gt;"",AT86=""),"Qty received missing; ","")&amp;IF(AND(AY86&lt;&gt;"",BF86=""),"QC status missing; ","")&amp;IF(N(AT86)&gt;N(Q86)*1.05,"Received &gt; ordered +5%; ","")&amp;IF(AND(N(AI86)&gt;0,AE86=""),"Payment terms missing; ","")&amp;IF(N(AI86)&gt;N(AD86)+1,"Overpaid vs PO; ","")&amp;IF(AND(N(AK86)&gt;0,AY86&lt;&gt;"",AO86=""),"Payment due date missing; ","")))</f>
        <v/>
      </c>
      <c r="BK86" s="76" t="str">
        <f aca="false">IF(A86="","",IF(N(AP86)&gt;0,"Pay supplier: "&amp;N(AP86)&amp;" days overdue; ","")&amp;IF(AND(O86&lt;&gt;"",AY86="",N(BD86)&gt;0),"Expedite delivery: "&amp;N(BD86)&amp;" days late; ","")&amp;IF(AND(BI86="Awaiting Approval",ISNUMBER(B86),Settings!$B$4-N(B86)&gt;Settings!$B$19),"Get approval: PR waiting "&amp;(Settings!$B$4-N(B86))&amp;" days; ","")&amp;IF(AND(BI86="Approved - PO Pending",ISNUMBER(J86),Settings!$B$4-N(J86)&gt;Settings!$B$20),"Issue PO: approved "&amp;(Settings!$B$4-N(J86))&amp;" days ago; ","")&amp;IF(AND(OR(BI86="Awaiting Approval",BI86="Approved - PO Pending"),N(AB86)&gt;Settings!$B$7),"Negotiate price: "&amp;TEXT(AB86,"0%")&amp;" above budget; ","")&amp;IF(LEFT(AX86,12)="Short Closed","Short closed: claim balance / credit note"&amp;IF(N(AL86)&gt;0," BDT "&amp;TEXT(AL86,"#,##0"),"")&amp;"; ","")&amp;IF(BF86="Rejected","QC rejected: return / replace; ","")&amp;IF(AND(O86&lt;&gt;"",AY86="",N(AL86)&gt;0,N(BD86)&gt;0),"Advance at risk: BDT "&amp;TEXT(AL86,"#,##0")&amp;" paid, goods late; ","")&amp;IF(AND(BJ86&lt;&gt;"",BJ86&lt;&gt;"OK"),"Fix data entry (see Data Check); ",""))</f>
        <v/>
      </c>
      <c r="BL86" s="73" t="str">
        <f aca="false">IF(BK86="","",IF(OR(N(AP86)&gt;30,AND(AY86="",N(BD86)&gt;15),BF86="Rejected",AND(LEFT(AX86,12)="Short Closed",N(AL86)&gt;0),AND(O86&lt;&gt;"",AY86="",N(AL86)&gt;0,N(BD86)&gt;0)),"High",IF(OR(N(AP86)&gt;0,AND(AY86="",N(BD86)&gt;7),LEFT(AX86,12)="Short Closed",AND(BI86="Awaiting Approval",ISNUMBER(B86),Settings!$B$4-N(B86)&gt;2*Settings!$B$19),AND(BI86="Approved - PO Pending",ISNUMBER(J86),Settings!$B$4-N(J86)&gt;2*Settings!$B$20)),"Medium","Low")))</f>
        <v/>
      </c>
      <c r="BM86" s="77" t="str">
        <f aca="false">IF(BL86="","",IF(BL86="High",1,IF(BL86="Medium",2,3))*10000+ROW())</f>
        <v/>
      </c>
      <c r="BN86" s="62"/>
    </row>
    <row r="87" customFormat="false" ht="18" hidden="false" customHeight="true" outlineLevel="0" collapsed="false">
      <c r="A87" s="60"/>
      <c r="B87" s="61"/>
      <c r="C87" s="62"/>
      <c r="D87" s="62"/>
      <c r="E87" s="62"/>
      <c r="F87" s="62"/>
      <c r="G87" s="62"/>
      <c r="H87" s="60"/>
      <c r="I87" s="60"/>
      <c r="J87" s="61"/>
      <c r="K87" s="60"/>
      <c r="L87" s="60"/>
      <c r="M87" s="62"/>
      <c r="N87" s="60"/>
      <c r="O87" s="60"/>
      <c r="P87" s="61"/>
      <c r="Q87" s="63"/>
      <c r="R87" s="60"/>
      <c r="S87" s="64"/>
      <c r="T87" s="60"/>
      <c r="U87" s="65" t="str">
        <f aca="false">IF(AND(T87="",S87=""),"",IF(T87="",1,IFERROR(INDEX(Settings!$B$12:$B$16,MATCH(T87,Settings!$A$12:$A$16,0)),1)))</f>
        <v/>
      </c>
      <c r="V87" s="64"/>
      <c r="W87" s="66" t="str">
        <f aca="false">IF(OR(Q87="",S87=""),"",Q87*S87*U87)</f>
        <v/>
      </c>
      <c r="X87" s="65" t="str">
        <f aca="false">IF(OR(W87="",N(Q87)=0),"",W87/Q87)</f>
        <v/>
      </c>
      <c r="Y87" s="65" t="str">
        <f aca="false">IF(OR(X87="",P87="",E87=""),"",IF(_xlfn.MAXIFS($P$6:$P$205,$E$6:$E$205,E87,$P$6:$P$205,"&lt;"&amp;P87,$X$6:$X$205,"&gt;0")=0,"",IFERROR(AVERAGEIFS($X$6:$X$205,$E$6:$E$205,E87,$P$6:$P$205,_xlfn.MAXIFS($P$6:$P$205,$E$6:$E$205,E87,$P$6:$P$205,"&lt;"&amp;P87,$X$6:$X$205,"&gt;0"),$X$6:$X$205,"&gt;0"),"")))</f>
        <v/>
      </c>
      <c r="Z87" s="67" t="str">
        <f aca="false">IF(OR(Y87="",X87=""),"",X87/Y87-1)</f>
        <v/>
      </c>
      <c r="AA87" s="68" t="str">
        <f aca="false">IF(OR(W87="",V87=""),"",W87-Q87*V87)</f>
        <v/>
      </c>
      <c r="AB87" s="69" t="str">
        <f aca="false">IF(AA87="","",IF(N(V87)*N(Q87)=0,"",AA87/(Q87*V87)))</f>
        <v/>
      </c>
      <c r="AC87" s="70"/>
      <c r="AD87" s="66" t="str">
        <f aca="false">IF(W87="","",W87*(1+N(AC87)))</f>
        <v/>
      </c>
      <c r="AE87" s="62"/>
      <c r="AF87" s="71"/>
      <c r="AG87" s="71"/>
      <c r="AH87" s="71"/>
      <c r="AI87" s="66" t="str">
        <f aca="false">IF(A87="","",N(AF87)+N(AG87)+N(AH87))</f>
        <v/>
      </c>
      <c r="AJ87" s="72" t="str">
        <f aca="false">IF(AD87="","",IF(N(AD87)=0,"",AI87/AD87))</f>
        <v/>
      </c>
      <c r="AK87" s="66" t="str">
        <f aca="false">IF(AD87="","",IF(AD87-AI87&lt;1,0,ROUND(AD87-AI87,2)))</f>
        <v/>
      </c>
      <c r="AL87" s="66" t="str">
        <f aca="false">IF(OR(O87="",AD87=""),"",MAX(0,ROUND(N(AI87)-(AD87-N(AW87)),0)))</f>
        <v/>
      </c>
      <c r="AM87" s="73" t="str">
        <f aca="false">IF(A87="","",IF(O87="","No PO Yet",IF(AI87=0,"Not Paid",IF(N(AJ87)&gt;=0.999,"Fully Paid",IF(N(AG87)+N(AH87)&gt;0,"Partially Paid","Initial / Advance Paid")))))</f>
        <v/>
      </c>
      <c r="AN87" s="61"/>
      <c r="AO87" s="61"/>
      <c r="AP87" s="74" t="str">
        <f aca="false">IF(AK87="","",IF(OR(N(AK87)=0,AO87=""),"",MAX(0,Settings!$B$4-AO87)))</f>
        <v/>
      </c>
      <c r="AQ87" s="73" t="str">
        <f aca="false">IF(AK87="","",IF(N(AK87)&lt;=0,"",IF(AO87="","No Due Date",IF(Settings!$B$4&lt;=AO87,"Not Yet Due",IF(Settings!$B$4-AO87&lt;=30,"1-30 Days",IF(Settings!$B$4-AO87&lt;=60,"31-60 Days",IF(Settings!$B$4-AO87&lt;=90,"61-90 Days","90+ Days")))))))</f>
        <v/>
      </c>
      <c r="AR87" s="61"/>
      <c r="AS87" s="61"/>
      <c r="AT87" s="63"/>
      <c r="AU87" s="72" t="str">
        <f aca="false">IF(Q87="","",IF(N(Q87)=0,"",N(AT87)/Q87))</f>
        <v/>
      </c>
      <c r="AV87" s="75" t="str">
        <f aca="false">IF(OR(A87="",O87="",Q87=""),"",MAX(0,Q87-N(AT87)))</f>
        <v/>
      </c>
      <c r="AW87" s="66" t="str">
        <f aca="false">IF(OR(AV87="",W87=""),"",IF(N(Q87)=0,0,AV87/Q87*AD87))</f>
        <v/>
      </c>
      <c r="AX87" s="76" t="str">
        <f aca="false">IF(A87="","",IF(O87="","No PO Yet",IF(Q87="","Order Qty Missing",IF(N(AT87)&gt;=Q87,IF(N(AT87)&gt;Q87,"All In-house (+"&amp;TEXT(N(AT87)-Q87,"#,##0")&amp;" "&amp;R87&amp;" excess)","All In-house"),IF(AY87&lt;&gt;"","Short Closed - "&amp;TEXT(AV87,"#,##0")&amp;" "&amp;R87&amp;" not received",IF(N(AT87)=0,"Not Started - "&amp;TEXT(AV87,"#,##0")&amp;" "&amp;R87&amp;" pending","Pending "&amp;TEXT(AV87,"#,##0")&amp;" "&amp;R87&amp;" ("&amp;TEXT(AU87,"0%")&amp;" received)"))))))</f>
        <v/>
      </c>
      <c r="AY87" s="61"/>
      <c r="AZ87" s="77" t="str">
        <f aca="false">IF(OR(B87="",J87=""),"",J87-B87)</f>
        <v/>
      </c>
      <c r="BA87" s="77" t="str">
        <f aca="false">IF(OR(J87="",P87=""),"",P87-J87)</f>
        <v/>
      </c>
      <c r="BB87" s="77" t="str">
        <f aca="false">IF(OR(P87="",AY87=""),"",AY87-P87)</f>
        <v/>
      </c>
      <c r="BC87" s="77" t="str">
        <f aca="false">IF(OR(B87="",AY87=""),"",AY87-B87)</f>
        <v/>
      </c>
      <c r="BD87" s="74" t="str">
        <f aca="false">IF(OR(AR87="",O87=""),"",MAX(0,IF(AY87="",Settings!$B$4,AY87)-AR87))</f>
        <v/>
      </c>
      <c r="BE87" s="73" t="str">
        <f aca="false">IF(OR(AY87="",AR87=""),"",IF(AND(AY87&lt;=AR87,N(AU87)&gt;=Settings!$B$6),"OTIF","Not OTIF"))</f>
        <v/>
      </c>
      <c r="BF87" s="60"/>
      <c r="BG87" s="62"/>
      <c r="BH87" s="78"/>
      <c r="BI87" s="76" t="str">
        <f aca="false">IF(A87="","",IF(K87="Rejected","Rejected",IF(K87&lt;&gt;"Approved","Awaiting Approval",IF(O87="","Approved - PO Pending",IF(AY87&lt;&gt;"",IF(N(AJ87)&gt;=0.999,"Closed","In-house Closed - Payment Due"),IF(AS87&lt;&gt;"","Receiving In-house","PO Issued - Awaiting Delivery"))))))</f>
        <v/>
      </c>
      <c r="BJ87" s="76" t="str">
        <f aca="false">IF(A87="","",IF(IF(AND(A87&lt;&gt;"",OR(B87="",C87="",E87="",F87="",H87="")),"PR info missing; ","")&amp;IF(AND(K87="Approved",OR(J87="",I87="")),"Approval ref/date missing; ","")&amp;IF(AND(O87&lt;&gt;"",K87&lt;&gt;"Approved"),"PO without approval; ","")&amp;IF(AND(O87&lt;&gt;"",OR(P87="",M87="",Q87="",S87="",T87="")),"PO details missing; ","")&amp;IF(AND(O87&lt;&gt;"",AR87=""),"Committed date missing; ","")&amp;IF(AND(ISNUMBER(J87),ISNUMBER(B87),N(J87)&lt;N(B87)),"Approval dated before PR; ","")&amp;IF(AND(ISNUMBER(P87),ISNUMBER(J87),N(P87)&lt;N(J87)),"PO dated before approval; ","")&amp;IF(AND(ISNUMBER(AY87),ISNUMBER(AS87),N(AY87)&lt;N(AS87)),"Close before in-house start; ","")&amp;IF(AND(AY87&lt;&gt;"",AS87=""),"In-house start date missing; ","")&amp;IF(AND(AY87&lt;&gt;"",AT87=""),"Qty received missing; ","")&amp;IF(AND(AY87&lt;&gt;"",BF87=""),"QC status missing; ","")&amp;IF(N(AT87)&gt;N(Q87)*1.05,"Received &gt; ordered +5%; ","")&amp;IF(AND(N(AI87)&gt;0,AE87=""),"Payment terms missing; ","")&amp;IF(N(AI87)&gt;N(AD87)+1,"Overpaid vs PO; ","")&amp;IF(AND(N(AK87)&gt;0,AY87&lt;&gt;"",AO87=""),"Payment due date missing; ","")="","OK",IF(AND(A87&lt;&gt;"",OR(B87="",C87="",E87="",F87="",H87="")),"PR info missing; ","")&amp;IF(AND(K87="Approved",OR(J87="",I87="")),"Approval ref/date missing; ","")&amp;IF(AND(O87&lt;&gt;"",K87&lt;&gt;"Approved"),"PO without approval; ","")&amp;IF(AND(O87&lt;&gt;"",OR(P87="",M87="",Q87="",S87="",T87="")),"PO details missing; ","")&amp;IF(AND(O87&lt;&gt;"",AR87=""),"Committed date missing; ","")&amp;IF(AND(ISNUMBER(J87),ISNUMBER(B87),N(J87)&lt;N(B87)),"Approval dated before PR; ","")&amp;IF(AND(ISNUMBER(P87),ISNUMBER(J87),N(P87)&lt;N(J87)),"PO dated before approval; ","")&amp;IF(AND(ISNUMBER(AY87),ISNUMBER(AS87),N(AY87)&lt;N(AS87)),"Close before in-house start; ","")&amp;IF(AND(AY87&lt;&gt;"",AS87=""),"In-house start date missing; ","")&amp;IF(AND(AY87&lt;&gt;"",AT87=""),"Qty received missing; ","")&amp;IF(AND(AY87&lt;&gt;"",BF87=""),"QC status missing; ","")&amp;IF(N(AT87)&gt;N(Q87)*1.05,"Received &gt; ordered +5%; ","")&amp;IF(AND(N(AI87)&gt;0,AE87=""),"Payment terms missing; ","")&amp;IF(N(AI87)&gt;N(AD87)+1,"Overpaid vs PO; ","")&amp;IF(AND(N(AK87)&gt;0,AY87&lt;&gt;"",AO87=""),"Payment due date missing; ","")))</f>
        <v/>
      </c>
      <c r="BK87" s="76" t="str">
        <f aca="false">IF(A87="","",IF(N(AP87)&gt;0,"Pay supplier: "&amp;N(AP87)&amp;" days overdue; ","")&amp;IF(AND(O87&lt;&gt;"",AY87="",N(BD87)&gt;0),"Expedite delivery: "&amp;N(BD87)&amp;" days late; ","")&amp;IF(AND(BI87="Awaiting Approval",ISNUMBER(B87),Settings!$B$4-N(B87)&gt;Settings!$B$19),"Get approval: PR waiting "&amp;(Settings!$B$4-N(B87))&amp;" days; ","")&amp;IF(AND(BI87="Approved - PO Pending",ISNUMBER(J87),Settings!$B$4-N(J87)&gt;Settings!$B$20),"Issue PO: approved "&amp;(Settings!$B$4-N(J87))&amp;" days ago; ","")&amp;IF(AND(OR(BI87="Awaiting Approval",BI87="Approved - PO Pending"),N(AB87)&gt;Settings!$B$7),"Negotiate price: "&amp;TEXT(AB87,"0%")&amp;" above budget; ","")&amp;IF(LEFT(AX87,12)="Short Closed","Short closed: claim balance / credit note"&amp;IF(N(AL87)&gt;0," BDT "&amp;TEXT(AL87,"#,##0"),"")&amp;"; ","")&amp;IF(BF87="Rejected","QC rejected: return / replace; ","")&amp;IF(AND(O87&lt;&gt;"",AY87="",N(AL87)&gt;0,N(BD87)&gt;0),"Advance at risk: BDT "&amp;TEXT(AL87,"#,##0")&amp;" paid, goods late; ","")&amp;IF(AND(BJ87&lt;&gt;"",BJ87&lt;&gt;"OK"),"Fix data entry (see Data Check); ",""))</f>
        <v/>
      </c>
      <c r="BL87" s="73" t="str">
        <f aca="false">IF(BK87="","",IF(OR(N(AP87)&gt;30,AND(AY87="",N(BD87)&gt;15),BF87="Rejected",AND(LEFT(AX87,12)="Short Closed",N(AL87)&gt;0),AND(O87&lt;&gt;"",AY87="",N(AL87)&gt;0,N(BD87)&gt;0)),"High",IF(OR(N(AP87)&gt;0,AND(AY87="",N(BD87)&gt;7),LEFT(AX87,12)="Short Closed",AND(BI87="Awaiting Approval",ISNUMBER(B87),Settings!$B$4-N(B87)&gt;2*Settings!$B$19),AND(BI87="Approved - PO Pending",ISNUMBER(J87),Settings!$B$4-N(J87)&gt;2*Settings!$B$20)),"Medium","Low")))</f>
        <v/>
      </c>
      <c r="BM87" s="77" t="str">
        <f aca="false">IF(BL87="","",IF(BL87="High",1,IF(BL87="Medium",2,3))*10000+ROW())</f>
        <v/>
      </c>
      <c r="BN87" s="62"/>
    </row>
    <row r="88" customFormat="false" ht="18" hidden="false" customHeight="true" outlineLevel="0" collapsed="false">
      <c r="A88" s="60"/>
      <c r="B88" s="61"/>
      <c r="C88" s="62"/>
      <c r="D88" s="62"/>
      <c r="E88" s="62"/>
      <c r="F88" s="62"/>
      <c r="G88" s="62"/>
      <c r="H88" s="60"/>
      <c r="I88" s="60"/>
      <c r="J88" s="61"/>
      <c r="K88" s="60"/>
      <c r="L88" s="60"/>
      <c r="M88" s="62"/>
      <c r="N88" s="60"/>
      <c r="O88" s="60"/>
      <c r="P88" s="61"/>
      <c r="Q88" s="63"/>
      <c r="R88" s="60"/>
      <c r="S88" s="64"/>
      <c r="T88" s="60"/>
      <c r="U88" s="65" t="str">
        <f aca="false">IF(AND(T88="",S88=""),"",IF(T88="",1,IFERROR(INDEX(Settings!$B$12:$B$16,MATCH(T88,Settings!$A$12:$A$16,0)),1)))</f>
        <v/>
      </c>
      <c r="V88" s="64"/>
      <c r="W88" s="66" t="str">
        <f aca="false">IF(OR(Q88="",S88=""),"",Q88*S88*U88)</f>
        <v/>
      </c>
      <c r="X88" s="65" t="str">
        <f aca="false">IF(OR(W88="",N(Q88)=0),"",W88/Q88)</f>
        <v/>
      </c>
      <c r="Y88" s="65" t="str">
        <f aca="false">IF(OR(X88="",P88="",E88=""),"",IF(_xlfn.MAXIFS($P$6:$P$205,$E$6:$E$205,E88,$P$6:$P$205,"&lt;"&amp;P88,$X$6:$X$205,"&gt;0")=0,"",IFERROR(AVERAGEIFS($X$6:$X$205,$E$6:$E$205,E88,$P$6:$P$205,_xlfn.MAXIFS($P$6:$P$205,$E$6:$E$205,E88,$P$6:$P$205,"&lt;"&amp;P88,$X$6:$X$205,"&gt;0"),$X$6:$X$205,"&gt;0"),"")))</f>
        <v/>
      </c>
      <c r="Z88" s="67" t="str">
        <f aca="false">IF(OR(Y88="",X88=""),"",X88/Y88-1)</f>
        <v/>
      </c>
      <c r="AA88" s="68" t="str">
        <f aca="false">IF(OR(W88="",V88=""),"",W88-Q88*V88)</f>
        <v/>
      </c>
      <c r="AB88" s="69" t="str">
        <f aca="false">IF(AA88="","",IF(N(V88)*N(Q88)=0,"",AA88/(Q88*V88)))</f>
        <v/>
      </c>
      <c r="AC88" s="70"/>
      <c r="AD88" s="66" t="str">
        <f aca="false">IF(W88="","",W88*(1+N(AC88)))</f>
        <v/>
      </c>
      <c r="AE88" s="62"/>
      <c r="AF88" s="71"/>
      <c r="AG88" s="71"/>
      <c r="AH88" s="71"/>
      <c r="AI88" s="66" t="str">
        <f aca="false">IF(A88="","",N(AF88)+N(AG88)+N(AH88))</f>
        <v/>
      </c>
      <c r="AJ88" s="72" t="str">
        <f aca="false">IF(AD88="","",IF(N(AD88)=0,"",AI88/AD88))</f>
        <v/>
      </c>
      <c r="AK88" s="66" t="str">
        <f aca="false">IF(AD88="","",IF(AD88-AI88&lt;1,0,ROUND(AD88-AI88,2)))</f>
        <v/>
      </c>
      <c r="AL88" s="66" t="str">
        <f aca="false">IF(OR(O88="",AD88=""),"",MAX(0,ROUND(N(AI88)-(AD88-N(AW88)),0)))</f>
        <v/>
      </c>
      <c r="AM88" s="73" t="str">
        <f aca="false">IF(A88="","",IF(O88="","No PO Yet",IF(AI88=0,"Not Paid",IF(N(AJ88)&gt;=0.999,"Fully Paid",IF(N(AG88)+N(AH88)&gt;0,"Partially Paid","Initial / Advance Paid")))))</f>
        <v/>
      </c>
      <c r="AN88" s="61"/>
      <c r="AO88" s="61"/>
      <c r="AP88" s="74" t="str">
        <f aca="false">IF(AK88="","",IF(OR(N(AK88)=0,AO88=""),"",MAX(0,Settings!$B$4-AO88)))</f>
        <v/>
      </c>
      <c r="AQ88" s="73" t="str">
        <f aca="false">IF(AK88="","",IF(N(AK88)&lt;=0,"",IF(AO88="","No Due Date",IF(Settings!$B$4&lt;=AO88,"Not Yet Due",IF(Settings!$B$4-AO88&lt;=30,"1-30 Days",IF(Settings!$B$4-AO88&lt;=60,"31-60 Days",IF(Settings!$B$4-AO88&lt;=90,"61-90 Days","90+ Days")))))))</f>
        <v/>
      </c>
      <c r="AR88" s="61"/>
      <c r="AS88" s="61"/>
      <c r="AT88" s="63"/>
      <c r="AU88" s="72" t="str">
        <f aca="false">IF(Q88="","",IF(N(Q88)=0,"",N(AT88)/Q88))</f>
        <v/>
      </c>
      <c r="AV88" s="75" t="str">
        <f aca="false">IF(OR(A88="",O88="",Q88=""),"",MAX(0,Q88-N(AT88)))</f>
        <v/>
      </c>
      <c r="AW88" s="66" t="str">
        <f aca="false">IF(OR(AV88="",W88=""),"",IF(N(Q88)=0,0,AV88/Q88*AD88))</f>
        <v/>
      </c>
      <c r="AX88" s="76" t="str">
        <f aca="false">IF(A88="","",IF(O88="","No PO Yet",IF(Q88="","Order Qty Missing",IF(N(AT88)&gt;=Q88,IF(N(AT88)&gt;Q88,"All In-house (+"&amp;TEXT(N(AT88)-Q88,"#,##0")&amp;" "&amp;R88&amp;" excess)","All In-house"),IF(AY88&lt;&gt;"","Short Closed - "&amp;TEXT(AV88,"#,##0")&amp;" "&amp;R88&amp;" not received",IF(N(AT88)=0,"Not Started - "&amp;TEXT(AV88,"#,##0")&amp;" "&amp;R88&amp;" pending","Pending "&amp;TEXT(AV88,"#,##0")&amp;" "&amp;R88&amp;" ("&amp;TEXT(AU88,"0%")&amp;" received)"))))))</f>
        <v/>
      </c>
      <c r="AY88" s="61"/>
      <c r="AZ88" s="77" t="str">
        <f aca="false">IF(OR(B88="",J88=""),"",J88-B88)</f>
        <v/>
      </c>
      <c r="BA88" s="77" t="str">
        <f aca="false">IF(OR(J88="",P88=""),"",P88-J88)</f>
        <v/>
      </c>
      <c r="BB88" s="77" t="str">
        <f aca="false">IF(OR(P88="",AY88=""),"",AY88-P88)</f>
        <v/>
      </c>
      <c r="BC88" s="77" t="str">
        <f aca="false">IF(OR(B88="",AY88=""),"",AY88-B88)</f>
        <v/>
      </c>
      <c r="BD88" s="74" t="str">
        <f aca="false">IF(OR(AR88="",O88=""),"",MAX(0,IF(AY88="",Settings!$B$4,AY88)-AR88))</f>
        <v/>
      </c>
      <c r="BE88" s="73" t="str">
        <f aca="false">IF(OR(AY88="",AR88=""),"",IF(AND(AY88&lt;=AR88,N(AU88)&gt;=Settings!$B$6),"OTIF","Not OTIF"))</f>
        <v/>
      </c>
      <c r="BF88" s="60"/>
      <c r="BG88" s="62"/>
      <c r="BH88" s="78"/>
      <c r="BI88" s="76" t="str">
        <f aca="false">IF(A88="","",IF(K88="Rejected","Rejected",IF(K88&lt;&gt;"Approved","Awaiting Approval",IF(O88="","Approved - PO Pending",IF(AY88&lt;&gt;"",IF(N(AJ88)&gt;=0.999,"Closed","In-house Closed - Payment Due"),IF(AS88&lt;&gt;"","Receiving In-house","PO Issued - Awaiting Delivery"))))))</f>
        <v/>
      </c>
      <c r="BJ88" s="76" t="str">
        <f aca="false">IF(A88="","",IF(IF(AND(A88&lt;&gt;"",OR(B88="",C88="",E88="",F88="",H88="")),"PR info missing; ","")&amp;IF(AND(K88="Approved",OR(J88="",I88="")),"Approval ref/date missing; ","")&amp;IF(AND(O88&lt;&gt;"",K88&lt;&gt;"Approved"),"PO without approval; ","")&amp;IF(AND(O88&lt;&gt;"",OR(P88="",M88="",Q88="",S88="",T88="")),"PO details missing; ","")&amp;IF(AND(O88&lt;&gt;"",AR88=""),"Committed date missing; ","")&amp;IF(AND(ISNUMBER(J88),ISNUMBER(B88),N(J88)&lt;N(B88)),"Approval dated before PR; ","")&amp;IF(AND(ISNUMBER(P88),ISNUMBER(J88),N(P88)&lt;N(J88)),"PO dated before approval; ","")&amp;IF(AND(ISNUMBER(AY88),ISNUMBER(AS88),N(AY88)&lt;N(AS88)),"Close before in-house start; ","")&amp;IF(AND(AY88&lt;&gt;"",AS88=""),"In-house start date missing; ","")&amp;IF(AND(AY88&lt;&gt;"",AT88=""),"Qty received missing; ","")&amp;IF(AND(AY88&lt;&gt;"",BF88=""),"QC status missing; ","")&amp;IF(N(AT88)&gt;N(Q88)*1.05,"Received &gt; ordered +5%; ","")&amp;IF(AND(N(AI88)&gt;0,AE88=""),"Payment terms missing; ","")&amp;IF(N(AI88)&gt;N(AD88)+1,"Overpaid vs PO; ","")&amp;IF(AND(N(AK88)&gt;0,AY88&lt;&gt;"",AO88=""),"Payment due date missing; ","")="","OK",IF(AND(A88&lt;&gt;"",OR(B88="",C88="",E88="",F88="",H88="")),"PR info missing; ","")&amp;IF(AND(K88="Approved",OR(J88="",I88="")),"Approval ref/date missing; ","")&amp;IF(AND(O88&lt;&gt;"",K88&lt;&gt;"Approved"),"PO without approval; ","")&amp;IF(AND(O88&lt;&gt;"",OR(P88="",M88="",Q88="",S88="",T88="")),"PO details missing; ","")&amp;IF(AND(O88&lt;&gt;"",AR88=""),"Committed date missing; ","")&amp;IF(AND(ISNUMBER(J88),ISNUMBER(B88),N(J88)&lt;N(B88)),"Approval dated before PR; ","")&amp;IF(AND(ISNUMBER(P88),ISNUMBER(J88),N(P88)&lt;N(J88)),"PO dated before approval; ","")&amp;IF(AND(ISNUMBER(AY88),ISNUMBER(AS88),N(AY88)&lt;N(AS88)),"Close before in-house start; ","")&amp;IF(AND(AY88&lt;&gt;"",AS88=""),"In-house start date missing; ","")&amp;IF(AND(AY88&lt;&gt;"",AT88=""),"Qty received missing; ","")&amp;IF(AND(AY88&lt;&gt;"",BF88=""),"QC status missing; ","")&amp;IF(N(AT88)&gt;N(Q88)*1.05,"Received &gt; ordered +5%; ","")&amp;IF(AND(N(AI88)&gt;0,AE88=""),"Payment terms missing; ","")&amp;IF(N(AI88)&gt;N(AD88)+1,"Overpaid vs PO; ","")&amp;IF(AND(N(AK88)&gt;0,AY88&lt;&gt;"",AO88=""),"Payment due date missing; ","")))</f>
        <v/>
      </c>
      <c r="BK88" s="76" t="str">
        <f aca="false">IF(A88="","",IF(N(AP88)&gt;0,"Pay supplier: "&amp;N(AP88)&amp;" days overdue; ","")&amp;IF(AND(O88&lt;&gt;"",AY88="",N(BD88)&gt;0),"Expedite delivery: "&amp;N(BD88)&amp;" days late; ","")&amp;IF(AND(BI88="Awaiting Approval",ISNUMBER(B88),Settings!$B$4-N(B88)&gt;Settings!$B$19),"Get approval: PR waiting "&amp;(Settings!$B$4-N(B88))&amp;" days; ","")&amp;IF(AND(BI88="Approved - PO Pending",ISNUMBER(J88),Settings!$B$4-N(J88)&gt;Settings!$B$20),"Issue PO: approved "&amp;(Settings!$B$4-N(J88))&amp;" days ago; ","")&amp;IF(AND(OR(BI88="Awaiting Approval",BI88="Approved - PO Pending"),N(AB88)&gt;Settings!$B$7),"Negotiate price: "&amp;TEXT(AB88,"0%")&amp;" above budget; ","")&amp;IF(LEFT(AX88,12)="Short Closed","Short closed: claim balance / credit note"&amp;IF(N(AL88)&gt;0," BDT "&amp;TEXT(AL88,"#,##0"),"")&amp;"; ","")&amp;IF(BF88="Rejected","QC rejected: return / replace; ","")&amp;IF(AND(O88&lt;&gt;"",AY88="",N(AL88)&gt;0,N(BD88)&gt;0),"Advance at risk: BDT "&amp;TEXT(AL88,"#,##0")&amp;" paid, goods late; ","")&amp;IF(AND(BJ88&lt;&gt;"",BJ88&lt;&gt;"OK"),"Fix data entry (see Data Check); ",""))</f>
        <v/>
      </c>
      <c r="BL88" s="73" t="str">
        <f aca="false">IF(BK88="","",IF(OR(N(AP88)&gt;30,AND(AY88="",N(BD88)&gt;15),BF88="Rejected",AND(LEFT(AX88,12)="Short Closed",N(AL88)&gt;0),AND(O88&lt;&gt;"",AY88="",N(AL88)&gt;0,N(BD88)&gt;0)),"High",IF(OR(N(AP88)&gt;0,AND(AY88="",N(BD88)&gt;7),LEFT(AX88,12)="Short Closed",AND(BI88="Awaiting Approval",ISNUMBER(B88),Settings!$B$4-N(B88)&gt;2*Settings!$B$19),AND(BI88="Approved - PO Pending",ISNUMBER(J88),Settings!$B$4-N(J88)&gt;2*Settings!$B$20)),"Medium","Low")))</f>
        <v/>
      </c>
      <c r="BM88" s="77" t="str">
        <f aca="false">IF(BL88="","",IF(BL88="High",1,IF(BL88="Medium",2,3))*10000+ROW())</f>
        <v/>
      </c>
      <c r="BN88" s="62"/>
    </row>
    <row r="89" customFormat="false" ht="18" hidden="false" customHeight="true" outlineLevel="0" collapsed="false">
      <c r="A89" s="60"/>
      <c r="B89" s="61"/>
      <c r="C89" s="62"/>
      <c r="D89" s="62"/>
      <c r="E89" s="62"/>
      <c r="F89" s="62"/>
      <c r="G89" s="62"/>
      <c r="H89" s="60"/>
      <c r="I89" s="60"/>
      <c r="J89" s="61"/>
      <c r="K89" s="60"/>
      <c r="L89" s="60"/>
      <c r="M89" s="62"/>
      <c r="N89" s="60"/>
      <c r="O89" s="60"/>
      <c r="P89" s="61"/>
      <c r="Q89" s="63"/>
      <c r="R89" s="60"/>
      <c r="S89" s="64"/>
      <c r="T89" s="60"/>
      <c r="U89" s="65" t="str">
        <f aca="false">IF(AND(T89="",S89=""),"",IF(T89="",1,IFERROR(INDEX(Settings!$B$12:$B$16,MATCH(T89,Settings!$A$12:$A$16,0)),1)))</f>
        <v/>
      </c>
      <c r="V89" s="64"/>
      <c r="W89" s="66" t="str">
        <f aca="false">IF(OR(Q89="",S89=""),"",Q89*S89*U89)</f>
        <v/>
      </c>
      <c r="X89" s="65" t="str">
        <f aca="false">IF(OR(W89="",N(Q89)=0),"",W89/Q89)</f>
        <v/>
      </c>
      <c r="Y89" s="65" t="str">
        <f aca="false">IF(OR(X89="",P89="",E89=""),"",IF(_xlfn.MAXIFS($P$6:$P$205,$E$6:$E$205,E89,$P$6:$P$205,"&lt;"&amp;P89,$X$6:$X$205,"&gt;0")=0,"",IFERROR(AVERAGEIFS($X$6:$X$205,$E$6:$E$205,E89,$P$6:$P$205,_xlfn.MAXIFS($P$6:$P$205,$E$6:$E$205,E89,$P$6:$P$205,"&lt;"&amp;P89,$X$6:$X$205,"&gt;0"),$X$6:$X$205,"&gt;0"),"")))</f>
        <v/>
      </c>
      <c r="Z89" s="67" t="str">
        <f aca="false">IF(OR(Y89="",X89=""),"",X89/Y89-1)</f>
        <v/>
      </c>
      <c r="AA89" s="68" t="str">
        <f aca="false">IF(OR(W89="",V89=""),"",W89-Q89*V89)</f>
        <v/>
      </c>
      <c r="AB89" s="69" t="str">
        <f aca="false">IF(AA89="","",IF(N(V89)*N(Q89)=0,"",AA89/(Q89*V89)))</f>
        <v/>
      </c>
      <c r="AC89" s="70"/>
      <c r="AD89" s="66" t="str">
        <f aca="false">IF(W89="","",W89*(1+N(AC89)))</f>
        <v/>
      </c>
      <c r="AE89" s="62"/>
      <c r="AF89" s="71"/>
      <c r="AG89" s="71"/>
      <c r="AH89" s="71"/>
      <c r="AI89" s="66" t="str">
        <f aca="false">IF(A89="","",N(AF89)+N(AG89)+N(AH89))</f>
        <v/>
      </c>
      <c r="AJ89" s="72" t="str">
        <f aca="false">IF(AD89="","",IF(N(AD89)=0,"",AI89/AD89))</f>
        <v/>
      </c>
      <c r="AK89" s="66" t="str">
        <f aca="false">IF(AD89="","",IF(AD89-AI89&lt;1,0,ROUND(AD89-AI89,2)))</f>
        <v/>
      </c>
      <c r="AL89" s="66" t="str">
        <f aca="false">IF(OR(O89="",AD89=""),"",MAX(0,ROUND(N(AI89)-(AD89-N(AW89)),0)))</f>
        <v/>
      </c>
      <c r="AM89" s="73" t="str">
        <f aca="false">IF(A89="","",IF(O89="","No PO Yet",IF(AI89=0,"Not Paid",IF(N(AJ89)&gt;=0.999,"Fully Paid",IF(N(AG89)+N(AH89)&gt;0,"Partially Paid","Initial / Advance Paid")))))</f>
        <v/>
      </c>
      <c r="AN89" s="61"/>
      <c r="AO89" s="61"/>
      <c r="AP89" s="74" t="str">
        <f aca="false">IF(AK89="","",IF(OR(N(AK89)=0,AO89=""),"",MAX(0,Settings!$B$4-AO89)))</f>
        <v/>
      </c>
      <c r="AQ89" s="73" t="str">
        <f aca="false">IF(AK89="","",IF(N(AK89)&lt;=0,"",IF(AO89="","No Due Date",IF(Settings!$B$4&lt;=AO89,"Not Yet Due",IF(Settings!$B$4-AO89&lt;=30,"1-30 Days",IF(Settings!$B$4-AO89&lt;=60,"31-60 Days",IF(Settings!$B$4-AO89&lt;=90,"61-90 Days","90+ Days")))))))</f>
        <v/>
      </c>
      <c r="AR89" s="61"/>
      <c r="AS89" s="61"/>
      <c r="AT89" s="63"/>
      <c r="AU89" s="72" t="str">
        <f aca="false">IF(Q89="","",IF(N(Q89)=0,"",N(AT89)/Q89))</f>
        <v/>
      </c>
      <c r="AV89" s="75" t="str">
        <f aca="false">IF(OR(A89="",O89="",Q89=""),"",MAX(0,Q89-N(AT89)))</f>
        <v/>
      </c>
      <c r="AW89" s="66" t="str">
        <f aca="false">IF(OR(AV89="",W89=""),"",IF(N(Q89)=0,0,AV89/Q89*AD89))</f>
        <v/>
      </c>
      <c r="AX89" s="76" t="str">
        <f aca="false">IF(A89="","",IF(O89="","No PO Yet",IF(Q89="","Order Qty Missing",IF(N(AT89)&gt;=Q89,IF(N(AT89)&gt;Q89,"All In-house (+"&amp;TEXT(N(AT89)-Q89,"#,##0")&amp;" "&amp;R89&amp;" excess)","All In-house"),IF(AY89&lt;&gt;"","Short Closed - "&amp;TEXT(AV89,"#,##0")&amp;" "&amp;R89&amp;" not received",IF(N(AT89)=0,"Not Started - "&amp;TEXT(AV89,"#,##0")&amp;" "&amp;R89&amp;" pending","Pending "&amp;TEXT(AV89,"#,##0")&amp;" "&amp;R89&amp;" ("&amp;TEXT(AU89,"0%")&amp;" received)"))))))</f>
        <v/>
      </c>
      <c r="AY89" s="61"/>
      <c r="AZ89" s="77" t="str">
        <f aca="false">IF(OR(B89="",J89=""),"",J89-B89)</f>
        <v/>
      </c>
      <c r="BA89" s="77" t="str">
        <f aca="false">IF(OR(J89="",P89=""),"",P89-J89)</f>
        <v/>
      </c>
      <c r="BB89" s="77" t="str">
        <f aca="false">IF(OR(P89="",AY89=""),"",AY89-P89)</f>
        <v/>
      </c>
      <c r="BC89" s="77" t="str">
        <f aca="false">IF(OR(B89="",AY89=""),"",AY89-B89)</f>
        <v/>
      </c>
      <c r="BD89" s="74" t="str">
        <f aca="false">IF(OR(AR89="",O89=""),"",MAX(0,IF(AY89="",Settings!$B$4,AY89)-AR89))</f>
        <v/>
      </c>
      <c r="BE89" s="73" t="str">
        <f aca="false">IF(OR(AY89="",AR89=""),"",IF(AND(AY89&lt;=AR89,N(AU89)&gt;=Settings!$B$6),"OTIF","Not OTIF"))</f>
        <v/>
      </c>
      <c r="BF89" s="60"/>
      <c r="BG89" s="62"/>
      <c r="BH89" s="78"/>
      <c r="BI89" s="76" t="str">
        <f aca="false">IF(A89="","",IF(K89="Rejected","Rejected",IF(K89&lt;&gt;"Approved","Awaiting Approval",IF(O89="","Approved - PO Pending",IF(AY89&lt;&gt;"",IF(N(AJ89)&gt;=0.999,"Closed","In-house Closed - Payment Due"),IF(AS89&lt;&gt;"","Receiving In-house","PO Issued - Awaiting Delivery"))))))</f>
        <v/>
      </c>
      <c r="BJ89" s="76" t="str">
        <f aca="false">IF(A89="","",IF(IF(AND(A89&lt;&gt;"",OR(B89="",C89="",E89="",F89="",H89="")),"PR info missing; ","")&amp;IF(AND(K89="Approved",OR(J89="",I89="")),"Approval ref/date missing; ","")&amp;IF(AND(O89&lt;&gt;"",K89&lt;&gt;"Approved"),"PO without approval; ","")&amp;IF(AND(O89&lt;&gt;"",OR(P89="",M89="",Q89="",S89="",T89="")),"PO details missing; ","")&amp;IF(AND(O89&lt;&gt;"",AR89=""),"Committed date missing; ","")&amp;IF(AND(ISNUMBER(J89),ISNUMBER(B89),N(J89)&lt;N(B89)),"Approval dated before PR; ","")&amp;IF(AND(ISNUMBER(P89),ISNUMBER(J89),N(P89)&lt;N(J89)),"PO dated before approval; ","")&amp;IF(AND(ISNUMBER(AY89),ISNUMBER(AS89),N(AY89)&lt;N(AS89)),"Close before in-house start; ","")&amp;IF(AND(AY89&lt;&gt;"",AS89=""),"In-house start date missing; ","")&amp;IF(AND(AY89&lt;&gt;"",AT89=""),"Qty received missing; ","")&amp;IF(AND(AY89&lt;&gt;"",BF89=""),"QC status missing; ","")&amp;IF(N(AT89)&gt;N(Q89)*1.05,"Received &gt; ordered +5%; ","")&amp;IF(AND(N(AI89)&gt;0,AE89=""),"Payment terms missing; ","")&amp;IF(N(AI89)&gt;N(AD89)+1,"Overpaid vs PO; ","")&amp;IF(AND(N(AK89)&gt;0,AY89&lt;&gt;"",AO89=""),"Payment due date missing; ","")="","OK",IF(AND(A89&lt;&gt;"",OR(B89="",C89="",E89="",F89="",H89="")),"PR info missing; ","")&amp;IF(AND(K89="Approved",OR(J89="",I89="")),"Approval ref/date missing; ","")&amp;IF(AND(O89&lt;&gt;"",K89&lt;&gt;"Approved"),"PO without approval; ","")&amp;IF(AND(O89&lt;&gt;"",OR(P89="",M89="",Q89="",S89="",T89="")),"PO details missing; ","")&amp;IF(AND(O89&lt;&gt;"",AR89=""),"Committed date missing; ","")&amp;IF(AND(ISNUMBER(J89),ISNUMBER(B89),N(J89)&lt;N(B89)),"Approval dated before PR; ","")&amp;IF(AND(ISNUMBER(P89),ISNUMBER(J89),N(P89)&lt;N(J89)),"PO dated before approval; ","")&amp;IF(AND(ISNUMBER(AY89),ISNUMBER(AS89),N(AY89)&lt;N(AS89)),"Close before in-house start; ","")&amp;IF(AND(AY89&lt;&gt;"",AS89=""),"In-house start date missing; ","")&amp;IF(AND(AY89&lt;&gt;"",AT89=""),"Qty received missing; ","")&amp;IF(AND(AY89&lt;&gt;"",BF89=""),"QC status missing; ","")&amp;IF(N(AT89)&gt;N(Q89)*1.05,"Received &gt; ordered +5%; ","")&amp;IF(AND(N(AI89)&gt;0,AE89=""),"Payment terms missing; ","")&amp;IF(N(AI89)&gt;N(AD89)+1,"Overpaid vs PO; ","")&amp;IF(AND(N(AK89)&gt;0,AY89&lt;&gt;"",AO89=""),"Payment due date missing; ","")))</f>
        <v/>
      </c>
      <c r="BK89" s="76" t="str">
        <f aca="false">IF(A89="","",IF(N(AP89)&gt;0,"Pay supplier: "&amp;N(AP89)&amp;" days overdue; ","")&amp;IF(AND(O89&lt;&gt;"",AY89="",N(BD89)&gt;0),"Expedite delivery: "&amp;N(BD89)&amp;" days late; ","")&amp;IF(AND(BI89="Awaiting Approval",ISNUMBER(B89),Settings!$B$4-N(B89)&gt;Settings!$B$19),"Get approval: PR waiting "&amp;(Settings!$B$4-N(B89))&amp;" days; ","")&amp;IF(AND(BI89="Approved - PO Pending",ISNUMBER(J89),Settings!$B$4-N(J89)&gt;Settings!$B$20),"Issue PO: approved "&amp;(Settings!$B$4-N(J89))&amp;" days ago; ","")&amp;IF(AND(OR(BI89="Awaiting Approval",BI89="Approved - PO Pending"),N(AB89)&gt;Settings!$B$7),"Negotiate price: "&amp;TEXT(AB89,"0%")&amp;" above budget; ","")&amp;IF(LEFT(AX89,12)="Short Closed","Short closed: claim balance / credit note"&amp;IF(N(AL89)&gt;0," BDT "&amp;TEXT(AL89,"#,##0"),"")&amp;"; ","")&amp;IF(BF89="Rejected","QC rejected: return / replace; ","")&amp;IF(AND(O89&lt;&gt;"",AY89="",N(AL89)&gt;0,N(BD89)&gt;0),"Advance at risk: BDT "&amp;TEXT(AL89,"#,##0")&amp;" paid, goods late; ","")&amp;IF(AND(BJ89&lt;&gt;"",BJ89&lt;&gt;"OK"),"Fix data entry (see Data Check); ",""))</f>
        <v/>
      </c>
      <c r="BL89" s="73" t="str">
        <f aca="false">IF(BK89="","",IF(OR(N(AP89)&gt;30,AND(AY89="",N(BD89)&gt;15),BF89="Rejected",AND(LEFT(AX89,12)="Short Closed",N(AL89)&gt;0),AND(O89&lt;&gt;"",AY89="",N(AL89)&gt;0,N(BD89)&gt;0)),"High",IF(OR(N(AP89)&gt;0,AND(AY89="",N(BD89)&gt;7),LEFT(AX89,12)="Short Closed",AND(BI89="Awaiting Approval",ISNUMBER(B89),Settings!$B$4-N(B89)&gt;2*Settings!$B$19),AND(BI89="Approved - PO Pending",ISNUMBER(J89),Settings!$B$4-N(J89)&gt;2*Settings!$B$20)),"Medium","Low")))</f>
        <v/>
      </c>
      <c r="BM89" s="77" t="str">
        <f aca="false">IF(BL89="","",IF(BL89="High",1,IF(BL89="Medium",2,3))*10000+ROW())</f>
        <v/>
      </c>
      <c r="BN89" s="62"/>
    </row>
    <row r="90" customFormat="false" ht="18" hidden="false" customHeight="true" outlineLevel="0" collapsed="false">
      <c r="A90" s="60"/>
      <c r="B90" s="61"/>
      <c r="C90" s="62"/>
      <c r="D90" s="62"/>
      <c r="E90" s="62"/>
      <c r="F90" s="62"/>
      <c r="G90" s="62"/>
      <c r="H90" s="60"/>
      <c r="I90" s="60"/>
      <c r="J90" s="61"/>
      <c r="K90" s="60"/>
      <c r="L90" s="60"/>
      <c r="M90" s="62"/>
      <c r="N90" s="60"/>
      <c r="O90" s="60"/>
      <c r="P90" s="61"/>
      <c r="Q90" s="63"/>
      <c r="R90" s="60"/>
      <c r="S90" s="64"/>
      <c r="T90" s="60"/>
      <c r="U90" s="65" t="str">
        <f aca="false">IF(AND(T90="",S90=""),"",IF(T90="",1,IFERROR(INDEX(Settings!$B$12:$B$16,MATCH(T90,Settings!$A$12:$A$16,0)),1)))</f>
        <v/>
      </c>
      <c r="V90" s="64"/>
      <c r="W90" s="66" t="str">
        <f aca="false">IF(OR(Q90="",S90=""),"",Q90*S90*U90)</f>
        <v/>
      </c>
      <c r="X90" s="65" t="str">
        <f aca="false">IF(OR(W90="",N(Q90)=0),"",W90/Q90)</f>
        <v/>
      </c>
      <c r="Y90" s="65" t="str">
        <f aca="false">IF(OR(X90="",P90="",E90=""),"",IF(_xlfn.MAXIFS($P$6:$P$205,$E$6:$E$205,E90,$P$6:$P$205,"&lt;"&amp;P90,$X$6:$X$205,"&gt;0")=0,"",IFERROR(AVERAGEIFS($X$6:$X$205,$E$6:$E$205,E90,$P$6:$P$205,_xlfn.MAXIFS($P$6:$P$205,$E$6:$E$205,E90,$P$6:$P$205,"&lt;"&amp;P90,$X$6:$X$205,"&gt;0"),$X$6:$X$205,"&gt;0"),"")))</f>
        <v/>
      </c>
      <c r="Z90" s="67" t="str">
        <f aca="false">IF(OR(Y90="",X90=""),"",X90/Y90-1)</f>
        <v/>
      </c>
      <c r="AA90" s="68" t="str">
        <f aca="false">IF(OR(W90="",V90=""),"",W90-Q90*V90)</f>
        <v/>
      </c>
      <c r="AB90" s="69" t="str">
        <f aca="false">IF(AA90="","",IF(N(V90)*N(Q90)=0,"",AA90/(Q90*V90)))</f>
        <v/>
      </c>
      <c r="AC90" s="70"/>
      <c r="AD90" s="66" t="str">
        <f aca="false">IF(W90="","",W90*(1+N(AC90)))</f>
        <v/>
      </c>
      <c r="AE90" s="62"/>
      <c r="AF90" s="71"/>
      <c r="AG90" s="71"/>
      <c r="AH90" s="71"/>
      <c r="AI90" s="66" t="str">
        <f aca="false">IF(A90="","",N(AF90)+N(AG90)+N(AH90))</f>
        <v/>
      </c>
      <c r="AJ90" s="72" t="str">
        <f aca="false">IF(AD90="","",IF(N(AD90)=0,"",AI90/AD90))</f>
        <v/>
      </c>
      <c r="AK90" s="66" t="str">
        <f aca="false">IF(AD90="","",IF(AD90-AI90&lt;1,0,ROUND(AD90-AI90,2)))</f>
        <v/>
      </c>
      <c r="AL90" s="66" t="str">
        <f aca="false">IF(OR(O90="",AD90=""),"",MAX(0,ROUND(N(AI90)-(AD90-N(AW90)),0)))</f>
        <v/>
      </c>
      <c r="AM90" s="73" t="str">
        <f aca="false">IF(A90="","",IF(O90="","No PO Yet",IF(AI90=0,"Not Paid",IF(N(AJ90)&gt;=0.999,"Fully Paid",IF(N(AG90)+N(AH90)&gt;0,"Partially Paid","Initial / Advance Paid")))))</f>
        <v/>
      </c>
      <c r="AN90" s="61"/>
      <c r="AO90" s="61"/>
      <c r="AP90" s="74" t="str">
        <f aca="false">IF(AK90="","",IF(OR(N(AK90)=0,AO90=""),"",MAX(0,Settings!$B$4-AO90)))</f>
        <v/>
      </c>
      <c r="AQ90" s="73" t="str">
        <f aca="false">IF(AK90="","",IF(N(AK90)&lt;=0,"",IF(AO90="","No Due Date",IF(Settings!$B$4&lt;=AO90,"Not Yet Due",IF(Settings!$B$4-AO90&lt;=30,"1-30 Days",IF(Settings!$B$4-AO90&lt;=60,"31-60 Days",IF(Settings!$B$4-AO90&lt;=90,"61-90 Days","90+ Days")))))))</f>
        <v/>
      </c>
      <c r="AR90" s="61"/>
      <c r="AS90" s="61"/>
      <c r="AT90" s="63"/>
      <c r="AU90" s="72" t="str">
        <f aca="false">IF(Q90="","",IF(N(Q90)=0,"",N(AT90)/Q90))</f>
        <v/>
      </c>
      <c r="AV90" s="75" t="str">
        <f aca="false">IF(OR(A90="",O90="",Q90=""),"",MAX(0,Q90-N(AT90)))</f>
        <v/>
      </c>
      <c r="AW90" s="66" t="str">
        <f aca="false">IF(OR(AV90="",W90=""),"",IF(N(Q90)=0,0,AV90/Q90*AD90))</f>
        <v/>
      </c>
      <c r="AX90" s="76" t="str">
        <f aca="false">IF(A90="","",IF(O90="","No PO Yet",IF(Q90="","Order Qty Missing",IF(N(AT90)&gt;=Q90,IF(N(AT90)&gt;Q90,"All In-house (+"&amp;TEXT(N(AT90)-Q90,"#,##0")&amp;" "&amp;R90&amp;" excess)","All In-house"),IF(AY90&lt;&gt;"","Short Closed - "&amp;TEXT(AV90,"#,##0")&amp;" "&amp;R90&amp;" not received",IF(N(AT90)=0,"Not Started - "&amp;TEXT(AV90,"#,##0")&amp;" "&amp;R90&amp;" pending","Pending "&amp;TEXT(AV90,"#,##0")&amp;" "&amp;R90&amp;" ("&amp;TEXT(AU90,"0%")&amp;" received)"))))))</f>
        <v/>
      </c>
      <c r="AY90" s="61"/>
      <c r="AZ90" s="77" t="str">
        <f aca="false">IF(OR(B90="",J90=""),"",J90-B90)</f>
        <v/>
      </c>
      <c r="BA90" s="77" t="str">
        <f aca="false">IF(OR(J90="",P90=""),"",P90-J90)</f>
        <v/>
      </c>
      <c r="BB90" s="77" t="str">
        <f aca="false">IF(OR(P90="",AY90=""),"",AY90-P90)</f>
        <v/>
      </c>
      <c r="BC90" s="77" t="str">
        <f aca="false">IF(OR(B90="",AY90=""),"",AY90-B90)</f>
        <v/>
      </c>
      <c r="BD90" s="74" t="str">
        <f aca="false">IF(OR(AR90="",O90=""),"",MAX(0,IF(AY90="",Settings!$B$4,AY90)-AR90))</f>
        <v/>
      </c>
      <c r="BE90" s="73" t="str">
        <f aca="false">IF(OR(AY90="",AR90=""),"",IF(AND(AY90&lt;=AR90,N(AU90)&gt;=Settings!$B$6),"OTIF","Not OTIF"))</f>
        <v/>
      </c>
      <c r="BF90" s="60"/>
      <c r="BG90" s="62"/>
      <c r="BH90" s="78"/>
      <c r="BI90" s="76" t="str">
        <f aca="false">IF(A90="","",IF(K90="Rejected","Rejected",IF(K90&lt;&gt;"Approved","Awaiting Approval",IF(O90="","Approved - PO Pending",IF(AY90&lt;&gt;"",IF(N(AJ90)&gt;=0.999,"Closed","In-house Closed - Payment Due"),IF(AS90&lt;&gt;"","Receiving In-house","PO Issued - Awaiting Delivery"))))))</f>
        <v/>
      </c>
      <c r="BJ90" s="76" t="str">
        <f aca="false">IF(A90="","",IF(IF(AND(A90&lt;&gt;"",OR(B90="",C90="",E90="",F90="",H90="")),"PR info missing; ","")&amp;IF(AND(K90="Approved",OR(J90="",I90="")),"Approval ref/date missing; ","")&amp;IF(AND(O90&lt;&gt;"",K90&lt;&gt;"Approved"),"PO without approval; ","")&amp;IF(AND(O90&lt;&gt;"",OR(P90="",M90="",Q90="",S90="",T90="")),"PO details missing; ","")&amp;IF(AND(O90&lt;&gt;"",AR90=""),"Committed date missing; ","")&amp;IF(AND(ISNUMBER(J90),ISNUMBER(B90),N(J90)&lt;N(B90)),"Approval dated before PR; ","")&amp;IF(AND(ISNUMBER(P90),ISNUMBER(J90),N(P90)&lt;N(J90)),"PO dated before approval; ","")&amp;IF(AND(ISNUMBER(AY90),ISNUMBER(AS90),N(AY90)&lt;N(AS90)),"Close before in-house start; ","")&amp;IF(AND(AY90&lt;&gt;"",AS90=""),"In-house start date missing; ","")&amp;IF(AND(AY90&lt;&gt;"",AT90=""),"Qty received missing; ","")&amp;IF(AND(AY90&lt;&gt;"",BF90=""),"QC status missing; ","")&amp;IF(N(AT90)&gt;N(Q90)*1.05,"Received &gt; ordered +5%; ","")&amp;IF(AND(N(AI90)&gt;0,AE90=""),"Payment terms missing; ","")&amp;IF(N(AI90)&gt;N(AD90)+1,"Overpaid vs PO; ","")&amp;IF(AND(N(AK90)&gt;0,AY90&lt;&gt;"",AO90=""),"Payment due date missing; ","")="","OK",IF(AND(A90&lt;&gt;"",OR(B90="",C90="",E90="",F90="",H90="")),"PR info missing; ","")&amp;IF(AND(K90="Approved",OR(J90="",I90="")),"Approval ref/date missing; ","")&amp;IF(AND(O90&lt;&gt;"",K90&lt;&gt;"Approved"),"PO without approval; ","")&amp;IF(AND(O90&lt;&gt;"",OR(P90="",M90="",Q90="",S90="",T90="")),"PO details missing; ","")&amp;IF(AND(O90&lt;&gt;"",AR90=""),"Committed date missing; ","")&amp;IF(AND(ISNUMBER(J90),ISNUMBER(B90),N(J90)&lt;N(B90)),"Approval dated before PR; ","")&amp;IF(AND(ISNUMBER(P90),ISNUMBER(J90),N(P90)&lt;N(J90)),"PO dated before approval; ","")&amp;IF(AND(ISNUMBER(AY90),ISNUMBER(AS90),N(AY90)&lt;N(AS90)),"Close before in-house start; ","")&amp;IF(AND(AY90&lt;&gt;"",AS90=""),"In-house start date missing; ","")&amp;IF(AND(AY90&lt;&gt;"",AT90=""),"Qty received missing; ","")&amp;IF(AND(AY90&lt;&gt;"",BF90=""),"QC status missing; ","")&amp;IF(N(AT90)&gt;N(Q90)*1.05,"Received &gt; ordered +5%; ","")&amp;IF(AND(N(AI90)&gt;0,AE90=""),"Payment terms missing; ","")&amp;IF(N(AI90)&gt;N(AD90)+1,"Overpaid vs PO; ","")&amp;IF(AND(N(AK90)&gt;0,AY90&lt;&gt;"",AO90=""),"Payment due date missing; ","")))</f>
        <v/>
      </c>
      <c r="BK90" s="76" t="str">
        <f aca="false">IF(A90="","",IF(N(AP90)&gt;0,"Pay supplier: "&amp;N(AP90)&amp;" days overdue; ","")&amp;IF(AND(O90&lt;&gt;"",AY90="",N(BD90)&gt;0),"Expedite delivery: "&amp;N(BD90)&amp;" days late; ","")&amp;IF(AND(BI90="Awaiting Approval",ISNUMBER(B90),Settings!$B$4-N(B90)&gt;Settings!$B$19),"Get approval: PR waiting "&amp;(Settings!$B$4-N(B90))&amp;" days; ","")&amp;IF(AND(BI90="Approved - PO Pending",ISNUMBER(J90),Settings!$B$4-N(J90)&gt;Settings!$B$20),"Issue PO: approved "&amp;(Settings!$B$4-N(J90))&amp;" days ago; ","")&amp;IF(AND(OR(BI90="Awaiting Approval",BI90="Approved - PO Pending"),N(AB90)&gt;Settings!$B$7),"Negotiate price: "&amp;TEXT(AB90,"0%")&amp;" above budget; ","")&amp;IF(LEFT(AX90,12)="Short Closed","Short closed: claim balance / credit note"&amp;IF(N(AL90)&gt;0," BDT "&amp;TEXT(AL90,"#,##0"),"")&amp;"; ","")&amp;IF(BF90="Rejected","QC rejected: return / replace; ","")&amp;IF(AND(O90&lt;&gt;"",AY90="",N(AL90)&gt;0,N(BD90)&gt;0),"Advance at risk: BDT "&amp;TEXT(AL90,"#,##0")&amp;" paid, goods late; ","")&amp;IF(AND(BJ90&lt;&gt;"",BJ90&lt;&gt;"OK"),"Fix data entry (see Data Check); ",""))</f>
        <v/>
      </c>
      <c r="BL90" s="73" t="str">
        <f aca="false">IF(BK90="","",IF(OR(N(AP90)&gt;30,AND(AY90="",N(BD90)&gt;15),BF90="Rejected",AND(LEFT(AX90,12)="Short Closed",N(AL90)&gt;0),AND(O90&lt;&gt;"",AY90="",N(AL90)&gt;0,N(BD90)&gt;0)),"High",IF(OR(N(AP90)&gt;0,AND(AY90="",N(BD90)&gt;7),LEFT(AX90,12)="Short Closed",AND(BI90="Awaiting Approval",ISNUMBER(B90),Settings!$B$4-N(B90)&gt;2*Settings!$B$19),AND(BI90="Approved - PO Pending",ISNUMBER(J90),Settings!$B$4-N(J90)&gt;2*Settings!$B$20)),"Medium","Low")))</f>
        <v/>
      </c>
      <c r="BM90" s="77" t="str">
        <f aca="false">IF(BL90="","",IF(BL90="High",1,IF(BL90="Medium",2,3))*10000+ROW())</f>
        <v/>
      </c>
      <c r="BN90" s="62"/>
    </row>
    <row r="91" customFormat="false" ht="18" hidden="false" customHeight="true" outlineLevel="0" collapsed="false">
      <c r="A91" s="60"/>
      <c r="B91" s="61"/>
      <c r="C91" s="62"/>
      <c r="D91" s="62"/>
      <c r="E91" s="62"/>
      <c r="F91" s="62"/>
      <c r="G91" s="62"/>
      <c r="H91" s="60"/>
      <c r="I91" s="60"/>
      <c r="J91" s="61"/>
      <c r="K91" s="60"/>
      <c r="L91" s="60"/>
      <c r="M91" s="62"/>
      <c r="N91" s="60"/>
      <c r="O91" s="60"/>
      <c r="P91" s="61"/>
      <c r="Q91" s="63"/>
      <c r="R91" s="60"/>
      <c r="S91" s="64"/>
      <c r="T91" s="60"/>
      <c r="U91" s="65" t="str">
        <f aca="false">IF(AND(T91="",S91=""),"",IF(T91="",1,IFERROR(INDEX(Settings!$B$12:$B$16,MATCH(T91,Settings!$A$12:$A$16,0)),1)))</f>
        <v/>
      </c>
      <c r="V91" s="64"/>
      <c r="W91" s="66" t="str">
        <f aca="false">IF(OR(Q91="",S91=""),"",Q91*S91*U91)</f>
        <v/>
      </c>
      <c r="X91" s="65" t="str">
        <f aca="false">IF(OR(W91="",N(Q91)=0),"",W91/Q91)</f>
        <v/>
      </c>
      <c r="Y91" s="65" t="str">
        <f aca="false">IF(OR(X91="",P91="",E91=""),"",IF(_xlfn.MAXIFS($P$6:$P$205,$E$6:$E$205,E91,$P$6:$P$205,"&lt;"&amp;P91,$X$6:$X$205,"&gt;0")=0,"",IFERROR(AVERAGEIFS($X$6:$X$205,$E$6:$E$205,E91,$P$6:$P$205,_xlfn.MAXIFS($P$6:$P$205,$E$6:$E$205,E91,$P$6:$P$205,"&lt;"&amp;P91,$X$6:$X$205,"&gt;0"),$X$6:$X$205,"&gt;0"),"")))</f>
        <v/>
      </c>
      <c r="Z91" s="67" t="str">
        <f aca="false">IF(OR(Y91="",X91=""),"",X91/Y91-1)</f>
        <v/>
      </c>
      <c r="AA91" s="68" t="str">
        <f aca="false">IF(OR(W91="",V91=""),"",W91-Q91*V91)</f>
        <v/>
      </c>
      <c r="AB91" s="69" t="str">
        <f aca="false">IF(AA91="","",IF(N(V91)*N(Q91)=0,"",AA91/(Q91*V91)))</f>
        <v/>
      </c>
      <c r="AC91" s="70"/>
      <c r="AD91" s="66" t="str">
        <f aca="false">IF(W91="","",W91*(1+N(AC91)))</f>
        <v/>
      </c>
      <c r="AE91" s="62"/>
      <c r="AF91" s="71"/>
      <c r="AG91" s="71"/>
      <c r="AH91" s="71"/>
      <c r="AI91" s="66" t="str">
        <f aca="false">IF(A91="","",N(AF91)+N(AG91)+N(AH91))</f>
        <v/>
      </c>
      <c r="AJ91" s="72" t="str">
        <f aca="false">IF(AD91="","",IF(N(AD91)=0,"",AI91/AD91))</f>
        <v/>
      </c>
      <c r="AK91" s="66" t="str">
        <f aca="false">IF(AD91="","",IF(AD91-AI91&lt;1,0,ROUND(AD91-AI91,2)))</f>
        <v/>
      </c>
      <c r="AL91" s="66" t="str">
        <f aca="false">IF(OR(O91="",AD91=""),"",MAX(0,ROUND(N(AI91)-(AD91-N(AW91)),0)))</f>
        <v/>
      </c>
      <c r="AM91" s="73" t="str">
        <f aca="false">IF(A91="","",IF(O91="","No PO Yet",IF(AI91=0,"Not Paid",IF(N(AJ91)&gt;=0.999,"Fully Paid",IF(N(AG91)+N(AH91)&gt;0,"Partially Paid","Initial / Advance Paid")))))</f>
        <v/>
      </c>
      <c r="AN91" s="61"/>
      <c r="AO91" s="61"/>
      <c r="AP91" s="74" t="str">
        <f aca="false">IF(AK91="","",IF(OR(N(AK91)=0,AO91=""),"",MAX(0,Settings!$B$4-AO91)))</f>
        <v/>
      </c>
      <c r="AQ91" s="73" t="str">
        <f aca="false">IF(AK91="","",IF(N(AK91)&lt;=0,"",IF(AO91="","No Due Date",IF(Settings!$B$4&lt;=AO91,"Not Yet Due",IF(Settings!$B$4-AO91&lt;=30,"1-30 Days",IF(Settings!$B$4-AO91&lt;=60,"31-60 Days",IF(Settings!$B$4-AO91&lt;=90,"61-90 Days","90+ Days")))))))</f>
        <v/>
      </c>
      <c r="AR91" s="61"/>
      <c r="AS91" s="61"/>
      <c r="AT91" s="63"/>
      <c r="AU91" s="72" t="str">
        <f aca="false">IF(Q91="","",IF(N(Q91)=0,"",N(AT91)/Q91))</f>
        <v/>
      </c>
      <c r="AV91" s="75" t="str">
        <f aca="false">IF(OR(A91="",O91="",Q91=""),"",MAX(0,Q91-N(AT91)))</f>
        <v/>
      </c>
      <c r="AW91" s="66" t="str">
        <f aca="false">IF(OR(AV91="",W91=""),"",IF(N(Q91)=0,0,AV91/Q91*AD91))</f>
        <v/>
      </c>
      <c r="AX91" s="76" t="str">
        <f aca="false">IF(A91="","",IF(O91="","No PO Yet",IF(Q91="","Order Qty Missing",IF(N(AT91)&gt;=Q91,IF(N(AT91)&gt;Q91,"All In-house (+"&amp;TEXT(N(AT91)-Q91,"#,##0")&amp;" "&amp;R91&amp;" excess)","All In-house"),IF(AY91&lt;&gt;"","Short Closed - "&amp;TEXT(AV91,"#,##0")&amp;" "&amp;R91&amp;" not received",IF(N(AT91)=0,"Not Started - "&amp;TEXT(AV91,"#,##0")&amp;" "&amp;R91&amp;" pending","Pending "&amp;TEXT(AV91,"#,##0")&amp;" "&amp;R91&amp;" ("&amp;TEXT(AU91,"0%")&amp;" received)"))))))</f>
        <v/>
      </c>
      <c r="AY91" s="61"/>
      <c r="AZ91" s="77" t="str">
        <f aca="false">IF(OR(B91="",J91=""),"",J91-B91)</f>
        <v/>
      </c>
      <c r="BA91" s="77" t="str">
        <f aca="false">IF(OR(J91="",P91=""),"",P91-J91)</f>
        <v/>
      </c>
      <c r="BB91" s="77" t="str">
        <f aca="false">IF(OR(P91="",AY91=""),"",AY91-P91)</f>
        <v/>
      </c>
      <c r="BC91" s="77" t="str">
        <f aca="false">IF(OR(B91="",AY91=""),"",AY91-B91)</f>
        <v/>
      </c>
      <c r="BD91" s="74" t="str">
        <f aca="false">IF(OR(AR91="",O91=""),"",MAX(0,IF(AY91="",Settings!$B$4,AY91)-AR91))</f>
        <v/>
      </c>
      <c r="BE91" s="73" t="str">
        <f aca="false">IF(OR(AY91="",AR91=""),"",IF(AND(AY91&lt;=AR91,N(AU91)&gt;=Settings!$B$6),"OTIF","Not OTIF"))</f>
        <v/>
      </c>
      <c r="BF91" s="60"/>
      <c r="BG91" s="62"/>
      <c r="BH91" s="78"/>
      <c r="BI91" s="76" t="str">
        <f aca="false">IF(A91="","",IF(K91="Rejected","Rejected",IF(K91&lt;&gt;"Approved","Awaiting Approval",IF(O91="","Approved - PO Pending",IF(AY91&lt;&gt;"",IF(N(AJ91)&gt;=0.999,"Closed","In-house Closed - Payment Due"),IF(AS91&lt;&gt;"","Receiving In-house","PO Issued - Awaiting Delivery"))))))</f>
        <v/>
      </c>
      <c r="BJ91" s="76" t="str">
        <f aca="false">IF(A91="","",IF(IF(AND(A91&lt;&gt;"",OR(B91="",C91="",E91="",F91="",H91="")),"PR info missing; ","")&amp;IF(AND(K91="Approved",OR(J91="",I91="")),"Approval ref/date missing; ","")&amp;IF(AND(O91&lt;&gt;"",K91&lt;&gt;"Approved"),"PO without approval; ","")&amp;IF(AND(O91&lt;&gt;"",OR(P91="",M91="",Q91="",S91="",T91="")),"PO details missing; ","")&amp;IF(AND(O91&lt;&gt;"",AR91=""),"Committed date missing; ","")&amp;IF(AND(ISNUMBER(J91),ISNUMBER(B91),N(J91)&lt;N(B91)),"Approval dated before PR; ","")&amp;IF(AND(ISNUMBER(P91),ISNUMBER(J91),N(P91)&lt;N(J91)),"PO dated before approval; ","")&amp;IF(AND(ISNUMBER(AY91),ISNUMBER(AS91),N(AY91)&lt;N(AS91)),"Close before in-house start; ","")&amp;IF(AND(AY91&lt;&gt;"",AS91=""),"In-house start date missing; ","")&amp;IF(AND(AY91&lt;&gt;"",AT91=""),"Qty received missing; ","")&amp;IF(AND(AY91&lt;&gt;"",BF91=""),"QC status missing; ","")&amp;IF(N(AT91)&gt;N(Q91)*1.05,"Received &gt; ordered +5%; ","")&amp;IF(AND(N(AI91)&gt;0,AE91=""),"Payment terms missing; ","")&amp;IF(N(AI91)&gt;N(AD91)+1,"Overpaid vs PO; ","")&amp;IF(AND(N(AK91)&gt;0,AY91&lt;&gt;"",AO91=""),"Payment due date missing; ","")="","OK",IF(AND(A91&lt;&gt;"",OR(B91="",C91="",E91="",F91="",H91="")),"PR info missing; ","")&amp;IF(AND(K91="Approved",OR(J91="",I91="")),"Approval ref/date missing; ","")&amp;IF(AND(O91&lt;&gt;"",K91&lt;&gt;"Approved"),"PO without approval; ","")&amp;IF(AND(O91&lt;&gt;"",OR(P91="",M91="",Q91="",S91="",T91="")),"PO details missing; ","")&amp;IF(AND(O91&lt;&gt;"",AR91=""),"Committed date missing; ","")&amp;IF(AND(ISNUMBER(J91),ISNUMBER(B91),N(J91)&lt;N(B91)),"Approval dated before PR; ","")&amp;IF(AND(ISNUMBER(P91),ISNUMBER(J91),N(P91)&lt;N(J91)),"PO dated before approval; ","")&amp;IF(AND(ISNUMBER(AY91),ISNUMBER(AS91),N(AY91)&lt;N(AS91)),"Close before in-house start; ","")&amp;IF(AND(AY91&lt;&gt;"",AS91=""),"In-house start date missing; ","")&amp;IF(AND(AY91&lt;&gt;"",AT91=""),"Qty received missing; ","")&amp;IF(AND(AY91&lt;&gt;"",BF91=""),"QC status missing; ","")&amp;IF(N(AT91)&gt;N(Q91)*1.05,"Received &gt; ordered +5%; ","")&amp;IF(AND(N(AI91)&gt;0,AE91=""),"Payment terms missing; ","")&amp;IF(N(AI91)&gt;N(AD91)+1,"Overpaid vs PO; ","")&amp;IF(AND(N(AK91)&gt;0,AY91&lt;&gt;"",AO91=""),"Payment due date missing; ","")))</f>
        <v/>
      </c>
      <c r="BK91" s="76" t="str">
        <f aca="false">IF(A91="","",IF(N(AP91)&gt;0,"Pay supplier: "&amp;N(AP91)&amp;" days overdue; ","")&amp;IF(AND(O91&lt;&gt;"",AY91="",N(BD91)&gt;0),"Expedite delivery: "&amp;N(BD91)&amp;" days late; ","")&amp;IF(AND(BI91="Awaiting Approval",ISNUMBER(B91),Settings!$B$4-N(B91)&gt;Settings!$B$19),"Get approval: PR waiting "&amp;(Settings!$B$4-N(B91))&amp;" days; ","")&amp;IF(AND(BI91="Approved - PO Pending",ISNUMBER(J91),Settings!$B$4-N(J91)&gt;Settings!$B$20),"Issue PO: approved "&amp;(Settings!$B$4-N(J91))&amp;" days ago; ","")&amp;IF(AND(OR(BI91="Awaiting Approval",BI91="Approved - PO Pending"),N(AB91)&gt;Settings!$B$7),"Negotiate price: "&amp;TEXT(AB91,"0%")&amp;" above budget; ","")&amp;IF(LEFT(AX91,12)="Short Closed","Short closed: claim balance / credit note"&amp;IF(N(AL91)&gt;0," BDT "&amp;TEXT(AL91,"#,##0"),"")&amp;"; ","")&amp;IF(BF91="Rejected","QC rejected: return / replace; ","")&amp;IF(AND(O91&lt;&gt;"",AY91="",N(AL91)&gt;0,N(BD91)&gt;0),"Advance at risk: BDT "&amp;TEXT(AL91,"#,##0")&amp;" paid, goods late; ","")&amp;IF(AND(BJ91&lt;&gt;"",BJ91&lt;&gt;"OK"),"Fix data entry (see Data Check); ",""))</f>
        <v/>
      </c>
      <c r="BL91" s="73" t="str">
        <f aca="false">IF(BK91="","",IF(OR(N(AP91)&gt;30,AND(AY91="",N(BD91)&gt;15),BF91="Rejected",AND(LEFT(AX91,12)="Short Closed",N(AL91)&gt;0),AND(O91&lt;&gt;"",AY91="",N(AL91)&gt;0,N(BD91)&gt;0)),"High",IF(OR(N(AP91)&gt;0,AND(AY91="",N(BD91)&gt;7),LEFT(AX91,12)="Short Closed",AND(BI91="Awaiting Approval",ISNUMBER(B91),Settings!$B$4-N(B91)&gt;2*Settings!$B$19),AND(BI91="Approved - PO Pending",ISNUMBER(J91),Settings!$B$4-N(J91)&gt;2*Settings!$B$20)),"Medium","Low")))</f>
        <v/>
      </c>
      <c r="BM91" s="77" t="str">
        <f aca="false">IF(BL91="","",IF(BL91="High",1,IF(BL91="Medium",2,3))*10000+ROW())</f>
        <v/>
      </c>
      <c r="BN91" s="62"/>
    </row>
    <row r="92" customFormat="false" ht="18" hidden="false" customHeight="true" outlineLevel="0" collapsed="false">
      <c r="A92" s="60"/>
      <c r="B92" s="61"/>
      <c r="C92" s="62"/>
      <c r="D92" s="62"/>
      <c r="E92" s="62"/>
      <c r="F92" s="62"/>
      <c r="G92" s="62"/>
      <c r="H92" s="60"/>
      <c r="I92" s="60"/>
      <c r="J92" s="61"/>
      <c r="K92" s="60"/>
      <c r="L92" s="60"/>
      <c r="M92" s="62"/>
      <c r="N92" s="60"/>
      <c r="O92" s="60"/>
      <c r="P92" s="61"/>
      <c r="Q92" s="63"/>
      <c r="R92" s="60"/>
      <c r="S92" s="64"/>
      <c r="T92" s="60"/>
      <c r="U92" s="65" t="str">
        <f aca="false">IF(AND(T92="",S92=""),"",IF(T92="",1,IFERROR(INDEX(Settings!$B$12:$B$16,MATCH(T92,Settings!$A$12:$A$16,0)),1)))</f>
        <v/>
      </c>
      <c r="V92" s="64"/>
      <c r="W92" s="66" t="str">
        <f aca="false">IF(OR(Q92="",S92=""),"",Q92*S92*U92)</f>
        <v/>
      </c>
      <c r="X92" s="65" t="str">
        <f aca="false">IF(OR(W92="",N(Q92)=0),"",W92/Q92)</f>
        <v/>
      </c>
      <c r="Y92" s="65" t="str">
        <f aca="false">IF(OR(X92="",P92="",E92=""),"",IF(_xlfn.MAXIFS($P$6:$P$205,$E$6:$E$205,E92,$P$6:$P$205,"&lt;"&amp;P92,$X$6:$X$205,"&gt;0")=0,"",IFERROR(AVERAGEIFS($X$6:$X$205,$E$6:$E$205,E92,$P$6:$P$205,_xlfn.MAXIFS($P$6:$P$205,$E$6:$E$205,E92,$P$6:$P$205,"&lt;"&amp;P92,$X$6:$X$205,"&gt;0"),$X$6:$X$205,"&gt;0"),"")))</f>
        <v/>
      </c>
      <c r="Z92" s="67" t="str">
        <f aca="false">IF(OR(Y92="",X92=""),"",X92/Y92-1)</f>
        <v/>
      </c>
      <c r="AA92" s="68" t="str">
        <f aca="false">IF(OR(W92="",V92=""),"",W92-Q92*V92)</f>
        <v/>
      </c>
      <c r="AB92" s="69" t="str">
        <f aca="false">IF(AA92="","",IF(N(V92)*N(Q92)=0,"",AA92/(Q92*V92)))</f>
        <v/>
      </c>
      <c r="AC92" s="70"/>
      <c r="AD92" s="66" t="str">
        <f aca="false">IF(W92="","",W92*(1+N(AC92)))</f>
        <v/>
      </c>
      <c r="AE92" s="62"/>
      <c r="AF92" s="71"/>
      <c r="AG92" s="71"/>
      <c r="AH92" s="71"/>
      <c r="AI92" s="66" t="str">
        <f aca="false">IF(A92="","",N(AF92)+N(AG92)+N(AH92))</f>
        <v/>
      </c>
      <c r="AJ92" s="72" t="str">
        <f aca="false">IF(AD92="","",IF(N(AD92)=0,"",AI92/AD92))</f>
        <v/>
      </c>
      <c r="AK92" s="66" t="str">
        <f aca="false">IF(AD92="","",IF(AD92-AI92&lt;1,0,ROUND(AD92-AI92,2)))</f>
        <v/>
      </c>
      <c r="AL92" s="66" t="str">
        <f aca="false">IF(OR(O92="",AD92=""),"",MAX(0,ROUND(N(AI92)-(AD92-N(AW92)),0)))</f>
        <v/>
      </c>
      <c r="AM92" s="73" t="str">
        <f aca="false">IF(A92="","",IF(O92="","No PO Yet",IF(AI92=0,"Not Paid",IF(N(AJ92)&gt;=0.999,"Fully Paid",IF(N(AG92)+N(AH92)&gt;0,"Partially Paid","Initial / Advance Paid")))))</f>
        <v/>
      </c>
      <c r="AN92" s="61"/>
      <c r="AO92" s="61"/>
      <c r="AP92" s="74" t="str">
        <f aca="false">IF(AK92="","",IF(OR(N(AK92)=0,AO92=""),"",MAX(0,Settings!$B$4-AO92)))</f>
        <v/>
      </c>
      <c r="AQ92" s="73" t="str">
        <f aca="false">IF(AK92="","",IF(N(AK92)&lt;=0,"",IF(AO92="","No Due Date",IF(Settings!$B$4&lt;=AO92,"Not Yet Due",IF(Settings!$B$4-AO92&lt;=30,"1-30 Days",IF(Settings!$B$4-AO92&lt;=60,"31-60 Days",IF(Settings!$B$4-AO92&lt;=90,"61-90 Days","90+ Days")))))))</f>
        <v/>
      </c>
      <c r="AR92" s="61"/>
      <c r="AS92" s="61"/>
      <c r="AT92" s="63"/>
      <c r="AU92" s="72" t="str">
        <f aca="false">IF(Q92="","",IF(N(Q92)=0,"",N(AT92)/Q92))</f>
        <v/>
      </c>
      <c r="AV92" s="75" t="str">
        <f aca="false">IF(OR(A92="",O92="",Q92=""),"",MAX(0,Q92-N(AT92)))</f>
        <v/>
      </c>
      <c r="AW92" s="66" t="str">
        <f aca="false">IF(OR(AV92="",W92=""),"",IF(N(Q92)=0,0,AV92/Q92*AD92))</f>
        <v/>
      </c>
      <c r="AX92" s="76" t="str">
        <f aca="false">IF(A92="","",IF(O92="","No PO Yet",IF(Q92="","Order Qty Missing",IF(N(AT92)&gt;=Q92,IF(N(AT92)&gt;Q92,"All In-house (+"&amp;TEXT(N(AT92)-Q92,"#,##0")&amp;" "&amp;R92&amp;" excess)","All In-house"),IF(AY92&lt;&gt;"","Short Closed - "&amp;TEXT(AV92,"#,##0")&amp;" "&amp;R92&amp;" not received",IF(N(AT92)=0,"Not Started - "&amp;TEXT(AV92,"#,##0")&amp;" "&amp;R92&amp;" pending","Pending "&amp;TEXT(AV92,"#,##0")&amp;" "&amp;R92&amp;" ("&amp;TEXT(AU92,"0%")&amp;" received)"))))))</f>
        <v/>
      </c>
      <c r="AY92" s="61"/>
      <c r="AZ92" s="77" t="str">
        <f aca="false">IF(OR(B92="",J92=""),"",J92-B92)</f>
        <v/>
      </c>
      <c r="BA92" s="77" t="str">
        <f aca="false">IF(OR(J92="",P92=""),"",P92-J92)</f>
        <v/>
      </c>
      <c r="BB92" s="77" t="str">
        <f aca="false">IF(OR(P92="",AY92=""),"",AY92-P92)</f>
        <v/>
      </c>
      <c r="BC92" s="77" t="str">
        <f aca="false">IF(OR(B92="",AY92=""),"",AY92-B92)</f>
        <v/>
      </c>
      <c r="BD92" s="74" t="str">
        <f aca="false">IF(OR(AR92="",O92=""),"",MAX(0,IF(AY92="",Settings!$B$4,AY92)-AR92))</f>
        <v/>
      </c>
      <c r="BE92" s="73" t="str">
        <f aca="false">IF(OR(AY92="",AR92=""),"",IF(AND(AY92&lt;=AR92,N(AU92)&gt;=Settings!$B$6),"OTIF","Not OTIF"))</f>
        <v/>
      </c>
      <c r="BF92" s="60"/>
      <c r="BG92" s="62"/>
      <c r="BH92" s="78"/>
      <c r="BI92" s="76" t="str">
        <f aca="false">IF(A92="","",IF(K92="Rejected","Rejected",IF(K92&lt;&gt;"Approved","Awaiting Approval",IF(O92="","Approved - PO Pending",IF(AY92&lt;&gt;"",IF(N(AJ92)&gt;=0.999,"Closed","In-house Closed - Payment Due"),IF(AS92&lt;&gt;"","Receiving In-house","PO Issued - Awaiting Delivery"))))))</f>
        <v/>
      </c>
      <c r="BJ92" s="76" t="str">
        <f aca="false">IF(A92="","",IF(IF(AND(A92&lt;&gt;"",OR(B92="",C92="",E92="",F92="",H92="")),"PR info missing; ","")&amp;IF(AND(K92="Approved",OR(J92="",I92="")),"Approval ref/date missing; ","")&amp;IF(AND(O92&lt;&gt;"",K92&lt;&gt;"Approved"),"PO without approval; ","")&amp;IF(AND(O92&lt;&gt;"",OR(P92="",M92="",Q92="",S92="",T92="")),"PO details missing; ","")&amp;IF(AND(O92&lt;&gt;"",AR92=""),"Committed date missing; ","")&amp;IF(AND(ISNUMBER(J92),ISNUMBER(B92),N(J92)&lt;N(B92)),"Approval dated before PR; ","")&amp;IF(AND(ISNUMBER(P92),ISNUMBER(J92),N(P92)&lt;N(J92)),"PO dated before approval; ","")&amp;IF(AND(ISNUMBER(AY92),ISNUMBER(AS92),N(AY92)&lt;N(AS92)),"Close before in-house start; ","")&amp;IF(AND(AY92&lt;&gt;"",AS92=""),"In-house start date missing; ","")&amp;IF(AND(AY92&lt;&gt;"",AT92=""),"Qty received missing; ","")&amp;IF(AND(AY92&lt;&gt;"",BF92=""),"QC status missing; ","")&amp;IF(N(AT92)&gt;N(Q92)*1.05,"Received &gt; ordered +5%; ","")&amp;IF(AND(N(AI92)&gt;0,AE92=""),"Payment terms missing; ","")&amp;IF(N(AI92)&gt;N(AD92)+1,"Overpaid vs PO; ","")&amp;IF(AND(N(AK92)&gt;0,AY92&lt;&gt;"",AO92=""),"Payment due date missing; ","")="","OK",IF(AND(A92&lt;&gt;"",OR(B92="",C92="",E92="",F92="",H92="")),"PR info missing; ","")&amp;IF(AND(K92="Approved",OR(J92="",I92="")),"Approval ref/date missing; ","")&amp;IF(AND(O92&lt;&gt;"",K92&lt;&gt;"Approved"),"PO without approval; ","")&amp;IF(AND(O92&lt;&gt;"",OR(P92="",M92="",Q92="",S92="",T92="")),"PO details missing; ","")&amp;IF(AND(O92&lt;&gt;"",AR92=""),"Committed date missing; ","")&amp;IF(AND(ISNUMBER(J92),ISNUMBER(B92),N(J92)&lt;N(B92)),"Approval dated before PR; ","")&amp;IF(AND(ISNUMBER(P92),ISNUMBER(J92),N(P92)&lt;N(J92)),"PO dated before approval; ","")&amp;IF(AND(ISNUMBER(AY92),ISNUMBER(AS92),N(AY92)&lt;N(AS92)),"Close before in-house start; ","")&amp;IF(AND(AY92&lt;&gt;"",AS92=""),"In-house start date missing; ","")&amp;IF(AND(AY92&lt;&gt;"",AT92=""),"Qty received missing; ","")&amp;IF(AND(AY92&lt;&gt;"",BF92=""),"QC status missing; ","")&amp;IF(N(AT92)&gt;N(Q92)*1.05,"Received &gt; ordered +5%; ","")&amp;IF(AND(N(AI92)&gt;0,AE92=""),"Payment terms missing; ","")&amp;IF(N(AI92)&gt;N(AD92)+1,"Overpaid vs PO; ","")&amp;IF(AND(N(AK92)&gt;0,AY92&lt;&gt;"",AO92=""),"Payment due date missing; ","")))</f>
        <v/>
      </c>
      <c r="BK92" s="76" t="str">
        <f aca="false">IF(A92="","",IF(N(AP92)&gt;0,"Pay supplier: "&amp;N(AP92)&amp;" days overdue; ","")&amp;IF(AND(O92&lt;&gt;"",AY92="",N(BD92)&gt;0),"Expedite delivery: "&amp;N(BD92)&amp;" days late; ","")&amp;IF(AND(BI92="Awaiting Approval",ISNUMBER(B92),Settings!$B$4-N(B92)&gt;Settings!$B$19),"Get approval: PR waiting "&amp;(Settings!$B$4-N(B92))&amp;" days; ","")&amp;IF(AND(BI92="Approved - PO Pending",ISNUMBER(J92),Settings!$B$4-N(J92)&gt;Settings!$B$20),"Issue PO: approved "&amp;(Settings!$B$4-N(J92))&amp;" days ago; ","")&amp;IF(AND(OR(BI92="Awaiting Approval",BI92="Approved - PO Pending"),N(AB92)&gt;Settings!$B$7),"Negotiate price: "&amp;TEXT(AB92,"0%")&amp;" above budget; ","")&amp;IF(LEFT(AX92,12)="Short Closed","Short closed: claim balance / credit note"&amp;IF(N(AL92)&gt;0," BDT "&amp;TEXT(AL92,"#,##0"),"")&amp;"; ","")&amp;IF(BF92="Rejected","QC rejected: return / replace; ","")&amp;IF(AND(O92&lt;&gt;"",AY92="",N(AL92)&gt;0,N(BD92)&gt;0),"Advance at risk: BDT "&amp;TEXT(AL92,"#,##0")&amp;" paid, goods late; ","")&amp;IF(AND(BJ92&lt;&gt;"",BJ92&lt;&gt;"OK"),"Fix data entry (see Data Check); ",""))</f>
        <v/>
      </c>
      <c r="BL92" s="73" t="str">
        <f aca="false">IF(BK92="","",IF(OR(N(AP92)&gt;30,AND(AY92="",N(BD92)&gt;15),BF92="Rejected",AND(LEFT(AX92,12)="Short Closed",N(AL92)&gt;0),AND(O92&lt;&gt;"",AY92="",N(AL92)&gt;0,N(BD92)&gt;0)),"High",IF(OR(N(AP92)&gt;0,AND(AY92="",N(BD92)&gt;7),LEFT(AX92,12)="Short Closed",AND(BI92="Awaiting Approval",ISNUMBER(B92),Settings!$B$4-N(B92)&gt;2*Settings!$B$19),AND(BI92="Approved - PO Pending",ISNUMBER(J92),Settings!$B$4-N(J92)&gt;2*Settings!$B$20)),"Medium","Low")))</f>
        <v/>
      </c>
      <c r="BM92" s="77" t="str">
        <f aca="false">IF(BL92="","",IF(BL92="High",1,IF(BL92="Medium",2,3))*10000+ROW())</f>
        <v/>
      </c>
      <c r="BN92" s="62"/>
    </row>
    <row r="93" customFormat="false" ht="18" hidden="false" customHeight="true" outlineLevel="0" collapsed="false">
      <c r="A93" s="60"/>
      <c r="B93" s="61"/>
      <c r="C93" s="62"/>
      <c r="D93" s="62"/>
      <c r="E93" s="62"/>
      <c r="F93" s="62"/>
      <c r="G93" s="62"/>
      <c r="H93" s="60"/>
      <c r="I93" s="60"/>
      <c r="J93" s="61"/>
      <c r="K93" s="60"/>
      <c r="L93" s="60"/>
      <c r="M93" s="62"/>
      <c r="N93" s="60"/>
      <c r="O93" s="60"/>
      <c r="P93" s="61"/>
      <c r="Q93" s="63"/>
      <c r="R93" s="60"/>
      <c r="S93" s="64"/>
      <c r="T93" s="60"/>
      <c r="U93" s="65" t="str">
        <f aca="false">IF(AND(T93="",S93=""),"",IF(T93="",1,IFERROR(INDEX(Settings!$B$12:$B$16,MATCH(T93,Settings!$A$12:$A$16,0)),1)))</f>
        <v/>
      </c>
      <c r="V93" s="64"/>
      <c r="W93" s="66" t="str">
        <f aca="false">IF(OR(Q93="",S93=""),"",Q93*S93*U93)</f>
        <v/>
      </c>
      <c r="X93" s="65" t="str">
        <f aca="false">IF(OR(W93="",N(Q93)=0),"",W93/Q93)</f>
        <v/>
      </c>
      <c r="Y93" s="65" t="str">
        <f aca="false">IF(OR(X93="",P93="",E93=""),"",IF(_xlfn.MAXIFS($P$6:$P$205,$E$6:$E$205,E93,$P$6:$P$205,"&lt;"&amp;P93,$X$6:$X$205,"&gt;0")=0,"",IFERROR(AVERAGEIFS($X$6:$X$205,$E$6:$E$205,E93,$P$6:$P$205,_xlfn.MAXIFS($P$6:$P$205,$E$6:$E$205,E93,$P$6:$P$205,"&lt;"&amp;P93,$X$6:$X$205,"&gt;0"),$X$6:$X$205,"&gt;0"),"")))</f>
        <v/>
      </c>
      <c r="Z93" s="67" t="str">
        <f aca="false">IF(OR(Y93="",X93=""),"",X93/Y93-1)</f>
        <v/>
      </c>
      <c r="AA93" s="68" t="str">
        <f aca="false">IF(OR(W93="",V93=""),"",W93-Q93*V93)</f>
        <v/>
      </c>
      <c r="AB93" s="69" t="str">
        <f aca="false">IF(AA93="","",IF(N(V93)*N(Q93)=0,"",AA93/(Q93*V93)))</f>
        <v/>
      </c>
      <c r="AC93" s="70"/>
      <c r="AD93" s="66" t="str">
        <f aca="false">IF(W93="","",W93*(1+N(AC93)))</f>
        <v/>
      </c>
      <c r="AE93" s="62"/>
      <c r="AF93" s="71"/>
      <c r="AG93" s="71"/>
      <c r="AH93" s="71"/>
      <c r="AI93" s="66" t="str">
        <f aca="false">IF(A93="","",N(AF93)+N(AG93)+N(AH93))</f>
        <v/>
      </c>
      <c r="AJ93" s="72" t="str">
        <f aca="false">IF(AD93="","",IF(N(AD93)=0,"",AI93/AD93))</f>
        <v/>
      </c>
      <c r="AK93" s="66" t="str">
        <f aca="false">IF(AD93="","",IF(AD93-AI93&lt;1,0,ROUND(AD93-AI93,2)))</f>
        <v/>
      </c>
      <c r="AL93" s="66" t="str">
        <f aca="false">IF(OR(O93="",AD93=""),"",MAX(0,ROUND(N(AI93)-(AD93-N(AW93)),0)))</f>
        <v/>
      </c>
      <c r="AM93" s="73" t="str">
        <f aca="false">IF(A93="","",IF(O93="","No PO Yet",IF(AI93=0,"Not Paid",IF(N(AJ93)&gt;=0.999,"Fully Paid",IF(N(AG93)+N(AH93)&gt;0,"Partially Paid","Initial / Advance Paid")))))</f>
        <v/>
      </c>
      <c r="AN93" s="61"/>
      <c r="AO93" s="61"/>
      <c r="AP93" s="74" t="str">
        <f aca="false">IF(AK93="","",IF(OR(N(AK93)=0,AO93=""),"",MAX(0,Settings!$B$4-AO93)))</f>
        <v/>
      </c>
      <c r="AQ93" s="73" t="str">
        <f aca="false">IF(AK93="","",IF(N(AK93)&lt;=0,"",IF(AO93="","No Due Date",IF(Settings!$B$4&lt;=AO93,"Not Yet Due",IF(Settings!$B$4-AO93&lt;=30,"1-30 Days",IF(Settings!$B$4-AO93&lt;=60,"31-60 Days",IF(Settings!$B$4-AO93&lt;=90,"61-90 Days","90+ Days")))))))</f>
        <v/>
      </c>
      <c r="AR93" s="61"/>
      <c r="AS93" s="61"/>
      <c r="AT93" s="63"/>
      <c r="AU93" s="72" t="str">
        <f aca="false">IF(Q93="","",IF(N(Q93)=0,"",N(AT93)/Q93))</f>
        <v/>
      </c>
      <c r="AV93" s="75" t="str">
        <f aca="false">IF(OR(A93="",O93="",Q93=""),"",MAX(0,Q93-N(AT93)))</f>
        <v/>
      </c>
      <c r="AW93" s="66" t="str">
        <f aca="false">IF(OR(AV93="",W93=""),"",IF(N(Q93)=0,0,AV93/Q93*AD93))</f>
        <v/>
      </c>
      <c r="AX93" s="76" t="str">
        <f aca="false">IF(A93="","",IF(O93="","No PO Yet",IF(Q93="","Order Qty Missing",IF(N(AT93)&gt;=Q93,IF(N(AT93)&gt;Q93,"All In-house (+"&amp;TEXT(N(AT93)-Q93,"#,##0")&amp;" "&amp;R93&amp;" excess)","All In-house"),IF(AY93&lt;&gt;"","Short Closed - "&amp;TEXT(AV93,"#,##0")&amp;" "&amp;R93&amp;" not received",IF(N(AT93)=0,"Not Started - "&amp;TEXT(AV93,"#,##0")&amp;" "&amp;R93&amp;" pending","Pending "&amp;TEXT(AV93,"#,##0")&amp;" "&amp;R93&amp;" ("&amp;TEXT(AU93,"0%")&amp;" received)"))))))</f>
        <v/>
      </c>
      <c r="AY93" s="61"/>
      <c r="AZ93" s="77" t="str">
        <f aca="false">IF(OR(B93="",J93=""),"",J93-B93)</f>
        <v/>
      </c>
      <c r="BA93" s="77" t="str">
        <f aca="false">IF(OR(J93="",P93=""),"",P93-J93)</f>
        <v/>
      </c>
      <c r="BB93" s="77" t="str">
        <f aca="false">IF(OR(P93="",AY93=""),"",AY93-P93)</f>
        <v/>
      </c>
      <c r="BC93" s="77" t="str">
        <f aca="false">IF(OR(B93="",AY93=""),"",AY93-B93)</f>
        <v/>
      </c>
      <c r="BD93" s="74" t="str">
        <f aca="false">IF(OR(AR93="",O93=""),"",MAX(0,IF(AY93="",Settings!$B$4,AY93)-AR93))</f>
        <v/>
      </c>
      <c r="BE93" s="73" t="str">
        <f aca="false">IF(OR(AY93="",AR93=""),"",IF(AND(AY93&lt;=AR93,N(AU93)&gt;=Settings!$B$6),"OTIF","Not OTIF"))</f>
        <v/>
      </c>
      <c r="BF93" s="60"/>
      <c r="BG93" s="62"/>
      <c r="BH93" s="78"/>
      <c r="BI93" s="76" t="str">
        <f aca="false">IF(A93="","",IF(K93="Rejected","Rejected",IF(K93&lt;&gt;"Approved","Awaiting Approval",IF(O93="","Approved - PO Pending",IF(AY93&lt;&gt;"",IF(N(AJ93)&gt;=0.999,"Closed","In-house Closed - Payment Due"),IF(AS93&lt;&gt;"","Receiving In-house","PO Issued - Awaiting Delivery"))))))</f>
        <v/>
      </c>
      <c r="BJ93" s="76" t="str">
        <f aca="false">IF(A93="","",IF(IF(AND(A93&lt;&gt;"",OR(B93="",C93="",E93="",F93="",H93="")),"PR info missing; ","")&amp;IF(AND(K93="Approved",OR(J93="",I93="")),"Approval ref/date missing; ","")&amp;IF(AND(O93&lt;&gt;"",K93&lt;&gt;"Approved"),"PO without approval; ","")&amp;IF(AND(O93&lt;&gt;"",OR(P93="",M93="",Q93="",S93="",T93="")),"PO details missing; ","")&amp;IF(AND(O93&lt;&gt;"",AR93=""),"Committed date missing; ","")&amp;IF(AND(ISNUMBER(J93),ISNUMBER(B93),N(J93)&lt;N(B93)),"Approval dated before PR; ","")&amp;IF(AND(ISNUMBER(P93),ISNUMBER(J93),N(P93)&lt;N(J93)),"PO dated before approval; ","")&amp;IF(AND(ISNUMBER(AY93),ISNUMBER(AS93),N(AY93)&lt;N(AS93)),"Close before in-house start; ","")&amp;IF(AND(AY93&lt;&gt;"",AS93=""),"In-house start date missing; ","")&amp;IF(AND(AY93&lt;&gt;"",AT93=""),"Qty received missing; ","")&amp;IF(AND(AY93&lt;&gt;"",BF93=""),"QC status missing; ","")&amp;IF(N(AT93)&gt;N(Q93)*1.05,"Received &gt; ordered +5%; ","")&amp;IF(AND(N(AI93)&gt;0,AE93=""),"Payment terms missing; ","")&amp;IF(N(AI93)&gt;N(AD93)+1,"Overpaid vs PO; ","")&amp;IF(AND(N(AK93)&gt;0,AY93&lt;&gt;"",AO93=""),"Payment due date missing; ","")="","OK",IF(AND(A93&lt;&gt;"",OR(B93="",C93="",E93="",F93="",H93="")),"PR info missing; ","")&amp;IF(AND(K93="Approved",OR(J93="",I93="")),"Approval ref/date missing; ","")&amp;IF(AND(O93&lt;&gt;"",K93&lt;&gt;"Approved"),"PO without approval; ","")&amp;IF(AND(O93&lt;&gt;"",OR(P93="",M93="",Q93="",S93="",T93="")),"PO details missing; ","")&amp;IF(AND(O93&lt;&gt;"",AR93=""),"Committed date missing; ","")&amp;IF(AND(ISNUMBER(J93),ISNUMBER(B93),N(J93)&lt;N(B93)),"Approval dated before PR; ","")&amp;IF(AND(ISNUMBER(P93),ISNUMBER(J93),N(P93)&lt;N(J93)),"PO dated before approval; ","")&amp;IF(AND(ISNUMBER(AY93),ISNUMBER(AS93),N(AY93)&lt;N(AS93)),"Close before in-house start; ","")&amp;IF(AND(AY93&lt;&gt;"",AS93=""),"In-house start date missing; ","")&amp;IF(AND(AY93&lt;&gt;"",AT93=""),"Qty received missing; ","")&amp;IF(AND(AY93&lt;&gt;"",BF93=""),"QC status missing; ","")&amp;IF(N(AT93)&gt;N(Q93)*1.05,"Received &gt; ordered +5%; ","")&amp;IF(AND(N(AI93)&gt;0,AE93=""),"Payment terms missing; ","")&amp;IF(N(AI93)&gt;N(AD93)+1,"Overpaid vs PO; ","")&amp;IF(AND(N(AK93)&gt;0,AY93&lt;&gt;"",AO93=""),"Payment due date missing; ","")))</f>
        <v/>
      </c>
      <c r="BK93" s="76" t="str">
        <f aca="false">IF(A93="","",IF(N(AP93)&gt;0,"Pay supplier: "&amp;N(AP93)&amp;" days overdue; ","")&amp;IF(AND(O93&lt;&gt;"",AY93="",N(BD93)&gt;0),"Expedite delivery: "&amp;N(BD93)&amp;" days late; ","")&amp;IF(AND(BI93="Awaiting Approval",ISNUMBER(B93),Settings!$B$4-N(B93)&gt;Settings!$B$19),"Get approval: PR waiting "&amp;(Settings!$B$4-N(B93))&amp;" days; ","")&amp;IF(AND(BI93="Approved - PO Pending",ISNUMBER(J93),Settings!$B$4-N(J93)&gt;Settings!$B$20),"Issue PO: approved "&amp;(Settings!$B$4-N(J93))&amp;" days ago; ","")&amp;IF(AND(OR(BI93="Awaiting Approval",BI93="Approved - PO Pending"),N(AB93)&gt;Settings!$B$7),"Negotiate price: "&amp;TEXT(AB93,"0%")&amp;" above budget; ","")&amp;IF(LEFT(AX93,12)="Short Closed","Short closed: claim balance / credit note"&amp;IF(N(AL93)&gt;0," BDT "&amp;TEXT(AL93,"#,##0"),"")&amp;"; ","")&amp;IF(BF93="Rejected","QC rejected: return / replace; ","")&amp;IF(AND(O93&lt;&gt;"",AY93="",N(AL93)&gt;0,N(BD93)&gt;0),"Advance at risk: BDT "&amp;TEXT(AL93,"#,##0")&amp;" paid, goods late; ","")&amp;IF(AND(BJ93&lt;&gt;"",BJ93&lt;&gt;"OK"),"Fix data entry (see Data Check); ",""))</f>
        <v/>
      </c>
      <c r="BL93" s="73" t="str">
        <f aca="false">IF(BK93="","",IF(OR(N(AP93)&gt;30,AND(AY93="",N(BD93)&gt;15),BF93="Rejected",AND(LEFT(AX93,12)="Short Closed",N(AL93)&gt;0),AND(O93&lt;&gt;"",AY93="",N(AL93)&gt;0,N(BD93)&gt;0)),"High",IF(OR(N(AP93)&gt;0,AND(AY93="",N(BD93)&gt;7),LEFT(AX93,12)="Short Closed",AND(BI93="Awaiting Approval",ISNUMBER(B93),Settings!$B$4-N(B93)&gt;2*Settings!$B$19),AND(BI93="Approved - PO Pending",ISNUMBER(J93),Settings!$B$4-N(J93)&gt;2*Settings!$B$20)),"Medium","Low")))</f>
        <v/>
      </c>
      <c r="BM93" s="77" t="str">
        <f aca="false">IF(BL93="","",IF(BL93="High",1,IF(BL93="Medium",2,3))*10000+ROW())</f>
        <v/>
      </c>
      <c r="BN93" s="62"/>
    </row>
    <row r="94" customFormat="false" ht="18" hidden="false" customHeight="true" outlineLevel="0" collapsed="false">
      <c r="A94" s="60"/>
      <c r="B94" s="61"/>
      <c r="C94" s="62"/>
      <c r="D94" s="62"/>
      <c r="E94" s="62"/>
      <c r="F94" s="62"/>
      <c r="G94" s="62"/>
      <c r="H94" s="60"/>
      <c r="I94" s="60"/>
      <c r="J94" s="61"/>
      <c r="K94" s="60"/>
      <c r="L94" s="60"/>
      <c r="M94" s="62"/>
      <c r="N94" s="60"/>
      <c r="O94" s="60"/>
      <c r="P94" s="61"/>
      <c r="Q94" s="63"/>
      <c r="R94" s="60"/>
      <c r="S94" s="64"/>
      <c r="T94" s="60"/>
      <c r="U94" s="65" t="str">
        <f aca="false">IF(AND(T94="",S94=""),"",IF(T94="",1,IFERROR(INDEX(Settings!$B$12:$B$16,MATCH(T94,Settings!$A$12:$A$16,0)),1)))</f>
        <v/>
      </c>
      <c r="V94" s="64"/>
      <c r="W94" s="66" t="str">
        <f aca="false">IF(OR(Q94="",S94=""),"",Q94*S94*U94)</f>
        <v/>
      </c>
      <c r="X94" s="65" t="str">
        <f aca="false">IF(OR(W94="",N(Q94)=0),"",W94/Q94)</f>
        <v/>
      </c>
      <c r="Y94" s="65" t="str">
        <f aca="false">IF(OR(X94="",P94="",E94=""),"",IF(_xlfn.MAXIFS($P$6:$P$205,$E$6:$E$205,E94,$P$6:$P$205,"&lt;"&amp;P94,$X$6:$X$205,"&gt;0")=0,"",IFERROR(AVERAGEIFS($X$6:$X$205,$E$6:$E$205,E94,$P$6:$P$205,_xlfn.MAXIFS($P$6:$P$205,$E$6:$E$205,E94,$P$6:$P$205,"&lt;"&amp;P94,$X$6:$X$205,"&gt;0"),$X$6:$X$205,"&gt;0"),"")))</f>
        <v/>
      </c>
      <c r="Z94" s="67" t="str">
        <f aca="false">IF(OR(Y94="",X94=""),"",X94/Y94-1)</f>
        <v/>
      </c>
      <c r="AA94" s="68" t="str">
        <f aca="false">IF(OR(W94="",V94=""),"",W94-Q94*V94)</f>
        <v/>
      </c>
      <c r="AB94" s="69" t="str">
        <f aca="false">IF(AA94="","",IF(N(V94)*N(Q94)=0,"",AA94/(Q94*V94)))</f>
        <v/>
      </c>
      <c r="AC94" s="70"/>
      <c r="AD94" s="66" t="str">
        <f aca="false">IF(W94="","",W94*(1+N(AC94)))</f>
        <v/>
      </c>
      <c r="AE94" s="62"/>
      <c r="AF94" s="71"/>
      <c r="AG94" s="71"/>
      <c r="AH94" s="71"/>
      <c r="AI94" s="66" t="str">
        <f aca="false">IF(A94="","",N(AF94)+N(AG94)+N(AH94))</f>
        <v/>
      </c>
      <c r="AJ94" s="72" t="str">
        <f aca="false">IF(AD94="","",IF(N(AD94)=0,"",AI94/AD94))</f>
        <v/>
      </c>
      <c r="AK94" s="66" t="str">
        <f aca="false">IF(AD94="","",IF(AD94-AI94&lt;1,0,ROUND(AD94-AI94,2)))</f>
        <v/>
      </c>
      <c r="AL94" s="66" t="str">
        <f aca="false">IF(OR(O94="",AD94=""),"",MAX(0,ROUND(N(AI94)-(AD94-N(AW94)),0)))</f>
        <v/>
      </c>
      <c r="AM94" s="73" t="str">
        <f aca="false">IF(A94="","",IF(O94="","No PO Yet",IF(AI94=0,"Not Paid",IF(N(AJ94)&gt;=0.999,"Fully Paid",IF(N(AG94)+N(AH94)&gt;0,"Partially Paid","Initial / Advance Paid")))))</f>
        <v/>
      </c>
      <c r="AN94" s="61"/>
      <c r="AO94" s="61"/>
      <c r="AP94" s="74" t="str">
        <f aca="false">IF(AK94="","",IF(OR(N(AK94)=0,AO94=""),"",MAX(0,Settings!$B$4-AO94)))</f>
        <v/>
      </c>
      <c r="AQ94" s="73" t="str">
        <f aca="false">IF(AK94="","",IF(N(AK94)&lt;=0,"",IF(AO94="","No Due Date",IF(Settings!$B$4&lt;=AO94,"Not Yet Due",IF(Settings!$B$4-AO94&lt;=30,"1-30 Days",IF(Settings!$B$4-AO94&lt;=60,"31-60 Days",IF(Settings!$B$4-AO94&lt;=90,"61-90 Days","90+ Days")))))))</f>
        <v/>
      </c>
      <c r="AR94" s="61"/>
      <c r="AS94" s="61"/>
      <c r="AT94" s="63"/>
      <c r="AU94" s="72" t="str">
        <f aca="false">IF(Q94="","",IF(N(Q94)=0,"",N(AT94)/Q94))</f>
        <v/>
      </c>
      <c r="AV94" s="75" t="str">
        <f aca="false">IF(OR(A94="",O94="",Q94=""),"",MAX(0,Q94-N(AT94)))</f>
        <v/>
      </c>
      <c r="AW94" s="66" t="str">
        <f aca="false">IF(OR(AV94="",W94=""),"",IF(N(Q94)=0,0,AV94/Q94*AD94))</f>
        <v/>
      </c>
      <c r="AX94" s="76" t="str">
        <f aca="false">IF(A94="","",IF(O94="","No PO Yet",IF(Q94="","Order Qty Missing",IF(N(AT94)&gt;=Q94,IF(N(AT94)&gt;Q94,"All In-house (+"&amp;TEXT(N(AT94)-Q94,"#,##0")&amp;" "&amp;R94&amp;" excess)","All In-house"),IF(AY94&lt;&gt;"","Short Closed - "&amp;TEXT(AV94,"#,##0")&amp;" "&amp;R94&amp;" not received",IF(N(AT94)=0,"Not Started - "&amp;TEXT(AV94,"#,##0")&amp;" "&amp;R94&amp;" pending","Pending "&amp;TEXT(AV94,"#,##0")&amp;" "&amp;R94&amp;" ("&amp;TEXT(AU94,"0%")&amp;" received)"))))))</f>
        <v/>
      </c>
      <c r="AY94" s="61"/>
      <c r="AZ94" s="77" t="str">
        <f aca="false">IF(OR(B94="",J94=""),"",J94-B94)</f>
        <v/>
      </c>
      <c r="BA94" s="77" t="str">
        <f aca="false">IF(OR(J94="",P94=""),"",P94-J94)</f>
        <v/>
      </c>
      <c r="BB94" s="77" t="str">
        <f aca="false">IF(OR(P94="",AY94=""),"",AY94-P94)</f>
        <v/>
      </c>
      <c r="BC94" s="77" t="str">
        <f aca="false">IF(OR(B94="",AY94=""),"",AY94-B94)</f>
        <v/>
      </c>
      <c r="BD94" s="74" t="str">
        <f aca="false">IF(OR(AR94="",O94=""),"",MAX(0,IF(AY94="",Settings!$B$4,AY94)-AR94))</f>
        <v/>
      </c>
      <c r="BE94" s="73" t="str">
        <f aca="false">IF(OR(AY94="",AR94=""),"",IF(AND(AY94&lt;=AR94,N(AU94)&gt;=Settings!$B$6),"OTIF","Not OTIF"))</f>
        <v/>
      </c>
      <c r="BF94" s="60"/>
      <c r="BG94" s="62"/>
      <c r="BH94" s="78"/>
      <c r="BI94" s="76" t="str">
        <f aca="false">IF(A94="","",IF(K94="Rejected","Rejected",IF(K94&lt;&gt;"Approved","Awaiting Approval",IF(O94="","Approved - PO Pending",IF(AY94&lt;&gt;"",IF(N(AJ94)&gt;=0.999,"Closed","In-house Closed - Payment Due"),IF(AS94&lt;&gt;"","Receiving In-house","PO Issued - Awaiting Delivery"))))))</f>
        <v/>
      </c>
      <c r="BJ94" s="76" t="str">
        <f aca="false">IF(A94="","",IF(IF(AND(A94&lt;&gt;"",OR(B94="",C94="",E94="",F94="",H94="")),"PR info missing; ","")&amp;IF(AND(K94="Approved",OR(J94="",I94="")),"Approval ref/date missing; ","")&amp;IF(AND(O94&lt;&gt;"",K94&lt;&gt;"Approved"),"PO without approval; ","")&amp;IF(AND(O94&lt;&gt;"",OR(P94="",M94="",Q94="",S94="",T94="")),"PO details missing; ","")&amp;IF(AND(O94&lt;&gt;"",AR94=""),"Committed date missing; ","")&amp;IF(AND(ISNUMBER(J94),ISNUMBER(B94),N(J94)&lt;N(B94)),"Approval dated before PR; ","")&amp;IF(AND(ISNUMBER(P94),ISNUMBER(J94),N(P94)&lt;N(J94)),"PO dated before approval; ","")&amp;IF(AND(ISNUMBER(AY94),ISNUMBER(AS94),N(AY94)&lt;N(AS94)),"Close before in-house start; ","")&amp;IF(AND(AY94&lt;&gt;"",AS94=""),"In-house start date missing; ","")&amp;IF(AND(AY94&lt;&gt;"",AT94=""),"Qty received missing; ","")&amp;IF(AND(AY94&lt;&gt;"",BF94=""),"QC status missing; ","")&amp;IF(N(AT94)&gt;N(Q94)*1.05,"Received &gt; ordered +5%; ","")&amp;IF(AND(N(AI94)&gt;0,AE94=""),"Payment terms missing; ","")&amp;IF(N(AI94)&gt;N(AD94)+1,"Overpaid vs PO; ","")&amp;IF(AND(N(AK94)&gt;0,AY94&lt;&gt;"",AO94=""),"Payment due date missing; ","")="","OK",IF(AND(A94&lt;&gt;"",OR(B94="",C94="",E94="",F94="",H94="")),"PR info missing; ","")&amp;IF(AND(K94="Approved",OR(J94="",I94="")),"Approval ref/date missing; ","")&amp;IF(AND(O94&lt;&gt;"",K94&lt;&gt;"Approved"),"PO without approval; ","")&amp;IF(AND(O94&lt;&gt;"",OR(P94="",M94="",Q94="",S94="",T94="")),"PO details missing; ","")&amp;IF(AND(O94&lt;&gt;"",AR94=""),"Committed date missing; ","")&amp;IF(AND(ISNUMBER(J94),ISNUMBER(B94),N(J94)&lt;N(B94)),"Approval dated before PR; ","")&amp;IF(AND(ISNUMBER(P94),ISNUMBER(J94),N(P94)&lt;N(J94)),"PO dated before approval; ","")&amp;IF(AND(ISNUMBER(AY94),ISNUMBER(AS94),N(AY94)&lt;N(AS94)),"Close before in-house start; ","")&amp;IF(AND(AY94&lt;&gt;"",AS94=""),"In-house start date missing; ","")&amp;IF(AND(AY94&lt;&gt;"",AT94=""),"Qty received missing; ","")&amp;IF(AND(AY94&lt;&gt;"",BF94=""),"QC status missing; ","")&amp;IF(N(AT94)&gt;N(Q94)*1.05,"Received &gt; ordered +5%; ","")&amp;IF(AND(N(AI94)&gt;0,AE94=""),"Payment terms missing; ","")&amp;IF(N(AI94)&gt;N(AD94)+1,"Overpaid vs PO; ","")&amp;IF(AND(N(AK94)&gt;0,AY94&lt;&gt;"",AO94=""),"Payment due date missing; ","")))</f>
        <v/>
      </c>
      <c r="BK94" s="76" t="str">
        <f aca="false">IF(A94="","",IF(N(AP94)&gt;0,"Pay supplier: "&amp;N(AP94)&amp;" days overdue; ","")&amp;IF(AND(O94&lt;&gt;"",AY94="",N(BD94)&gt;0),"Expedite delivery: "&amp;N(BD94)&amp;" days late; ","")&amp;IF(AND(BI94="Awaiting Approval",ISNUMBER(B94),Settings!$B$4-N(B94)&gt;Settings!$B$19),"Get approval: PR waiting "&amp;(Settings!$B$4-N(B94))&amp;" days; ","")&amp;IF(AND(BI94="Approved - PO Pending",ISNUMBER(J94),Settings!$B$4-N(J94)&gt;Settings!$B$20),"Issue PO: approved "&amp;(Settings!$B$4-N(J94))&amp;" days ago; ","")&amp;IF(AND(OR(BI94="Awaiting Approval",BI94="Approved - PO Pending"),N(AB94)&gt;Settings!$B$7),"Negotiate price: "&amp;TEXT(AB94,"0%")&amp;" above budget; ","")&amp;IF(LEFT(AX94,12)="Short Closed","Short closed: claim balance / credit note"&amp;IF(N(AL94)&gt;0," BDT "&amp;TEXT(AL94,"#,##0"),"")&amp;"; ","")&amp;IF(BF94="Rejected","QC rejected: return / replace; ","")&amp;IF(AND(O94&lt;&gt;"",AY94="",N(AL94)&gt;0,N(BD94)&gt;0),"Advance at risk: BDT "&amp;TEXT(AL94,"#,##0")&amp;" paid, goods late; ","")&amp;IF(AND(BJ94&lt;&gt;"",BJ94&lt;&gt;"OK"),"Fix data entry (see Data Check); ",""))</f>
        <v/>
      </c>
      <c r="BL94" s="73" t="str">
        <f aca="false">IF(BK94="","",IF(OR(N(AP94)&gt;30,AND(AY94="",N(BD94)&gt;15),BF94="Rejected",AND(LEFT(AX94,12)="Short Closed",N(AL94)&gt;0),AND(O94&lt;&gt;"",AY94="",N(AL94)&gt;0,N(BD94)&gt;0)),"High",IF(OR(N(AP94)&gt;0,AND(AY94="",N(BD94)&gt;7),LEFT(AX94,12)="Short Closed",AND(BI94="Awaiting Approval",ISNUMBER(B94),Settings!$B$4-N(B94)&gt;2*Settings!$B$19),AND(BI94="Approved - PO Pending",ISNUMBER(J94),Settings!$B$4-N(J94)&gt;2*Settings!$B$20)),"Medium","Low")))</f>
        <v/>
      </c>
      <c r="BM94" s="77" t="str">
        <f aca="false">IF(BL94="","",IF(BL94="High",1,IF(BL94="Medium",2,3))*10000+ROW())</f>
        <v/>
      </c>
      <c r="BN94" s="62"/>
    </row>
    <row r="95" customFormat="false" ht="18" hidden="false" customHeight="true" outlineLevel="0" collapsed="false">
      <c r="A95" s="60"/>
      <c r="B95" s="61"/>
      <c r="C95" s="62"/>
      <c r="D95" s="62"/>
      <c r="E95" s="62"/>
      <c r="F95" s="62"/>
      <c r="G95" s="62"/>
      <c r="H95" s="60"/>
      <c r="I95" s="60"/>
      <c r="J95" s="61"/>
      <c r="K95" s="60"/>
      <c r="L95" s="60"/>
      <c r="M95" s="62"/>
      <c r="N95" s="60"/>
      <c r="O95" s="60"/>
      <c r="P95" s="61"/>
      <c r="Q95" s="63"/>
      <c r="R95" s="60"/>
      <c r="S95" s="64"/>
      <c r="T95" s="60"/>
      <c r="U95" s="65" t="str">
        <f aca="false">IF(AND(T95="",S95=""),"",IF(T95="",1,IFERROR(INDEX(Settings!$B$12:$B$16,MATCH(T95,Settings!$A$12:$A$16,0)),1)))</f>
        <v/>
      </c>
      <c r="V95" s="64"/>
      <c r="W95" s="66" t="str">
        <f aca="false">IF(OR(Q95="",S95=""),"",Q95*S95*U95)</f>
        <v/>
      </c>
      <c r="X95" s="65" t="str">
        <f aca="false">IF(OR(W95="",N(Q95)=0),"",W95/Q95)</f>
        <v/>
      </c>
      <c r="Y95" s="65" t="str">
        <f aca="false">IF(OR(X95="",P95="",E95=""),"",IF(_xlfn.MAXIFS($P$6:$P$205,$E$6:$E$205,E95,$P$6:$P$205,"&lt;"&amp;P95,$X$6:$X$205,"&gt;0")=0,"",IFERROR(AVERAGEIFS($X$6:$X$205,$E$6:$E$205,E95,$P$6:$P$205,_xlfn.MAXIFS($P$6:$P$205,$E$6:$E$205,E95,$P$6:$P$205,"&lt;"&amp;P95,$X$6:$X$205,"&gt;0"),$X$6:$X$205,"&gt;0"),"")))</f>
        <v/>
      </c>
      <c r="Z95" s="67" t="str">
        <f aca="false">IF(OR(Y95="",X95=""),"",X95/Y95-1)</f>
        <v/>
      </c>
      <c r="AA95" s="68" t="str">
        <f aca="false">IF(OR(W95="",V95=""),"",W95-Q95*V95)</f>
        <v/>
      </c>
      <c r="AB95" s="69" t="str">
        <f aca="false">IF(AA95="","",IF(N(V95)*N(Q95)=0,"",AA95/(Q95*V95)))</f>
        <v/>
      </c>
      <c r="AC95" s="70"/>
      <c r="AD95" s="66" t="str">
        <f aca="false">IF(W95="","",W95*(1+N(AC95)))</f>
        <v/>
      </c>
      <c r="AE95" s="62"/>
      <c r="AF95" s="71"/>
      <c r="AG95" s="71"/>
      <c r="AH95" s="71"/>
      <c r="AI95" s="66" t="str">
        <f aca="false">IF(A95="","",N(AF95)+N(AG95)+N(AH95))</f>
        <v/>
      </c>
      <c r="AJ95" s="72" t="str">
        <f aca="false">IF(AD95="","",IF(N(AD95)=0,"",AI95/AD95))</f>
        <v/>
      </c>
      <c r="AK95" s="66" t="str">
        <f aca="false">IF(AD95="","",IF(AD95-AI95&lt;1,0,ROUND(AD95-AI95,2)))</f>
        <v/>
      </c>
      <c r="AL95" s="66" t="str">
        <f aca="false">IF(OR(O95="",AD95=""),"",MAX(0,ROUND(N(AI95)-(AD95-N(AW95)),0)))</f>
        <v/>
      </c>
      <c r="AM95" s="73" t="str">
        <f aca="false">IF(A95="","",IF(O95="","No PO Yet",IF(AI95=0,"Not Paid",IF(N(AJ95)&gt;=0.999,"Fully Paid",IF(N(AG95)+N(AH95)&gt;0,"Partially Paid","Initial / Advance Paid")))))</f>
        <v/>
      </c>
      <c r="AN95" s="61"/>
      <c r="AO95" s="61"/>
      <c r="AP95" s="74" t="str">
        <f aca="false">IF(AK95="","",IF(OR(N(AK95)=0,AO95=""),"",MAX(0,Settings!$B$4-AO95)))</f>
        <v/>
      </c>
      <c r="AQ95" s="73" t="str">
        <f aca="false">IF(AK95="","",IF(N(AK95)&lt;=0,"",IF(AO95="","No Due Date",IF(Settings!$B$4&lt;=AO95,"Not Yet Due",IF(Settings!$B$4-AO95&lt;=30,"1-30 Days",IF(Settings!$B$4-AO95&lt;=60,"31-60 Days",IF(Settings!$B$4-AO95&lt;=90,"61-90 Days","90+ Days")))))))</f>
        <v/>
      </c>
      <c r="AR95" s="61"/>
      <c r="AS95" s="61"/>
      <c r="AT95" s="63"/>
      <c r="AU95" s="72" t="str">
        <f aca="false">IF(Q95="","",IF(N(Q95)=0,"",N(AT95)/Q95))</f>
        <v/>
      </c>
      <c r="AV95" s="75" t="str">
        <f aca="false">IF(OR(A95="",O95="",Q95=""),"",MAX(0,Q95-N(AT95)))</f>
        <v/>
      </c>
      <c r="AW95" s="66" t="str">
        <f aca="false">IF(OR(AV95="",W95=""),"",IF(N(Q95)=0,0,AV95/Q95*AD95))</f>
        <v/>
      </c>
      <c r="AX95" s="76" t="str">
        <f aca="false">IF(A95="","",IF(O95="","No PO Yet",IF(Q95="","Order Qty Missing",IF(N(AT95)&gt;=Q95,IF(N(AT95)&gt;Q95,"All In-house (+"&amp;TEXT(N(AT95)-Q95,"#,##0")&amp;" "&amp;R95&amp;" excess)","All In-house"),IF(AY95&lt;&gt;"","Short Closed - "&amp;TEXT(AV95,"#,##0")&amp;" "&amp;R95&amp;" not received",IF(N(AT95)=0,"Not Started - "&amp;TEXT(AV95,"#,##0")&amp;" "&amp;R95&amp;" pending","Pending "&amp;TEXT(AV95,"#,##0")&amp;" "&amp;R95&amp;" ("&amp;TEXT(AU95,"0%")&amp;" received)"))))))</f>
        <v/>
      </c>
      <c r="AY95" s="61"/>
      <c r="AZ95" s="77" t="str">
        <f aca="false">IF(OR(B95="",J95=""),"",J95-B95)</f>
        <v/>
      </c>
      <c r="BA95" s="77" t="str">
        <f aca="false">IF(OR(J95="",P95=""),"",P95-J95)</f>
        <v/>
      </c>
      <c r="BB95" s="77" t="str">
        <f aca="false">IF(OR(P95="",AY95=""),"",AY95-P95)</f>
        <v/>
      </c>
      <c r="BC95" s="77" t="str">
        <f aca="false">IF(OR(B95="",AY95=""),"",AY95-B95)</f>
        <v/>
      </c>
      <c r="BD95" s="74" t="str">
        <f aca="false">IF(OR(AR95="",O95=""),"",MAX(0,IF(AY95="",Settings!$B$4,AY95)-AR95))</f>
        <v/>
      </c>
      <c r="BE95" s="73" t="str">
        <f aca="false">IF(OR(AY95="",AR95=""),"",IF(AND(AY95&lt;=AR95,N(AU95)&gt;=Settings!$B$6),"OTIF","Not OTIF"))</f>
        <v/>
      </c>
      <c r="BF95" s="60"/>
      <c r="BG95" s="62"/>
      <c r="BH95" s="78"/>
      <c r="BI95" s="76" t="str">
        <f aca="false">IF(A95="","",IF(K95="Rejected","Rejected",IF(K95&lt;&gt;"Approved","Awaiting Approval",IF(O95="","Approved - PO Pending",IF(AY95&lt;&gt;"",IF(N(AJ95)&gt;=0.999,"Closed","In-house Closed - Payment Due"),IF(AS95&lt;&gt;"","Receiving In-house","PO Issued - Awaiting Delivery"))))))</f>
        <v/>
      </c>
      <c r="BJ95" s="76" t="str">
        <f aca="false">IF(A95="","",IF(IF(AND(A95&lt;&gt;"",OR(B95="",C95="",E95="",F95="",H95="")),"PR info missing; ","")&amp;IF(AND(K95="Approved",OR(J95="",I95="")),"Approval ref/date missing; ","")&amp;IF(AND(O95&lt;&gt;"",K95&lt;&gt;"Approved"),"PO without approval; ","")&amp;IF(AND(O95&lt;&gt;"",OR(P95="",M95="",Q95="",S95="",T95="")),"PO details missing; ","")&amp;IF(AND(O95&lt;&gt;"",AR95=""),"Committed date missing; ","")&amp;IF(AND(ISNUMBER(J95),ISNUMBER(B95),N(J95)&lt;N(B95)),"Approval dated before PR; ","")&amp;IF(AND(ISNUMBER(P95),ISNUMBER(J95),N(P95)&lt;N(J95)),"PO dated before approval; ","")&amp;IF(AND(ISNUMBER(AY95),ISNUMBER(AS95),N(AY95)&lt;N(AS95)),"Close before in-house start; ","")&amp;IF(AND(AY95&lt;&gt;"",AS95=""),"In-house start date missing; ","")&amp;IF(AND(AY95&lt;&gt;"",AT95=""),"Qty received missing; ","")&amp;IF(AND(AY95&lt;&gt;"",BF95=""),"QC status missing; ","")&amp;IF(N(AT95)&gt;N(Q95)*1.05,"Received &gt; ordered +5%; ","")&amp;IF(AND(N(AI95)&gt;0,AE95=""),"Payment terms missing; ","")&amp;IF(N(AI95)&gt;N(AD95)+1,"Overpaid vs PO; ","")&amp;IF(AND(N(AK95)&gt;0,AY95&lt;&gt;"",AO95=""),"Payment due date missing; ","")="","OK",IF(AND(A95&lt;&gt;"",OR(B95="",C95="",E95="",F95="",H95="")),"PR info missing; ","")&amp;IF(AND(K95="Approved",OR(J95="",I95="")),"Approval ref/date missing; ","")&amp;IF(AND(O95&lt;&gt;"",K95&lt;&gt;"Approved"),"PO without approval; ","")&amp;IF(AND(O95&lt;&gt;"",OR(P95="",M95="",Q95="",S95="",T95="")),"PO details missing; ","")&amp;IF(AND(O95&lt;&gt;"",AR95=""),"Committed date missing; ","")&amp;IF(AND(ISNUMBER(J95),ISNUMBER(B95),N(J95)&lt;N(B95)),"Approval dated before PR; ","")&amp;IF(AND(ISNUMBER(P95),ISNUMBER(J95),N(P95)&lt;N(J95)),"PO dated before approval; ","")&amp;IF(AND(ISNUMBER(AY95),ISNUMBER(AS95),N(AY95)&lt;N(AS95)),"Close before in-house start; ","")&amp;IF(AND(AY95&lt;&gt;"",AS95=""),"In-house start date missing; ","")&amp;IF(AND(AY95&lt;&gt;"",AT95=""),"Qty received missing; ","")&amp;IF(AND(AY95&lt;&gt;"",BF95=""),"QC status missing; ","")&amp;IF(N(AT95)&gt;N(Q95)*1.05,"Received &gt; ordered +5%; ","")&amp;IF(AND(N(AI95)&gt;0,AE95=""),"Payment terms missing; ","")&amp;IF(N(AI95)&gt;N(AD95)+1,"Overpaid vs PO; ","")&amp;IF(AND(N(AK95)&gt;0,AY95&lt;&gt;"",AO95=""),"Payment due date missing; ","")))</f>
        <v/>
      </c>
      <c r="BK95" s="76" t="str">
        <f aca="false">IF(A95="","",IF(N(AP95)&gt;0,"Pay supplier: "&amp;N(AP95)&amp;" days overdue; ","")&amp;IF(AND(O95&lt;&gt;"",AY95="",N(BD95)&gt;0),"Expedite delivery: "&amp;N(BD95)&amp;" days late; ","")&amp;IF(AND(BI95="Awaiting Approval",ISNUMBER(B95),Settings!$B$4-N(B95)&gt;Settings!$B$19),"Get approval: PR waiting "&amp;(Settings!$B$4-N(B95))&amp;" days; ","")&amp;IF(AND(BI95="Approved - PO Pending",ISNUMBER(J95),Settings!$B$4-N(J95)&gt;Settings!$B$20),"Issue PO: approved "&amp;(Settings!$B$4-N(J95))&amp;" days ago; ","")&amp;IF(AND(OR(BI95="Awaiting Approval",BI95="Approved - PO Pending"),N(AB95)&gt;Settings!$B$7),"Negotiate price: "&amp;TEXT(AB95,"0%")&amp;" above budget; ","")&amp;IF(LEFT(AX95,12)="Short Closed","Short closed: claim balance / credit note"&amp;IF(N(AL95)&gt;0," BDT "&amp;TEXT(AL95,"#,##0"),"")&amp;"; ","")&amp;IF(BF95="Rejected","QC rejected: return / replace; ","")&amp;IF(AND(O95&lt;&gt;"",AY95="",N(AL95)&gt;0,N(BD95)&gt;0),"Advance at risk: BDT "&amp;TEXT(AL95,"#,##0")&amp;" paid, goods late; ","")&amp;IF(AND(BJ95&lt;&gt;"",BJ95&lt;&gt;"OK"),"Fix data entry (see Data Check); ",""))</f>
        <v/>
      </c>
      <c r="BL95" s="73" t="str">
        <f aca="false">IF(BK95="","",IF(OR(N(AP95)&gt;30,AND(AY95="",N(BD95)&gt;15),BF95="Rejected",AND(LEFT(AX95,12)="Short Closed",N(AL95)&gt;0),AND(O95&lt;&gt;"",AY95="",N(AL95)&gt;0,N(BD95)&gt;0)),"High",IF(OR(N(AP95)&gt;0,AND(AY95="",N(BD95)&gt;7),LEFT(AX95,12)="Short Closed",AND(BI95="Awaiting Approval",ISNUMBER(B95),Settings!$B$4-N(B95)&gt;2*Settings!$B$19),AND(BI95="Approved - PO Pending",ISNUMBER(J95),Settings!$B$4-N(J95)&gt;2*Settings!$B$20)),"Medium","Low")))</f>
        <v/>
      </c>
      <c r="BM95" s="77" t="str">
        <f aca="false">IF(BL95="","",IF(BL95="High",1,IF(BL95="Medium",2,3))*10000+ROW())</f>
        <v/>
      </c>
      <c r="BN95" s="62"/>
    </row>
    <row r="96" customFormat="false" ht="18" hidden="false" customHeight="true" outlineLevel="0" collapsed="false">
      <c r="A96" s="60"/>
      <c r="B96" s="61"/>
      <c r="C96" s="62"/>
      <c r="D96" s="62"/>
      <c r="E96" s="62"/>
      <c r="F96" s="62"/>
      <c r="G96" s="62"/>
      <c r="H96" s="60"/>
      <c r="I96" s="60"/>
      <c r="J96" s="61"/>
      <c r="K96" s="60"/>
      <c r="L96" s="60"/>
      <c r="M96" s="62"/>
      <c r="N96" s="60"/>
      <c r="O96" s="60"/>
      <c r="P96" s="61"/>
      <c r="Q96" s="63"/>
      <c r="R96" s="60"/>
      <c r="S96" s="64"/>
      <c r="T96" s="60"/>
      <c r="U96" s="65" t="str">
        <f aca="false">IF(AND(T96="",S96=""),"",IF(T96="",1,IFERROR(INDEX(Settings!$B$12:$B$16,MATCH(T96,Settings!$A$12:$A$16,0)),1)))</f>
        <v/>
      </c>
      <c r="V96" s="64"/>
      <c r="W96" s="66" t="str">
        <f aca="false">IF(OR(Q96="",S96=""),"",Q96*S96*U96)</f>
        <v/>
      </c>
      <c r="X96" s="65" t="str">
        <f aca="false">IF(OR(W96="",N(Q96)=0),"",W96/Q96)</f>
        <v/>
      </c>
      <c r="Y96" s="65" t="str">
        <f aca="false">IF(OR(X96="",P96="",E96=""),"",IF(_xlfn.MAXIFS($P$6:$P$205,$E$6:$E$205,E96,$P$6:$P$205,"&lt;"&amp;P96,$X$6:$X$205,"&gt;0")=0,"",IFERROR(AVERAGEIFS($X$6:$X$205,$E$6:$E$205,E96,$P$6:$P$205,_xlfn.MAXIFS($P$6:$P$205,$E$6:$E$205,E96,$P$6:$P$205,"&lt;"&amp;P96,$X$6:$X$205,"&gt;0"),$X$6:$X$205,"&gt;0"),"")))</f>
        <v/>
      </c>
      <c r="Z96" s="67" t="str">
        <f aca="false">IF(OR(Y96="",X96=""),"",X96/Y96-1)</f>
        <v/>
      </c>
      <c r="AA96" s="68" t="str">
        <f aca="false">IF(OR(W96="",V96=""),"",W96-Q96*V96)</f>
        <v/>
      </c>
      <c r="AB96" s="69" t="str">
        <f aca="false">IF(AA96="","",IF(N(V96)*N(Q96)=0,"",AA96/(Q96*V96)))</f>
        <v/>
      </c>
      <c r="AC96" s="70"/>
      <c r="AD96" s="66" t="str">
        <f aca="false">IF(W96="","",W96*(1+N(AC96)))</f>
        <v/>
      </c>
      <c r="AE96" s="62"/>
      <c r="AF96" s="71"/>
      <c r="AG96" s="71"/>
      <c r="AH96" s="71"/>
      <c r="AI96" s="66" t="str">
        <f aca="false">IF(A96="","",N(AF96)+N(AG96)+N(AH96))</f>
        <v/>
      </c>
      <c r="AJ96" s="72" t="str">
        <f aca="false">IF(AD96="","",IF(N(AD96)=0,"",AI96/AD96))</f>
        <v/>
      </c>
      <c r="AK96" s="66" t="str">
        <f aca="false">IF(AD96="","",IF(AD96-AI96&lt;1,0,ROUND(AD96-AI96,2)))</f>
        <v/>
      </c>
      <c r="AL96" s="66" t="str">
        <f aca="false">IF(OR(O96="",AD96=""),"",MAX(0,ROUND(N(AI96)-(AD96-N(AW96)),0)))</f>
        <v/>
      </c>
      <c r="AM96" s="73" t="str">
        <f aca="false">IF(A96="","",IF(O96="","No PO Yet",IF(AI96=0,"Not Paid",IF(N(AJ96)&gt;=0.999,"Fully Paid",IF(N(AG96)+N(AH96)&gt;0,"Partially Paid","Initial / Advance Paid")))))</f>
        <v/>
      </c>
      <c r="AN96" s="61"/>
      <c r="AO96" s="61"/>
      <c r="AP96" s="74" t="str">
        <f aca="false">IF(AK96="","",IF(OR(N(AK96)=0,AO96=""),"",MAX(0,Settings!$B$4-AO96)))</f>
        <v/>
      </c>
      <c r="AQ96" s="73" t="str">
        <f aca="false">IF(AK96="","",IF(N(AK96)&lt;=0,"",IF(AO96="","No Due Date",IF(Settings!$B$4&lt;=AO96,"Not Yet Due",IF(Settings!$B$4-AO96&lt;=30,"1-30 Days",IF(Settings!$B$4-AO96&lt;=60,"31-60 Days",IF(Settings!$B$4-AO96&lt;=90,"61-90 Days","90+ Days")))))))</f>
        <v/>
      </c>
      <c r="AR96" s="61"/>
      <c r="AS96" s="61"/>
      <c r="AT96" s="63"/>
      <c r="AU96" s="72" t="str">
        <f aca="false">IF(Q96="","",IF(N(Q96)=0,"",N(AT96)/Q96))</f>
        <v/>
      </c>
      <c r="AV96" s="75" t="str">
        <f aca="false">IF(OR(A96="",O96="",Q96=""),"",MAX(0,Q96-N(AT96)))</f>
        <v/>
      </c>
      <c r="AW96" s="66" t="str">
        <f aca="false">IF(OR(AV96="",W96=""),"",IF(N(Q96)=0,0,AV96/Q96*AD96))</f>
        <v/>
      </c>
      <c r="AX96" s="76" t="str">
        <f aca="false">IF(A96="","",IF(O96="","No PO Yet",IF(Q96="","Order Qty Missing",IF(N(AT96)&gt;=Q96,IF(N(AT96)&gt;Q96,"All In-house (+"&amp;TEXT(N(AT96)-Q96,"#,##0")&amp;" "&amp;R96&amp;" excess)","All In-house"),IF(AY96&lt;&gt;"","Short Closed - "&amp;TEXT(AV96,"#,##0")&amp;" "&amp;R96&amp;" not received",IF(N(AT96)=0,"Not Started - "&amp;TEXT(AV96,"#,##0")&amp;" "&amp;R96&amp;" pending","Pending "&amp;TEXT(AV96,"#,##0")&amp;" "&amp;R96&amp;" ("&amp;TEXT(AU96,"0%")&amp;" received)"))))))</f>
        <v/>
      </c>
      <c r="AY96" s="61"/>
      <c r="AZ96" s="77" t="str">
        <f aca="false">IF(OR(B96="",J96=""),"",J96-B96)</f>
        <v/>
      </c>
      <c r="BA96" s="77" t="str">
        <f aca="false">IF(OR(J96="",P96=""),"",P96-J96)</f>
        <v/>
      </c>
      <c r="BB96" s="77" t="str">
        <f aca="false">IF(OR(P96="",AY96=""),"",AY96-P96)</f>
        <v/>
      </c>
      <c r="BC96" s="77" t="str">
        <f aca="false">IF(OR(B96="",AY96=""),"",AY96-B96)</f>
        <v/>
      </c>
      <c r="BD96" s="74" t="str">
        <f aca="false">IF(OR(AR96="",O96=""),"",MAX(0,IF(AY96="",Settings!$B$4,AY96)-AR96))</f>
        <v/>
      </c>
      <c r="BE96" s="73" t="str">
        <f aca="false">IF(OR(AY96="",AR96=""),"",IF(AND(AY96&lt;=AR96,N(AU96)&gt;=Settings!$B$6),"OTIF","Not OTIF"))</f>
        <v/>
      </c>
      <c r="BF96" s="60"/>
      <c r="BG96" s="62"/>
      <c r="BH96" s="78"/>
      <c r="BI96" s="76" t="str">
        <f aca="false">IF(A96="","",IF(K96="Rejected","Rejected",IF(K96&lt;&gt;"Approved","Awaiting Approval",IF(O96="","Approved - PO Pending",IF(AY96&lt;&gt;"",IF(N(AJ96)&gt;=0.999,"Closed","In-house Closed - Payment Due"),IF(AS96&lt;&gt;"","Receiving In-house","PO Issued - Awaiting Delivery"))))))</f>
        <v/>
      </c>
      <c r="BJ96" s="76" t="str">
        <f aca="false">IF(A96="","",IF(IF(AND(A96&lt;&gt;"",OR(B96="",C96="",E96="",F96="",H96="")),"PR info missing; ","")&amp;IF(AND(K96="Approved",OR(J96="",I96="")),"Approval ref/date missing; ","")&amp;IF(AND(O96&lt;&gt;"",K96&lt;&gt;"Approved"),"PO without approval; ","")&amp;IF(AND(O96&lt;&gt;"",OR(P96="",M96="",Q96="",S96="",T96="")),"PO details missing; ","")&amp;IF(AND(O96&lt;&gt;"",AR96=""),"Committed date missing; ","")&amp;IF(AND(ISNUMBER(J96),ISNUMBER(B96),N(J96)&lt;N(B96)),"Approval dated before PR; ","")&amp;IF(AND(ISNUMBER(P96),ISNUMBER(J96),N(P96)&lt;N(J96)),"PO dated before approval; ","")&amp;IF(AND(ISNUMBER(AY96),ISNUMBER(AS96),N(AY96)&lt;N(AS96)),"Close before in-house start; ","")&amp;IF(AND(AY96&lt;&gt;"",AS96=""),"In-house start date missing; ","")&amp;IF(AND(AY96&lt;&gt;"",AT96=""),"Qty received missing; ","")&amp;IF(AND(AY96&lt;&gt;"",BF96=""),"QC status missing; ","")&amp;IF(N(AT96)&gt;N(Q96)*1.05,"Received &gt; ordered +5%; ","")&amp;IF(AND(N(AI96)&gt;0,AE96=""),"Payment terms missing; ","")&amp;IF(N(AI96)&gt;N(AD96)+1,"Overpaid vs PO; ","")&amp;IF(AND(N(AK96)&gt;0,AY96&lt;&gt;"",AO96=""),"Payment due date missing; ","")="","OK",IF(AND(A96&lt;&gt;"",OR(B96="",C96="",E96="",F96="",H96="")),"PR info missing; ","")&amp;IF(AND(K96="Approved",OR(J96="",I96="")),"Approval ref/date missing; ","")&amp;IF(AND(O96&lt;&gt;"",K96&lt;&gt;"Approved"),"PO without approval; ","")&amp;IF(AND(O96&lt;&gt;"",OR(P96="",M96="",Q96="",S96="",T96="")),"PO details missing; ","")&amp;IF(AND(O96&lt;&gt;"",AR96=""),"Committed date missing; ","")&amp;IF(AND(ISNUMBER(J96),ISNUMBER(B96),N(J96)&lt;N(B96)),"Approval dated before PR; ","")&amp;IF(AND(ISNUMBER(P96),ISNUMBER(J96),N(P96)&lt;N(J96)),"PO dated before approval; ","")&amp;IF(AND(ISNUMBER(AY96),ISNUMBER(AS96),N(AY96)&lt;N(AS96)),"Close before in-house start; ","")&amp;IF(AND(AY96&lt;&gt;"",AS96=""),"In-house start date missing; ","")&amp;IF(AND(AY96&lt;&gt;"",AT96=""),"Qty received missing; ","")&amp;IF(AND(AY96&lt;&gt;"",BF96=""),"QC status missing; ","")&amp;IF(N(AT96)&gt;N(Q96)*1.05,"Received &gt; ordered +5%; ","")&amp;IF(AND(N(AI96)&gt;0,AE96=""),"Payment terms missing; ","")&amp;IF(N(AI96)&gt;N(AD96)+1,"Overpaid vs PO; ","")&amp;IF(AND(N(AK96)&gt;0,AY96&lt;&gt;"",AO96=""),"Payment due date missing; ","")))</f>
        <v/>
      </c>
      <c r="BK96" s="76" t="str">
        <f aca="false">IF(A96="","",IF(N(AP96)&gt;0,"Pay supplier: "&amp;N(AP96)&amp;" days overdue; ","")&amp;IF(AND(O96&lt;&gt;"",AY96="",N(BD96)&gt;0),"Expedite delivery: "&amp;N(BD96)&amp;" days late; ","")&amp;IF(AND(BI96="Awaiting Approval",ISNUMBER(B96),Settings!$B$4-N(B96)&gt;Settings!$B$19),"Get approval: PR waiting "&amp;(Settings!$B$4-N(B96))&amp;" days; ","")&amp;IF(AND(BI96="Approved - PO Pending",ISNUMBER(J96),Settings!$B$4-N(J96)&gt;Settings!$B$20),"Issue PO: approved "&amp;(Settings!$B$4-N(J96))&amp;" days ago; ","")&amp;IF(AND(OR(BI96="Awaiting Approval",BI96="Approved - PO Pending"),N(AB96)&gt;Settings!$B$7),"Negotiate price: "&amp;TEXT(AB96,"0%")&amp;" above budget; ","")&amp;IF(LEFT(AX96,12)="Short Closed","Short closed: claim balance / credit note"&amp;IF(N(AL96)&gt;0," BDT "&amp;TEXT(AL96,"#,##0"),"")&amp;"; ","")&amp;IF(BF96="Rejected","QC rejected: return / replace; ","")&amp;IF(AND(O96&lt;&gt;"",AY96="",N(AL96)&gt;0,N(BD96)&gt;0),"Advance at risk: BDT "&amp;TEXT(AL96,"#,##0")&amp;" paid, goods late; ","")&amp;IF(AND(BJ96&lt;&gt;"",BJ96&lt;&gt;"OK"),"Fix data entry (see Data Check); ",""))</f>
        <v/>
      </c>
      <c r="BL96" s="73" t="str">
        <f aca="false">IF(BK96="","",IF(OR(N(AP96)&gt;30,AND(AY96="",N(BD96)&gt;15),BF96="Rejected",AND(LEFT(AX96,12)="Short Closed",N(AL96)&gt;0),AND(O96&lt;&gt;"",AY96="",N(AL96)&gt;0,N(BD96)&gt;0)),"High",IF(OR(N(AP96)&gt;0,AND(AY96="",N(BD96)&gt;7),LEFT(AX96,12)="Short Closed",AND(BI96="Awaiting Approval",ISNUMBER(B96),Settings!$B$4-N(B96)&gt;2*Settings!$B$19),AND(BI96="Approved - PO Pending",ISNUMBER(J96),Settings!$B$4-N(J96)&gt;2*Settings!$B$20)),"Medium","Low")))</f>
        <v/>
      </c>
      <c r="BM96" s="77" t="str">
        <f aca="false">IF(BL96="","",IF(BL96="High",1,IF(BL96="Medium",2,3))*10000+ROW())</f>
        <v/>
      </c>
      <c r="BN96" s="62"/>
    </row>
    <row r="97" customFormat="false" ht="18" hidden="false" customHeight="true" outlineLevel="0" collapsed="false">
      <c r="A97" s="60"/>
      <c r="B97" s="61"/>
      <c r="C97" s="62"/>
      <c r="D97" s="62"/>
      <c r="E97" s="62"/>
      <c r="F97" s="62"/>
      <c r="G97" s="62"/>
      <c r="H97" s="60"/>
      <c r="I97" s="60"/>
      <c r="J97" s="61"/>
      <c r="K97" s="60"/>
      <c r="L97" s="60"/>
      <c r="M97" s="62"/>
      <c r="N97" s="60"/>
      <c r="O97" s="60"/>
      <c r="P97" s="61"/>
      <c r="Q97" s="63"/>
      <c r="R97" s="60"/>
      <c r="S97" s="64"/>
      <c r="T97" s="60"/>
      <c r="U97" s="65" t="str">
        <f aca="false">IF(AND(T97="",S97=""),"",IF(T97="",1,IFERROR(INDEX(Settings!$B$12:$B$16,MATCH(T97,Settings!$A$12:$A$16,0)),1)))</f>
        <v/>
      </c>
      <c r="V97" s="64"/>
      <c r="W97" s="66" t="str">
        <f aca="false">IF(OR(Q97="",S97=""),"",Q97*S97*U97)</f>
        <v/>
      </c>
      <c r="X97" s="65" t="str">
        <f aca="false">IF(OR(W97="",N(Q97)=0),"",W97/Q97)</f>
        <v/>
      </c>
      <c r="Y97" s="65" t="str">
        <f aca="false">IF(OR(X97="",P97="",E97=""),"",IF(_xlfn.MAXIFS($P$6:$P$205,$E$6:$E$205,E97,$P$6:$P$205,"&lt;"&amp;P97,$X$6:$X$205,"&gt;0")=0,"",IFERROR(AVERAGEIFS($X$6:$X$205,$E$6:$E$205,E97,$P$6:$P$205,_xlfn.MAXIFS($P$6:$P$205,$E$6:$E$205,E97,$P$6:$P$205,"&lt;"&amp;P97,$X$6:$X$205,"&gt;0"),$X$6:$X$205,"&gt;0"),"")))</f>
        <v/>
      </c>
      <c r="Z97" s="67" t="str">
        <f aca="false">IF(OR(Y97="",X97=""),"",X97/Y97-1)</f>
        <v/>
      </c>
      <c r="AA97" s="68" t="str">
        <f aca="false">IF(OR(W97="",V97=""),"",W97-Q97*V97)</f>
        <v/>
      </c>
      <c r="AB97" s="69" t="str">
        <f aca="false">IF(AA97="","",IF(N(V97)*N(Q97)=0,"",AA97/(Q97*V97)))</f>
        <v/>
      </c>
      <c r="AC97" s="70"/>
      <c r="AD97" s="66" t="str">
        <f aca="false">IF(W97="","",W97*(1+N(AC97)))</f>
        <v/>
      </c>
      <c r="AE97" s="62"/>
      <c r="AF97" s="71"/>
      <c r="AG97" s="71"/>
      <c r="AH97" s="71"/>
      <c r="AI97" s="66" t="str">
        <f aca="false">IF(A97="","",N(AF97)+N(AG97)+N(AH97))</f>
        <v/>
      </c>
      <c r="AJ97" s="72" t="str">
        <f aca="false">IF(AD97="","",IF(N(AD97)=0,"",AI97/AD97))</f>
        <v/>
      </c>
      <c r="AK97" s="66" t="str">
        <f aca="false">IF(AD97="","",IF(AD97-AI97&lt;1,0,ROUND(AD97-AI97,2)))</f>
        <v/>
      </c>
      <c r="AL97" s="66" t="str">
        <f aca="false">IF(OR(O97="",AD97=""),"",MAX(0,ROUND(N(AI97)-(AD97-N(AW97)),0)))</f>
        <v/>
      </c>
      <c r="AM97" s="73" t="str">
        <f aca="false">IF(A97="","",IF(O97="","No PO Yet",IF(AI97=0,"Not Paid",IF(N(AJ97)&gt;=0.999,"Fully Paid",IF(N(AG97)+N(AH97)&gt;0,"Partially Paid","Initial / Advance Paid")))))</f>
        <v/>
      </c>
      <c r="AN97" s="61"/>
      <c r="AO97" s="61"/>
      <c r="AP97" s="74" t="str">
        <f aca="false">IF(AK97="","",IF(OR(N(AK97)=0,AO97=""),"",MAX(0,Settings!$B$4-AO97)))</f>
        <v/>
      </c>
      <c r="AQ97" s="73" t="str">
        <f aca="false">IF(AK97="","",IF(N(AK97)&lt;=0,"",IF(AO97="","No Due Date",IF(Settings!$B$4&lt;=AO97,"Not Yet Due",IF(Settings!$B$4-AO97&lt;=30,"1-30 Days",IF(Settings!$B$4-AO97&lt;=60,"31-60 Days",IF(Settings!$B$4-AO97&lt;=90,"61-90 Days","90+ Days")))))))</f>
        <v/>
      </c>
      <c r="AR97" s="61"/>
      <c r="AS97" s="61"/>
      <c r="AT97" s="63"/>
      <c r="AU97" s="72" t="str">
        <f aca="false">IF(Q97="","",IF(N(Q97)=0,"",N(AT97)/Q97))</f>
        <v/>
      </c>
      <c r="AV97" s="75" t="str">
        <f aca="false">IF(OR(A97="",O97="",Q97=""),"",MAX(0,Q97-N(AT97)))</f>
        <v/>
      </c>
      <c r="AW97" s="66" t="str">
        <f aca="false">IF(OR(AV97="",W97=""),"",IF(N(Q97)=0,0,AV97/Q97*AD97))</f>
        <v/>
      </c>
      <c r="AX97" s="76" t="str">
        <f aca="false">IF(A97="","",IF(O97="","No PO Yet",IF(Q97="","Order Qty Missing",IF(N(AT97)&gt;=Q97,IF(N(AT97)&gt;Q97,"All In-house (+"&amp;TEXT(N(AT97)-Q97,"#,##0")&amp;" "&amp;R97&amp;" excess)","All In-house"),IF(AY97&lt;&gt;"","Short Closed - "&amp;TEXT(AV97,"#,##0")&amp;" "&amp;R97&amp;" not received",IF(N(AT97)=0,"Not Started - "&amp;TEXT(AV97,"#,##0")&amp;" "&amp;R97&amp;" pending","Pending "&amp;TEXT(AV97,"#,##0")&amp;" "&amp;R97&amp;" ("&amp;TEXT(AU97,"0%")&amp;" received)"))))))</f>
        <v/>
      </c>
      <c r="AY97" s="61"/>
      <c r="AZ97" s="77" t="str">
        <f aca="false">IF(OR(B97="",J97=""),"",J97-B97)</f>
        <v/>
      </c>
      <c r="BA97" s="77" t="str">
        <f aca="false">IF(OR(J97="",P97=""),"",P97-J97)</f>
        <v/>
      </c>
      <c r="BB97" s="77" t="str">
        <f aca="false">IF(OR(P97="",AY97=""),"",AY97-P97)</f>
        <v/>
      </c>
      <c r="BC97" s="77" t="str">
        <f aca="false">IF(OR(B97="",AY97=""),"",AY97-B97)</f>
        <v/>
      </c>
      <c r="BD97" s="74" t="str">
        <f aca="false">IF(OR(AR97="",O97=""),"",MAX(0,IF(AY97="",Settings!$B$4,AY97)-AR97))</f>
        <v/>
      </c>
      <c r="BE97" s="73" t="str">
        <f aca="false">IF(OR(AY97="",AR97=""),"",IF(AND(AY97&lt;=AR97,N(AU97)&gt;=Settings!$B$6),"OTIF","Not OTIF"))</f>
        <v/>
      </c>
      <c r="BF97" s="60"/>
      <c r="BG97" s="62"/>
      <c r="BH97" s="78"/>
      <c r="BI97" s="76" t="str">
        <f aca="false">IF(A97="","",IF(K97="Rejected","Rejected",IF(K97&lt;&gt;"Approved","Awaiting Approval",IF(O97="","Approved - PO Pending",IF(AY97&lt;&gt;"",IF(N(AJ97)&gt;=0.999,"Closed","In-house Closed - Payment Due"),IF(AS97&lt;&gt;"","Receiving In-house","PO Issued - Awaiting Delivery"))))))</f>
        <v/>
      </c>
      <c r="BJ97" s="76" t="str">
        <f aca="false">IF(A97="","",IF(IF(AND(A97&lt;&gt;"",OR(B97="",C97="",E97="",F97="",H97="")),"PR info missing; ","")&amp;IF(AND(K97="Approved",OR(J97="",I97="")),"Approval ref/date missing; ","")&amp;IF(AND(O97&lt;&gt;"",K97&lt;&gt;"Approved"),"PO without approval; ","")&amp;IF(AND(O97&lt;&gt;"",OR(P97="",M97="",Q97="",S97="",T97="")),"PO details missing; ","")&amp;IF(AND(O97&lt;&gt;"",AR97=""),"Committed date missing; ","")&amp;IF(AND(ISNUMBER(J97),ISNUMBER(B97),N(J97)&lt;N(B97)),"Approval dated before PR; ","")&amp;IF(AND(ISNUMBER(P97),ISNUMBER(J97),N(P97)&lt;N(J97)),"PO dated before approval; ","")&amp;IF(AND(ISNUMBER(AY97),ISNUMBER(AS97),N(AY97)&lt;N(AS97)),"Close before in-house start; ","")&amp;IF(AND(AY97&lt;&gt;"",AS97=""),"In-house start date missing; ","")&amp;IF(AND(AY97&lt;&gt;"",AT97=""),"Qty received missing; ","")&amp;IF(AND(AY97&lt;&gt;"",BF97=""),"QC status missing; ","")&amp;IF(N(AT97)&gt;N(Q97)*1.05,"Received &gt; ordered +5%; ","")&amp;IF(AND(N(AI97)&gt;0,AE97=""),"Payment terms missing; ","")&amp;IF(N(AI97)&gt;N(AD97)+1,"Overpaid vs PO; ","")&amp;IF(AND(N(AK97)&gt;0,AY97&lt;&gt;"",AO97=""),"Payment due date missing; ","")="","OK",IF(AND(A97&lt;&gt;"",OR(B97="",C97="",E97="",F97="",H97="")),"PR info missing; ","")&amp;IF(AND(K97="Approved",OR(J97="",I97="")),"Approval ref/date missing; ","")&amp;IF(AND(O97&lt;&gt;"",K97&lt;&gt;"Approved"),"PO without approval; ","")&amp;IF(AND(O97&lt;&gt;"",OR(P97="",M97="",Q97="",S97="",T97="")),"PO details missing; ","")&amp;IF(AND(O97&lt;&gt;"",AR97=""),"Committed date missing; ","")&amp;IF(AND(ISNUMBER(J97),ISNUMBER(B97),N(J97)&lt;N(B97)),"Approval dated before PR; ","")&amp;IF(AND(ISNUMBER(P97),ISNUMBER(J97),N(P97)&lt;N(J97)),"PO dated before approval; ","")&amp;IF(AND(ISNUMBER(AY97),ISNUMBER(AS97),N(AY97)&lt;N(AS97)),"Close before in-house start; ","")&amp;IF(AND(AY97&lt;&gt;"",AS97=""),"In-house start date missing; ","")&amp;IF(AND(AY97&lt;&gt;"",AT97=""),"Qty received missing; ","")&amp;IF(AND(AY97&lt;&gt;"",BF97=""),"QC status missing; ","")&amp;IF(N(AT97)&gt;N(Q97)*1.05,"Received &gt; ordered +5%; ","")&amp;IF(AND(N(AI97)&gt;0,AE97=""),"Payment terms missing; ","")&amp;IF(N(AI97)&gt;N(AD97)+1,"Overpaid vs PO; ","")&amp;IF(AND(N(AK97)&gt;0,AY97&lt;&gt;"",AO97=""),"Payment due date missing; ","")))</f>
        <v/>
      </c>
      <c r="BK97" s="76" t="str">
        <f aca="false">IF(A97="","",IF(N(AP97)&gt;0,"Pay supplier: "&amp;N(AP97)&amp;" days overdue; ","")&amp;IF(AND(O97&lt;&gt;"",AY97="",N(BD97)&gt;0),"Expedite delivery: "&amp;N(BD97)&amp;" days late; ","")&amp;IF(AND(BI97="Awaiting Approval",ISNUMBER(B97),Settings!$B$4-N(B97)&gt;Settings!$B$19),"Get approval: PR waiting "&amp;(Settings!$B$4-N(B97))&amp;" days; ","")&amp;IF(AND(BI97="Approved - PO Pending",ISNUMBER(J97),Settings!$B$4-N(J97)&gt;Settings!$B$20),"Issue PO: approved "&amp;(Settings!$B$4-N(J97))&amp;" days ago; ","")&amp;IF(AND(OR(BI97="Awaiting Approval",BI97="Approved - PO Pending"),N(AB97)&gt;Settings!$B$7),"Negotiate price: "&amp;TEXT(AB97,"0%")&amp;" above budget; ","")&amp;IF(LEFT(AX97,12)="Short Closed","Short closed: claim balance / credit note"&amp;IF(N(AL97)&gt;0," BDT "&amp;TEXT(AL97,"#,##0"),"")&amp;"; ","")&amp;IF(BF97="Rejected","QC rejected: return / replace; ","")&amp;IF(AND(O97&lt;&gt;"",AY97="",N(AL97)&gt;0,N(BD97)&gt;0),"Advance at risk: BDT "&amp;TEXT(AL97,"#,##0")&amp;" paid, goods late; ","")&amp;IF(AND(BJ97&lt;&gt;"",BJ97&lt;&gt;"OK"),"Fix data entry (see Data Check); ",""))</f>
        <v/>
      </c>
      <c r="BL97" s="73" t="str">
        <f aca="false">IF(BK97="","",IF(OR(N(AP97)&gt;30,AND(AY97="",N(BD97)&gt;15),BF97="Rejected",AND(LEFT(AX97,12)="Short Closed",N(AL97)&gt;0),AND(O97&lt;&gt;"",AY97="",N(AL97)&gt;0,N(BD97)&gt;0)),"High",IF(OR(N(AP97)&gt;0,AND(AY97="",N(BD97)&gt;7),LEFT(AX97,12)="Short Closed",AND(BI97="Awaiting Approval",ISNUMBER(B97),Settings!$B$4-N(B97)&gt;2*Settings!$B$19),AND(BI97="Approved - PO Pending",ISNUMBER(J97),Settings!$B$4-N(J97)&gt;2*Settings!$B$20)),"Medium","Low")))</f>
        <v/>
      </c>
      <c r="BM97" s="77" t="str">
        <f aca="false">IF(BL97="","",IF(BL97="High",1,IF(BL97="Medium",2,3))*10000+ROW())</f>
        <v/>
      </c>
      <c r="BN97" s="62"/>
    </row>
    <row r="98" customFormat="false" ht="18" hidden="false" customHeight="true" outlineLevel="0" collapsed="false">
      <c r="A98" s="60"/>
      <c r="B98" s="61"/>
      <c r="C98" s="62"/>
      <c r="D98" s="62"/>
      <c r="E98" s="62"/>
      <c r="F98" s="62"/>
      <c r="G98" s="62"/>
      <c r="H98" s="60"/>
      <c r="I98" s="60"/>
      <c r="J98" s="61"/>
      <c r="K98" s="60"/>
      <c r="L98" s="60"/>
      <c r="M98" s="62"/>
      <c r="N98" s="60"/>
      <c r="O98" s="60"/>
      <c r="P98" s="61"/>
      <c r="Q98" s="63"/>
      <c r="R98" s="60"/>
      <c r="S98" s="64"/>
      <c r="T98" s="60"/>
      <c r="U98" s="65" t="str">
        <f aca="false">IF(AND(T98="",S98=""),"",IF(T98="",1,IFERROR(INDEX(Settings!$B$12:$B$16,MATCH(T98,Settings!$A$12:$A$16,0)),1)))</f>
        <v/>
      </c>
      <c r="V98" s="64"/>
      <c r="W98" s="66" t="str">
        <f aca="false">IF(OR(Q98="",S98=""),"",Q98*S98*U98)</f>
        <v/>
      </c>
      <c r="X98" s="65" t="str">
        <f aca="false">IF(OR(W98="",N(Q98)=0),"",W98/Q98)</f>
        <v/>
      </c>
      <c r="Y98" s="65" t="str">
        <f aca="false">IF(OR(X98="",P98="",E98=""),"",IF(_xlfn.MAXIFS($P$6:$P$205,$E$6:$E$205,E98,$P$6:$P$205,"&lt;"&amp;P98,$X$6:$X$205,"&gt;0")=0,"",IFERROR(AVERAGEIFS($X$6:$X$205,$E$6:$E$205,E98,$P$6:$P$205,_xlfn.MAXIFS($P$6:$P$205,$E$6:$E$205,E98,$P$6:$P$205,"&lt;"&amp;P98,$X$6:$X$205,"&gt;0"),$X$6:$X$205,"&gt;0"),"")))</f>
        <v/>
      </c>
      <c r="Z98" s="67" t="str">
        <f aca="false">IF(OR(Y98="",X98=""),"",X98/Y98-1)</f>
        <v/>
      </c>
      <c r="AA98" s="68" t="str">
        <f aca="false">IF(OR(W98="",V98=""),"",W98-Q98*V98)</f>
        <v/>
      </c>
      <c r="AB98" s="69" t="str">
        <f aca="false">IF(AA98="","",IF(N(V98)*N(Q98)=0,"",AA98/(Q98*V98)))</f>
        <v/>
      </c>
      <c r="AC98" s="70"/>
      <c r="AD98" s="66" t="str">
        <f aca="false">IF(W98="","",W98*(1+N(AC98)))</f>
        <v/>
      </c>
      <c r="AE98" s="62"/>
      <c r="AF98" s="71"/>
      <c r="AG98" s="71"/>
      <c r="AH98" s="71"/>
      <c r="AI98" s="66" t="str">
        <f aca="false">IF(A98="","",N(AF98)+N(AG98)+N(AH98))</f>
        <v/>
      </c>
      <c r="AJ98" s="72" t="str">
        <f aca="false">IF(AD98="","",IF(N(AD98)=0,"",AI98/AD98))</f>
        <v/>
      </c>
      <c r="AK98" s="66" t="str">
        <f aca="false">IF(AD98="","",IF(AD98-AI98&lt;1,0,ROUND(AD98-AI98,2)))</f>
        <v/>
      </c>
      <c r="AL98" s="66" t="str">
        <f aca="false">IF(OR(O98="",AD98=""),"",MAX(0,ROUND(N(AI98)-(AD98-N(AW98)),0)))</f>
        <v/>
      </c>
      <c r="AM98" s="73" t="str">
        <f aca="false">IF(A98="","",IF(O98="","No PO Yet",IF(AI98=0,"Not Paid",IF(N(AJ98)&gt;=0.999,"Fully Paid",IF(N(AG98)+N(AH98)&gt;0,"Partially Paid","Initial / Advance Paid")))))</f>
        <v/>
      </c>
      <c r="AN98" s="61"/>
      <c r="AO98" s="61"/>
      <c r="AP98" s="74" t="str">
        <f aca="false">IF(AK98="","",IF(OR(N(AK98)=0,AO98=""),"",MAX(0,Settings!$B$4-AO98)))</f>
        <v/>
      </c>
      <c r="AQ98" s="73" t="str">
        <f aca="false">IF(AK98="","",IF(N(AK98)&lt;=0,"",IF(AO98="","No Due Date",IF(Settings!$B$4&lt;=AO98,"Not Yet Due",IF(Settings!$B$4-AO98&lt;=30,"1-30 Days",IF(Settings!$B$4-AO98&lt;=60,"31-60 Days",IF(Settings!$B$4-AO98&lt;=90,"61-90 Days","90+ Days")))))))</f>
        <v/>
      </c>
      <c r="AR98" s="61"/>
      <c r="AS98" s="61"/>
      <c r="AT98" s="63"/>
      <c r="AU98" s="72" t="str">
        <f aca="false">IF(Q98="","",IF(N(Q98)=0,"",N(AT98)/Q98))</f>
        <v/>
      </c>
      <c r="AV98" s="75" t="str">
        <f aca="false">IF(OR(A98="",O98="",Q98=""),"",MAX(0,Q98-N(AT98)))</f>
        <v/>
      </c>
      <c r="AW98" s="66" t="str">
        <f aca="false">IF(OR(AV98="",W98=""),"",IF(N(Q98)=0,0,AV98/Q98*AD98))</f>
        <v/>
      </c>
      <c r="AX98" s="76" t="str">
        <f aca="false">IF(A98="","",IF(O98="","No PO Yet",IF(Q98="","Order Qty Missing",IF(N(AT98)&gt;=Q98,IF(N(AT98)&gt;Q98,"All In-house (+"&amp;TEXT(N(AT98)-Q98,"#,##0")&amp;" "&amp;R98&amp;" excess)","All In-house"),IF(AY98&lt;&gt;"","Short Closed - "&amp;TEXT(AV98,"#,##0")&amp;" "&amp;R98&amp;" not received",IF(N(AT98)=0,"Not Started - "&amp;TEXT(AV98,"#,##0")&amp;" "&amp;R98&amp;" pending","Pending "&amp;TEXT(AV98,"#,##0")&amp;" "&amp;R98&amp;" ("&amp;TEXT(AU98,"0%")&amp;" received)"))))))</f>
        <v/>
      </c>
      <c r="AY98" s="61"/>
      <c r="AZ98" s="77" t="str">
        <f aca="false">IF(OR(B98="",J98=""),"",J98-B98)</f>
        <v/>
      </c>
      <c r="BA98" s="77" t="str">
        <f aca="false">IF(OR(J98="",P98=""),"",P98-J98)</f>
        <v/>
      </c>
      <c r="BB98" s="77" t="str">
        <f aca="false">IF(OR(P98="",AY98=""),"",AY98-P98)</f>
        <v/>
      </c>
      <c r="BC98" s="77" t="str">
        <f aca="false">IF(OR(B98="",AY98=""),"",AY98-B98)</f>
        <v/>
      </c>
      <c r="BD98" s="74" t="str">
        <f aca="false">IF(OR(AR98="",O98=""),"",MAX(0,IF(AY98="",Settings!$B$4,AY98)-AR98))</f>
        <v/>
      </c>
      <c r="BE98" s="73" t="str">
        <f aca="false">IF(OR(AY98="",AR98=""),"",IF(AND(AY98&lt;=AR98,N(AU98)&gt;=Settings!$B$6),"OTIF","Not OTIF"))</f>
        <v/>
      </c>
      <c r="BF98" s="60"/>
      <c r="BG98" s="62"/>
      <c r="BH98" s="78"/>
      <c r="BI98" s="76" t="str">
        <f aca="false">IF(A98="","",IF(K98="Rejected","Rejected",IF(K98&lt;&gt;"Approved","Awaiting Approval",IF(O98="","Approved - PO Pending",IF(AY98&lt;&gt;"",IF(N(AJ98)&gt;=0.999,"Closed","In-house Closed - Payment Due"),IF(AS98&lt;&gt;"","Receiving In-house","PO Issued - Awaiting Delivery"))))))</f>
        <v/>
      </c>
      <c r="BJ98" s="76" t="str">
        <f aca="false">IF(A98="","",IF(IF(AND(A98&lt;&gt;"",OR(B98="",C98="",E98="",F98="",H98="")),"PR info missing; ","")&amp;IF(AND(K98="Approved",OR(J98="",I98="")),"Approval ref/date missing; ","")&amp;IF(AND(O98&lt;&gt;"",K98&lt;&gt;"Approved"),"PO without approval; ","")&amp;IF(AND(O98&lt;&gt;"",OR(P98="",M98="",Q98="",S98="",T98="")),"PO details missing; ","")&amp;IF(AND(O98&lt;&gt;"",AR98=""),"Committed date missing; ","")&amp;IF(AND(ISNUMBER(J98),ISNUMBER(B98),N(J98)&lt;N(B98)),"Approval dated before PR; ","")&amp;IF(AND(ISNUMBER(P98),ISNUMBER(J98),N(P98)&lt;N(J98)),"PO dated before approval; ","")&amp;IF(AND(ISNUMBER(AY98),ISNUMBER(AS98),N(AY98)&lt;N(AS98)),"Close before in-house start; ","")&amp;IF(AND(AY98&lt;&gt;"",AS98=""),"In-house start date missing; ","")&amp;IF(AND(AY98&lt;&gt;"",AT98=""),"Qty received missing; ","")&amp;IF(AND(AY98&lt;&gt;"",BF98=""),"QC status missing; ","")&amp;IF(N(AT98)&gt;N(Q98)*1.05,"Received &gt; ordered +5%; ","")&amp;IF(AND(N(AI98)&gt;0,AE98=""),"Payment terms missing; ","")&amp;IF(N(AI98)&gt;N(AD98)+1,"Overpaid vs PO; ","")&amp;IF(AND(N(AK98)&gt;0,AY98&lt;&gt;"",AO98=""),"Payment due date missing; ","")="","OK",IF(AND(A98&lt;&gt;"",OR(B98="",C98="",E98="",F98="",H98="")),"PR info missing; ","")&amp;IF(AND(K98="Approved",OR(J98="",I98="")),"Approval ref/date missing; ","")&amp;IF(AND(O98&lt;&gt;"",K98&lt;&gt;"Approved"),"PO without approval; ","")&amp;IF(AND(O98&lt;&gt;"",OR(P98="",M98="",Q98="",S98="",T98="")),"PO details missing; ","")&amp;IF(AND(O98&lt;&gt;"",AR98=""),"Committed date missing; ","")&amp;IF(AND(ISNUMBER(J98),ISNUMBER(B98),N(J98)&lt;N(B98)),"Approval dated before PR; ","")&amp;IF(AND(ISNUMBER(P98),ISNUMBER(J98),N(P98)&lt;N(J98)),"PO dated before approval; ","")&amp;IF(AND(ISNUMBER(AY98),ISNUMBER(AS98),N(AY98)&lt;N(AS98)),"Close before in-house start; ","")&amp;IF(AND(AY98&lt;&gt;"",AS98=""),"In-house start date missing; ","")&amp;IF(AND(AY98&lt;&gt;"",AT98=""),"Qty received missing; ","")&amp;IF(AND(AY98&lt;&gt;"",BF98=""),"QC status missing; ","")&amp;IF(N(AT98)&gt;N(Q98)*1.05,"Received &gt; ordered +5%; ","")&amp;IF(AND(N(AI98)&gt;0,AE98=""),"Payment terms missing; ","")&amp;IF(N(AI98)&gt;N(AD98)+1,"Overpaid vs PO; ","")&amp;IF(AND(N(AK98)&gt;0,AY98&lt;&gt;"",AO98=""),"Payment due date missing; ","")))</f>
        <v/>
      </c>
      <c r="BK98" s="76" t="str">
        <f aca="false">IF(A98="","",IF(N(AP98)&gt;0,"Pay supplier: "&amp;N(AP98)&amp;" days overdue; ","")&amp;IF(AND(O98&lt;&gt;"",AY98="",N(BD98)&gt;0),"Expedite delivery: "&amp;N(BD98)&amp;" days late; ","")&amp;IF(AND(BI98="Awaiting Approval",ISNUMBER(B98),Settings!$B$4-N(B98)&gt;Settings!$B$19),"Get approval: PR waiting "&amp;(Settings!$B$4-N(B98))&amp;" days; ","")&amp;IF(AND(BI98="Approved - PO Pending",ISNUMBER(J98),Settings!$B$4-N(J98)&gt;Settings!$B$20),"Issue PO: approved "&amp;(Settings!$B$4-N(J98))&amp;" days ago; ","")&amp;IF(AND(OR(BI98="Awaiting Approval",BI98="Approved - PO Pending"),N(AB98)&gt;Settings!$B$7),"Negotiate price: "&amp;TEXT(AB98,"0%")&amp;" above budget; ","")&amp;IF(LEFT(AX98,12)="Short Closed","Short closed: claim balance / credit note"&amp;IF(N(AL98)&gt;0," BDT "&amp;TEXT(AL98,"#,##0"),"")&amp;"; ","")&amp;IF(BF98="Rejected","QC rejected: return / replace; ","")&amp;IF(AND(O98&lt;&gt;"",AY98="",N(AL98)&gt;0,N(BD98)&gt;0),"Advance at risk: BDT "&amp;TEXT(AL98,"#,##0")&amp;" paid, goods late; ","")&amp;IF(AND(BJ98&lt;&gt;"",BJ98&lt;&gt;"OK"),"Fix data entry (see Data Check); ",""))</f>
        <v/>
      </c>
      <c r="BL98" s="73" t="str">
        <f aca="false">IF(BK98="","",IF(OR(N(AP98)&gt;30,AND(AY98="",N(BD98)&gt;15),BF98="Rejected",AND(LEFT(AX98,12)="Short Closed",N(AL98)&gt;0),AND(O98&lt;&gt;"",AY98="",N(AL98)&gt;0,N(BD98)&gt;0)),"High",IF(OR(N(AP98)&gt;0,AND(AY98="",N(BD98)&gt;7),LEFT(AX98,12)="Short Closed",AND(BI98="Awaiting Approval",ISNUMBER(B98),Settings!$B$4-N(B98)&gt;2*Settings!$B$19),AND(BI98="Approved - PO Pending",ISNUMBER(J98),Settings!$B$4-N(J98)&gt;2*Settings!$B$20)),"Medium","Low")))</f>
        <v/>
      </c>
      <c r="BM98" s="77" t="str">
        <f aca="false">IF(BL98="","",IF(BL98="High",1,IF(BL98="Medium",2,3))*10000+ROW())</f>
        <v/>
      </c>
      <c r="BN98" s="62"/>
    </row>
    <row r="99" customFormat="false" ht="18" hidden="false" customHeight="true" outlineLevel="0" collapsed="false">
      <c r="A99" s="60"/>
      <c r="B99" s="61"/>
      <c r="C99" s="62"/>
      <c r="D99" s="62"/>
      <c r="E99" s="62"/>
      <c r="F99" s="62"/>
      <c r="G99" s="62"/>
      <c r="H99" s="60"/>
      <c r="I99" s="60"/>
      <c r="J99" s="61"/>
      <c r="K99" s="60"/>
      <c r="L99" s="60"/>
      <c r="M99" s="62"/>
      <c r="N99" s="60"/>
      <c r="O99" s="60"/>
      <c r="P99" s="61"/>
      <c r="Q99" s="63"/>
      <c r="R99" s="60"/>
      <c r="S99" s="64"/>
      <c r="T99" s="60"/>
      <c r="U99" s="65" t="str">
        <f aca="false">IF(AND(T99="",S99=""),"",IF(T99="",1,IFERROR(INDEX(Settings!$B$12:$B$16,MATCH(T99,Settings!$A$12:$A$16,0)),1)))</f>
        <v/>
      </c>
      <c r="V99" s="64"/>
      <c r="W99" s="66" t="str">
        <f aca="false">IF(OR(Q99="",S99=""),"",Q99*S99*U99)</f>
        <v/>
      </c>
      <c r="X99" s="65" t="str">
        <f aca="false">IF(OR(W99="",N(Q99)=0),"",W99/Q99)</f>
        <v/>
      </c>
      <c r="Y99" s="65" t="str">
        <f aca="false">IF(OR(X99="",P99="",E99=""),"",IF(_xlfn.MAXIFS($P$6:$P$205,$E$6:$E$205,E99,$P$6:$P$205,"&lt;"&amp;P99,$X$6:$X$205,"&gt;0")=0,"",IFERROR(AVERAGEIFS($X$6:$X$205,$E$6:$E$205,E99,$P$6:$P$205,_xlfn.MAXIFS($P$6:$P$205,$E$6:$E$205,E99,$P$6:$P$205,"&lt;"&amp;P99,$X$6:$X$205,"&gt;0"),$X$6:$X$205,"&gt;0"),"")))</f>
        <v/>
      </c>
      <c r="Z99" s="67" t="str">
        <f aca="false">IF(OR(Y99="",X99=""),"",X99/Y99-1)</f>
        <v/>
      </c>
      <c r="AA99" s="68" t="str">
        <f aca="false">IF(OR(W99="",V99=""),"",W99-Q99*V99)</f>
        <v/>
      </c>
      <c r="AB99" s="69" t="str">
        <f aca="false">IF(AA99="","",IF(N(V99)*N(Q99)=0,"",AA99/(Q99*V99)))</f>
        <v/>
      </c>
      <c r="AC99" s="70"/>
      <c r="AD99" s="66" t="str">
        <f aca="false">IF(W99="","",W99*(1+N(AC99)))</f>
        <v/>
      </c>
      <c r="AE99" s="62"/>
      <c r="AF99" s="71"/>
      <c r="AG99" s="71"/>
      <c r="AH99" s="71"/>
      <c r="AI99" s="66" t="str">
        <f aca="false">IF(A99="","",N(AF99)+N(AG99)+N(AH99))</f>
        <v/>
      </c>
      <c r="AJ99" s="72" t="str">
        <f aca="false">IF(AD99="","",IF(N(AD99)=0,"",AI99/AD99))</f>
        <v/>
      </c>
      <c r="AK99" s="66" t="str">
        <f aca="false">IF(AD99="","",IF(AD99-AI99&lt;1,0,ROUND(AD99-AI99,2)))</f>
        <v/>
      </c>
      <c r="AL99" s="66" t="str">
        <f aca="false">IF(OR(O99="",AD99=""),"",MAX(0,ROUND(N(AI99)-(AD99-N(AW99)),0)))</f>
        <v/>
      </c>
      <c r="AM99" s="73" t="str">
        <f aca="false">IF(A99="","",IF(O99="","No PO Yet",IF(AI99=0,"Not Paid",IF(N(AJ99)&gt;=0.999,"Fully Paid",IF(N(AG99)+N(AH99)&gt;0,"Partially Paid","Initial / Advance Paid")))))</f>
        <v/>
      </c>
      <c r="AN99" s="61"/>
      <c r="AO99" s="61"/>
      <c r="AP99" s="74" t="str">
        <f aca="false">IF(AK99="","",IF(OR(N(AK99)=0,AO99=""),"",MAX(0,Settings!$B$4-AO99)))</f>
        <v/>
      </c>
      <c r="AQ99" s="73" t="str">
        <f aca="false">IF(AK99="","",IF(N(AK99)&lt;=0,"",IF(AO99="","No Due Date",IF(Settings!$B$4&lt;=AO99,"Not Yet Due",IF(Settings!$B$4-AO99&lt;=30,"1-30 Days",IF(Settings!$B$4-AO99&lt;=60,"31-60 Days",IF(Settings!$B$4-AO99&lt;=90,"61-90 Days","90+ Days")))))))</f>
        <v/>
      </c>
      <c r="AR99" s="61"/>
      <c r="AS99" s="61"/>
      <c r="AT99" s="63"/>
      <c r="AU99" s="72" t="str">
        <f aca="false">IF(Q99="","",IF(N(Q99)=0,"",N(AT99)/Q99))</f>
        <v/>
      </c>
      <c r="AV99" s="75" t="str">
        <f aca="false">IF(OR(A99="",O99="",Q99=""),"",MAX(0,Q99-N(AT99)))</f>
        <v/>
      </c>
      <c r="AW99" s="66" t="str">
        <f aca="false">IF(OR(AV99="",W99=""),"",IF(N(Q99)=0,0,AV99/Q99*AD99))</f>
        <v/>
      </c>
      <c r="AX99" s="76" t="str">
        <f aca="false">IF(A99="","",IF(O99="","No PO Yet",IF(Q99="","Order Qty Missing",IF(N(AT99)&gt;=Q99,IF(N(AT99)&gt;Q99,"All In-house (+"&amp;TEXT(N(AT99)-Q99,"#,##0")&amp;" "&amp;R99&amp;" excess)","All In-house"),IF(AY99&lt;&gt;"","Short Closed - "&amp;TEXT(AV99,"#,##0")&amp;" "&amp;R99&amp;" not received",IF(N(AT99)=0,"Not Started - "&amp;TEXT(AV99,"#,##0")&amp;" "&amp;R99&amp;" pending","Pending "&amp;TEXT(AV99,"#,##0")&amp;" "&amp;R99&amp;" ("&amp;TEXT(AU99,"0%")&amp;" received)"))))))</f>
        <v/>
      </c>
      <c r="AY99" s="61"/>
      <c r="AZ99" s="77" t="str">
        <f aca="false">IF(OR(B99="",J99=""),"",J99-B99)</f>
        <v/>
      </c>
      <c r="BA99" s="77" t="str">
        <f aca="false">IF(OR(J99="",P99=""),"",P99-J99)</f>
        <v/>
      </c>
      <c r="BB99" s="77" t="str">
        <f aca="false">IF(OR(P99="",AY99=""),"",AY99-P99)</f>
        <v/>
      </c>
      <c r="BC99" s="77" t="str">
        <f aca="false">IF(OR(B99="",AY99=""),"",AY99-B99)</f>
        <v/>
      </c>
      <c r="BD99" s="74" t="str">
        <f aca="false">IF(OR(AR99="",O99=""),"",MAX(0,IF(AY99="",Settings!$B$4,AY99)-AR99))</f>
        <v/>
      </c>
      <c r="BE99" s="73" t="str">
        <f aca="false">IF(OR(AY99="",AR99=""),"",IF(AND(AY99&lt;=AR99,N(AU99)&gt;=Settings!$B$6),"OTIF","Not OTIF"))</f>
        <v/>
      </c>
      <c r="BF99" s="60"/>
      <c r="BG99" s="62"/>
      <c r="BH99" s="78"/>
      <c r="BI99" s="76" t="str">
        <f aca="false">IF(A99="","",IF(K99="Rejected","Rejected",IF(K99&lt;&gt;"Approved","Awaiting Approval",IF(O99="","Approved - PO Pending",IF(AY99&lt;&gt;"",IF(N(AJ99)&gt;=0.999,"Closed","In-house Closed - Payment Due"),IF(AS99&lt;&gt;"","Receiving In-house","PO Issued - Awaiting Delivery"))))))</f>
        <v/>
      </c>
      <c r="BJ99" s="76" t="str">
        <f aca="false">IF(A99="","",IF(IF(AND(A99&lt;&gt;"",OR(B99="",C99="",E99="",F99="",H99="")),"PR info missing; ","")&amp;IF(AND(K99="Approved",OR(J99="",I99="")),"Approval ref/date missing; ","")&amp;IF(AND(O99&lt;&gt;"",K99&lt;&gt;"Approved"),"PO without approval; ","")&amp;IF(AND(O99&lt;&gt;"",OR(P99="",M99="",Q99="",S99="",T99="")),"PO details missing; ","")&amp;IF(AND(O99&lt;&gt;"",AR99=""),"Committed date missing; ","")&amp;IF(AND(ISNUMBER(J99),ISNUMBER(B99),N(J99)&lt;N(B99)),"Approval dated before PR; ","")&amp;IF(AND(ISNUMBER(P99),ISNUMBER(J99),N(P99)&lt;N(J99)),"PO dated before approval; ","")&amp;IF(AND(ISNUMBER(AY99),ISNUMBER(AS99),N(AY99)&lt;N(AS99)),"Close before in-house start; ","")&amp;IF(AND(AY99&lt;&gt;"",AS99=""),"In-house start date missing; ","")&amp;IF(AND(AY99&lt;&gt;"",AT99=""),"Qty received missing; ","")&amp;IF(AND(AY99&lt;&gt;"",BF99=""),"QC status missing; ","")&amp;IF(N(AT99)&gt;N(Q99)*1.05,"Received &gt; ordered +5%; ","")&amp;IF(AND(N(AI99)&gt;0,AE99=""),"Payment terms missing; ","")&amp;IF(N(AI99)&gt;N(AD99)+1,"Overpaid vs PO; ","")&amp;IF(AND(N(AK99)&gt;0,AY99&lt;&gt;"",AO99=""),"Payment due date missing; ","")="","OK",IF(AND(A99&lt;&gt;"",OR(B99="",C99="",E99="",F99="",H99="")),"PR info missing; ","")&amp;IF(AND(K99="Approved",OR(J99="",I99="")),"Approval ref/date missing; ","")&amp;IF(AND(O99&lt;&gt;"",K99&lt;&gt;"Approved"),"PO without approval; ","")&amp;IF(AND(O99&lt;&gt;"",OR(P99="",M99="",Q99="",S99="",T99="")),"PO details missing; ","")&amp;IF(AND(O99&lt;&gt;"",AR99=""),"Committed date missing; ","")&amp;IF(AND(ISNUMBER(J99),ISNUMBER(B99),N(J99)&lt;N(B99)),"Approval dated before PR; ","")&amp;IF(AND(ISNUMBER(P99),ISNUMBER(J99),N(P99)&lt;N(J99)),"PO dated before approval; ","")&amp;IF(AND(ISNUMBER(AY99),ISNUMBER(AS99),N(AY99)&lt;N(AS99)),"Close before in-house start; ","")&amp;IF(AND(AY99&lt;&gt;"",AS99=""),"In-house start date missing; ","")&amp;IF(AND(AY99&lt;&gt;"",AT99=""),"Qty received missing; ","")&amp;IF(AND(AY99&lt;&gt;"",BF99=""),"QC status missing; ","")&amp;IF(N(AT99)&gt;N(Q99)*1.05,"Received &gt; ordered +5%; ","")&amp;IF(AND(N(AI99)&gt;0,AE99=""),"Payment terms missing; ","")&amp;IF(N(AI99)&gt;N(AD99)+1,"Overpaid vs PO; ","")&amp;IF(AND(N(AK99)&gt;0,AY99&lt;&gt;"",AO99=""),"Payment due date missing; ","")))</f>
        <v/>
      </c>
      <c r="BK99" s="76" t="str">
        <f aca="false">IF(A99="","",IF(N(AP99)&gt;0,"Pay supplier: "&amp;N(AP99)&amp;" days overdue; ","")&amp;IF(AND(O99&lt;&gt;"",AY99="",N(BD99)&gt;0),"Expedite delivery: "&amp;N(BD99)&amp;" days late; ","")&amp;IF(AND(BI99="Awaiting Approval",ISNUMBER(B99),Settings!$B$4-N(B99)&gt;Settings!$B$19),"Get approval: PR waiting "&amp;(Settings!$B$4-N(B99))&amp;" days; ","")&amp;IF(AND(BI99="Approved - PO Pending",ISNUMBER(J99),Settings!$B$4-N(J99)&gt;Settings!$B$20),"Issue PO: approved "&amp;(Settings!$B$4-N(J99))&amp;" days ago; ","")&amp;IF(AND(OR(BI99="Awaiting Approval",BI99="Approved - PO Pending"),N(AB99)&gt;Settings!$B$7),"Negotiate price: "&amp;TEXT(AB99,"0%")&amp;" above budget; ","")&amp;IF(LEFT(AX99,12)="Short Closed","Short closed: claim balance / credit note"&amp;IF(N(AL99)&gt;0," BDT "&amp;TEXT(AL99,"#,##0"),"")&amp;"; ","")&amp;IF(BF99="Rejected","QC rejected: return / replace; ","")&amp;IF(AND(O99&lt;&gt;"",AY99="",N(AL99)&gt;0,N(BD99)&gt;0),"Advance at risk: BDT "&amp;TEXT(AL99,"#,##0")&amp;" paid, goods late; ","")&amp;IF(AND(BJ99&lt;&gt;"",BJ99&lt;&gt;"OK"),"Fix data entry (see Data Check); ",""))</f>
        <v/>
      </c>
      <c r="BL99" s="73" t="str">
        <f aca="false">IF(BK99="","",IF(OR(N(AP99)&gt;30,AND(AY99="",N(BD99)&gt;15),BF99="Rejected",AND(LEFT(AX99,12)="Short Closed",N(AL99)&gt;0),AND(O99&lt;&gt;"",AY99="",N(AL99)&gt;0,N(BD99)&gt;0)),"High",IF(OR(N(AP99)&gt;0,AND(AY99="",N(BD99)&gt;7),LEFT(AX99,12)="Short Closed",AND(BI99="Awaiting Approval",ISNUMBER(B99),Settings!$B$4-N(B99)&gt;2*Settings!$B$19),AND(BI99="Approved - PO Pending",ISNUMBER(J99),Settings!$B$4-N(J99)&gt;2*Settings!$B$20)),"Medium","Low")))</f>
        <v/>
      </c>
      <c r="BM99" s="77" t="str">
        <f aca="false">IF(BL99="","",IF(BL99="High",1,IF(BL99="Medium",2,3))*10000+ROW())</f>
        <v/>
      </c>
      <c r="BN99" s="62"/>
    </row>
    <row r="100" customFormat="false" ht="18" hidden="false" customHeight="true" outlineLevel="0" collapsed="false">
      <c r="A100" s="60"/>
      <c r="B100" s="61"/>
      <c r="C100" s="62"/>
      <c r="D100" s="62"/>
      <c r="E100" s="62"/>
      <c r="F100" s="62"/>
      <c r="G100" s="62"/>
      <c r="H100" s="60"/>
      <c r="I100" s="60"/>
      <c r="J100" s="61"/>
      <c r="K100" s="60"/>
      <c r="L100" s="60"/>
      <c r="M100" s="62"/>
      <c r="N100" s="60"/>
      <c r="O100" s="60"/>
      <c r="P100" s="61"/>
      <c r="Q100" s="63"/>
      <c r="R100" s="60"/>
      <c r="S100" s="64"/>
      <c r="T100" s="60"/>
      <c r="U100" s="65" t="str">
        <f aca="false">IF(AND(T100="",S100=""),"",IF(T100="",1,IFERROR(INDEX(Settings!$B$12:$B$16,MATCH(T100,Settings!$A$12:$A$16,0)),1)))</f>
        <v/>
      </c>
      <c r="V100" s="64"/>
      <c r="W100" s="66" t="str">
        <f aca="false">IF(OR(Q100="",S100=""),"",Q100*S100*U100)</f>
        <v/>
      </c>
      <c r="X100" s="65" t="str">
        <f aca="false">IF(OR(W100="",N(Q100)=0),"",W100/Q100)</f>
        <v/>
      </c>
      <c r="Y100" s="65" t="str">
        <f aca="false">IF(OR(X100="",P100="",E100=""),"",IF(_xlfn.MAXIFS($P$6:$P$205,$E$6:$E$205,E100,$P$6:$P$205,"&lt;"&amp;P100,$X$6:$X$205,"&gt;0")=0,"",IFERROR(AVERAGEIFS($X$6:$X$205,$E$6:$E$205,E100,$P$6:$P$205,_xlfn.MAXIFS($P$6:$P$205,$E$6:$E$205,E100,$P$6:$P$205,"&lt;"&amp;P100,$X$6:$X$205,"&gt;0"),$X$6:$X$205,"&gt;0"),"")))</f>
        <v/>
      </c>
      <c r="Z100" s="67" t="str">
        <f aca="false">IF(OR(Y100="",X100=""),"",X100/Y100-1)</f>
        <v/>
      </c>
      <c r="AA100" s="68" t="str">
        <f aca="false">IF(OR(W100="",V100=""),"",W100-Q100*V100)</f>
        <v/>
      </c>
      <c r="AB100" s="69" t="str">
        <f aca="false">IF(AA100="","",IF(N(V100)*N(Q100)=0,"",AA100/(Q100*V100)))</f>
        <v/>
      </c>
      <c r="AC100" s="70"/>
      <c r="AD100" s="66" t="str">
        <f aca="false">IF(W100="","",W100*(1+N(AC100)))</f>
        <v/>
      </c>
      <c r="AE100" s="62"/>
      <c r="AF100" s="71"/>
      <c r="AG100" s="71"/>
      <c r="AH100" s="71"/>
      <c r="AI100" s="66" t="str">
        <f aca="false">IF(A100="","",N(AF100)+N(AG100)+N(AH100))</f>
        <v/>
      </c>
      <c r="AJ100" s="72" t="str">
        <f aca="false">IF(AD100="","",IF(N(AD100)=0,"",AI100/AD100))</f>
        <v/>
      </c>
      <c r="AK100" s="66" t="str">
        <f aca="false">IF(AD100="","",IF(AD100-AI100&lt;1,0,ROUND(AD100-AI100,2)))</f>
        <v/>
      </c>
      <c r="AL100" s="66" t="str">
        <f aca="false">IF(OR(O100="",AD100=""),"",MAX(0,ROUND(N(AI100)-(AD100-N(AW100)),0)))</f>
        <v/>
      </c>
      <c r="AM100" s="73" t="str">
        <f aca="false">IF(A100="","",IF(O100="","No PO Yet",IF(AI100=0,"Not Paid",IF(N(AJ100)&gt;=0.999,"Fully Paid",IF(N(AG100)+N(AH100)&gt;0,"Partially Paid","Initial / Advance Paid")))))</f>
        <v/>
      </c>
      <c r="AN100" s="61"/>
      <c r="AO100" s="61"/>
      <c r="AP100" s="74" t="str">
        <f aca="false">IF(AK100="","",IF(OR(N(AK100)=0,AO100=""),"",MAX(0,Settings!$B$4-AO100)))</f>
        <v/>
      </c>
      <c r="AQ100" s="73" t="str">
        <f aca="false">IF(AK100="","",IF(N(AK100)&lt;=0,"",IF(AO100="","No Due Date",IF(Settings!$B$4&lt;=AO100,"Not Yet Due",IF(Settings!$B$4-AO100&lt;=30,"1-30 Days",IF(Settings!$B$4-AO100&lt;=60,"31-60 Days",IF(Settings!$B$4-AO100&lt;=90,"61-90 Days","90+ Days")))))))</f>
        <v/>
      </c>
      <c r="AR100" s="61"/>
      <c r="AS100" s="61"/>
      <c r="AT100" s="63"/>
      <c r="AU100" s="72" t="str">
        <f aca="false">IF(Q100="","",IF(N(Q100)=0,"",N(AT100)/Q100))</f>
        <v/>
      </c>
      <c r="AV100" s="75" t="str">
        <f aca="false">IF(OR(A100="",O100="",Q100=""),"",MAX(0,Q100-N(AT100)))</f>
        <v/>
      </c>
      <c r="AW100" s="66" t="str">
        <f aca="false">IF(OR(AV100="",W100=""),"",IF(N(Q100)=0,0,AV100/Q100*AD100))</f>
        <v/>
      </c>
      <c r="AX100" s="76" t="str">
        <f aca="false">IF(A100="","",IF(O100="","No PO Yet",IF(Q100="","Order Qty Missing",IF(N(AT100)&gt;=Q100,IF(N(AT100)&gt;Q100,"All In-house (+"&amp;TEXT(N(AT100)-Q100,"#,##0")&amp;" "&amp;R100&amp;" excess)","All In-house"),IF(AY100&lt;&gt;"","Short Closed - "&amp;TEXT(AV100,"#,##0")&amp;" "&amp;R100&amp;" not received",IF(N(AT100)=0,"Not Started - "&amp;TEXT(AV100,"#,##0")&amp;" "&amp;R100&amp;" pending","Pending "&amp;TEXT(AV100,"#,##0")&amp;" "&amp;R100&amp;" ("&amp;TEXT(AU100,"0%")&amp;" received)"))))))</f>
        <v/>
      </c>
      <c r="AY100" s="61"/>
      <c r="AZ100" s="77" t="str">
        <f aca="false">IF(OR(B100="",J100=""),"",J100-B100)</f>
        <v/>
      </c>
      <c r="BA100" s="77" t="str">
        <f aca="false">IF(OR(J100="",P100=""),"",P100-J100)</f>
        <v/>
      </c>
      <c r="BB100" s="77" t="str">
        <f aca="false">IF(OR(P100="",AY100=""),"",AY100-P100)</f>
        <v/>
      </c>
      <c r="BC100" s="77" t="str">
        <f aca="false">IF(OR(B100="",AY100=""),"",AY100-B100)</f>
        <v/>
      </c>
      <c r="BD100" s="74" t="str">
        <f aca="false">IF(OR(AR100="",O100=""),"",MAX(0,IF(AY100="",Settings!$B$4,AY100)-AR100))</f>
        <v/>
      </c>
      <c r="BE100" s="73" t="str">
        <f aca="false">IF(OR(AY100="",AR100=""),"",IF(AND(AY100&lt;=AR100,N(AU100)&gt;=Settings!$B$6),"OTIF","Not OTIF"))</f>
        <v/>
      </c>
      <c r="BF100" s="60"/>
      <c r="BG100" s="62"/>
      <c r="BH100" s="78"/>
      <c r="BI100" s="76" t="str">
        <f aca="false">IF(A100="","",IF(K100="Rejected","Rejected",IF(K100&lt;&gt;"Approved","Awaiting Approval",IF(O100="","Approved - PO Pending",IF(AY100&lt;&gt;"",IF(N(AJ100)&gt;=0.999,"Closed","In-house Closed - Payment Due"),IF(AS100&lt;&gt;"","Receiving In-house","PO Issued - Awaiting Delivery"))))))</f>
        <v/>
      </c>
      <c r="BJ100" s="76" t="str">
        <f aca="false">IF(A100="","",IF(IF(AND(A100&lt;&gt;"",OR(B100="",C100="",E100="",F100="",H100="")),"PR info missing; ","")&amp;IF(AND(K100="Approved",OR(J100="",I100="")),"Approval ref/date missing; ","")&amp;IF(AND(O100&lt;&gt;"",K100&lt;&gt;"Approved"),"PO without approval; ","")&amp;IF(AND(O100&lt;&gt;"",OR(P100="",M100="",Q100="",S100="",T100="")),"PO details missing; ","")&amp;IF(AND(O100&lt;&gt;"",AR100=""),"Committed date missing; ","")&amp;IF(AND(ISNUMBER(J100),ISNUMBER(B100),N(J100)&lt;N(B100)),"Approval dated before PR; ","")&amp;IF(AND(ISNUMBER(P100),ISNUMBER(J100),N(P100)&lt;N(J100)),"PO dated before approval; ","")&amp;IF(AND(ISNUMBER(AY100),ISNUMBER(AS100),N(AY100)&lt;N(AS100)),"Close before in-house start; ","")&amp;IF(AND(AY100&lt;&gt;"",AS100=""),"In-house start date missing; ","")&amp;IF(AND(AY100&lt;&gt;"",AT100=""),"Qty received missing; ","")&amp;IF(AND(AY100&lt;&gt;"",BF100=""),"QC status missing; ","")&amp;IF(N(AT100)&gt;N(Q100)*1.05,"Received &gt; ordered +5%; ","")&amp;IF(AND(N(AI100)&gt;0,AE100=""),"Payment terms missing; ","")&amp;IF(N(AI100)&gt;N(AD100)+1,"Overpaid vs PO; ","")&amp;IF(AND(N(AK100)&gt;0,AY100&lt;&gt;"",AO100=""),"Payment due date missing; ","")="","OK",IF(AND(A100&lt;&gt;"",OR(B100="",C100="",E100="",F100="",H100="")),"PR info missing; ","")&amp;IF(AND(K100="Approved",OR(J100="",I100="")),"Approval ref/date missing; ","")&amp;IF(AND(O100&lt;&gt;"",K100&lt;&gt;"Approved"),"PO without approval; ","")&amp;IF(AND(O100&lt;&gt;"",OR(P100="",M100="",Q100="",S100="",T100="")),"PO details missing; ","")&amp;IF(AND(O100&lt;&gt;"",AR100=""),"Committed date missing; ","")&amp;IF(AND(ISNUMBER(J100),ISNUMBER(B100),N(J100)&lt;N(B100)),"Approval dated before PR; ","")&amp;IF(AND(ISNUMBER(P100),ISNUMBER(J100),N(P100)&lt;N(J100)),"PO dated before approval; ","")&amp;IF(AND(ISNUMBER(AY100),ISNUMBER(AS100),N(AY100)&lt;N(AS100)),"Close before in-house start; ","")&amp;IF(AND(AY100&lt;&gt;"",AS100=""),"In-house start date missing; ","")&amp;IF(AND(AY100&lt;&gt;"",AT100=""),"Qty received missing; ","")&amp;IF(AND(AY100&lt;&gt;"",BF100=""),"QC status missing; ","")&amp;IF(N(AT100)&gt;N(Q100)*1.05,"Received &gt; ordered +5%; ","")&amp;IF(AND(N(AI100)&gt;0,AE100=""),"Payment terms missing; ","")&amp;IF(N(AI100)&gt;N(AD100)+1,"Overpaid vs PO; ","")&amp;IF(AND(N(AK100)&gt;0,AY100&lt;&gt;"",AO100=""),"Payment due date missing; ","")))</f>
        <v/>
      </c>
      <c r="BK100" s="76" t="str">
        <f aca="false">IF(A100="","",IF(N(AP100)&gt;0,"Pay supplier: "&amp;N(AP100)&amp;" days overdue; ","")&amp;IF(AND(O100&lt;&gt;"",AY100="",N(BD100)&gt;0),"Expedite delivery: "&amp;N(BD100)&amp;" days late; ","")&amp;IF(AND(BI100="Awaiting Approval",ISNUMBER(B100),Settings!$B$4-N(B100)&gt;Settings!$B$19),"Get approval: PR waiting "&amp;(Settings!$B$4-N(B100))&amp;" days; ","")&amp;IF(AND(BI100="Approved - PO Pending",ISNUMBER(J100),Settings!$B$4-N(J100)&gt;Settings!$B$20),"Issue PO: approved "&amp;(Settings!$B$4-N(J100))&amp;" days ago; ","")&amp;IF(AND(OR(BI100="Awaiting Approval",BI100="Approved - PO Pending"),N(AB100)&gt;Settings!$B$7),"Negotiate price: "&amp;TEXT(AB100,"0%")&amp;" above budget; ","")&amp;IF(LEFT(AX100,12)="Short Closed","Short closed: claim balance / credit note"&amp;IF(N(AL100)&gt;0," BDT "&amp;TEXT(AL100,"#,##0"),"")&amp;"; ","")&amp;IF(BF100="Rejected","QC rejected: return / replace; ","")&amp;IF(AND(O100&lt;&gt;"",AY100="",N(AL100)&gt;0,N(BD100)&gt;0),"Advance at risk: BDT "&amp;TEXT(AL100,"#,##0")&amp;" paid, goods late; ","")&amp;IF(AND(BJ100&lt;&gt;"",BJ100&lt;&gt;"OK"),"Fix data entry (see Data Check); ",""))</f>
        <v/>
      </c>
      <c r="BL100" s="73" t="str">
        <f aca="false">IF(BK100="","",IF(OR(N(AP100)&gt;30,AND(AY100="",N(BD100)&gt;15),BF100="Rejected",AND(LEFT(AX100,12)="Short Closed",N(AL100)&gt;0),AND(O100&lt;&gt;"",AY100="",N(AL100)&gt;0,N(BD100)&gt;0)),"High",IF(OR(N(AP100)&gt;0,AND(AY100="",N(BD100)&gt;7),LEFT(AX100,12)="Short Closed",AND(BI100="Awaiting Approval",ISNUMBER(B100),Settings!$B$4-N(B100)&gt;2*Settings!$B$19),AND(BI100="Approved - PO Pending",ISNUMBER(J100),Settings!$B$4-N(J100)&gt;2*Settings!$B$20)),"Medium","Low")))</f>
        <v/>
      </c>
      <c r="BM100" s="77" t="str">
        <f aca="false">IF(BL100="","",IF(BL100="High",1,IF(BL100="Medium",2,3))*10000+ROW())</f>
        <v/>
      </c>
      <c r="BN100" s="62"/>
    </row>
    <row r="101" customFormat="false" ht="18" hidden="false" customHeight="true" outlineLevel="0" collapsed="false">
      <c r="A101" s="60"/>
      <c r="B101" s="61"/>
      <c r="C101" s="62"/>
      <c r="D101" s="62"/>
      <c r="E101" s="62"/>
      <c r="F101" s="62"/>
      <c r="G101" s="62"/>
      <c r="H101" s="60"/>
      <c r="I101" s="60"/>
      <c r="J101" s="61"/>
      <c r="K101" s="60"/>
      <c r="L101" s="60"/>
      <c r="M101" s="62"/>
      <c r="N101" s="60"/>
      <c r="O101" s="60"/>
      <c r="P101" s="61"/>
      <c r="Q101" s="63"/>
      <c r="R101" s="60"/>
      <c r="S101" s="64"/>
      <c r="T101" s="60"/>
      <c r="U101" s="65" t="str">
        <f aca="false">IF(AND(T101="",S101=""),"",IF(T101="",1,IFERROR(INDEX(Settings!$B$12:$B$16,MATCH(T101,Settings!$A$12:$A$16,0)),1)))</f>
        <v/>
      </c>
      <c r="V101" s="64"/>
      <c r="W101" s="66" t="str">
        <f aca="false">IF(OR(Q101="",S101=""),"",Q101*S101*U101)</f>
        <v/>
      </c>
      <c r="X101" s="65" t="str">
        <f aca="false">IF(OR(W101="",N(Q101)=0),"",W101/Q101)</f>
        <v/>
      </c>
      <c r="Y101" s="65" t="str">
        <f aca="false">IF(OR(X101="",P101="",E101=""),"",IF(_xlfn.MAXIFS($P$6:$P$205,$E$6:$E$205,E101,$P$6:$P$205,"&lt;"&amp;P101,$X$6:$X$205,"&gt;0")=0,"",IFERROR(AVERAGEIFS($X$6:$X$205,$E$6:$E$205,E101,$P$6:$P$205,_xlfn.MAXIFS($P$6:$P$205,$E$6:$E$205,E101,$P$6:$P$205,"&lt;"&amp;P101,$X$6:$X$205,"&gt;0"),$X$6:$X$205,"&gt;0"),"")))</f>
        <v/>
      </c>
      <c r="Z101" s="67" t="str">
        <f aca="false">IF(OR(Y101="",X101=""),"",X101/Y101-1)</f>
        <v/>
      </c>
      <c r="AA101" s="68" t="str">
        <f aca="false">IF(OR(W101="",V101=""),"",W101-Q101*V101)</f>
        <v/>
      </c>
      <c r="AB101" s="69" t="str">
        <f aca="false">IF(AA101="","",IF(N(V101)*N(Q101)=0,"",AA101/(Q101*V101)))</f>
        <v/>
      </c>
      <c r="AC101" s="70"/>
      <c r="AD101" s="66" t="str">
        <f aca="false">IF(W101="","",W101*(1+N(AC101)))</f>
        <v/>
      </c>
      <c r="AE101" s="62"/>
      <c r="AF101" s="71"/>
      <c r="AG101" s="71"/>
      <c r="AH101" s="71"/>
      <c r="AI101" s="66" t="str">
        <f aca="false">IF(A101="","",N(AF101)+N(AG101)+N(AH101))</f>
        <v/>
      </c>
      <c r="AJ101" s="72" t="str">
        <f aca="false">IF(AD101="","",IF(N(AD101)=0,"",AI101/AD101))</f>
        <v/>
      </c>
      <c r="AK101" s="66" t="str">
        <f aca="false">IF(AD101="","",IF(AD101-AI101&lt;1,0,ROUND(AD101-AI101,2)))</f>
        <v/>
      </c>
      <c r="AL101" s="66" t="str">
        <f aca="false">IF(OR(O101="",AD101=""),"",MAX(0,ROUND(N(AI101)-(AD101-N(AW101)),0)))</f>
        <v/>
      </c>
      <c r="AM101" s="73" t="str">
        <f aca="false">IF(A101="","",IF(O101="","No PO Yet",IF(AI101=0,"Not Paid",IF(N(AJ101)&gt;=0.999,"Fully Paid",IF(N(AG101)+N(AH101)&gt;0,"Partially Paid","Initial / Advance Paid")))))</f>
        <v/>
      </c>
      <c r="AN101" s="61"/>
      <c r="AO101" s="61"/>
      <c r="AP101" s="74" t="str">
        <f aca="false">IF(AK101="","",IF(OR(N(AK101)=0,AO101=""),"",MAX(0,Settings!$B$4-AO101)))</f>
        <v/>
      </c>
      <c r="AQ101" s="73" t="str">
        <f aca="false">IF(AK101="","",IF(N(AK101)&lt;=0,"",IF(AO101="","No Due Date",IF(Settings!$B$4&lt;=AO101,"Not Yet Due",IF(Settings!$B$4-AO101&lt;=30,"1-30 Days",IF(Settings!$B$4-AO101&lt;=60,"31-60 Days",IF(Settings!$B$4-AO101&lt;=90,"61-90 Days","90+ Days")))))))</f>
        <v/>
      </c>
      <c r="AR101" s="61"/>
      <c r="AS101" s="61"/>
      <c r="AT101" s="63"/>
      <c r="AU101" s="72" t="str">
        <f aca="false">IF(Q101="","",IF(N(Q101)=0,"",N(AT101)/Q101))</f>
        <v/>
      </c>
      <c r="AV101" s="75" t="str">
        <f aca="false">IF(OR(A101="",O101="",Q101=""),"",MAX(0,Q101-N(AT101)))</f>
        <v/>
      </c>
      <c r="AW101" s="66" t="str">
        <f aca="false">IF(OR(AV101="",W101=""),"",IF(N(Q101)=0,0,AV101/Q101*AD101))</f>
        <v/>
      </c>
      <c r="AX101" s="76" t="str">
        <f aca="false">IF(A101="","",IF(O101="","No PO Yet",IF(Q101="","Order Qty Missing",IF(N(AT101)&gt;=Q101,IF(N(AT101)&gt;Q101,"All In-house (+"&amp;TEXT(N(AT101)-Q101,"#,##0")&amp;" "&amp;R101&amp;" excess)","All In-house"),IF(AY101&lt;&gt;"","Short Closed - "&amp;TEXT(AV101,"#,##0")&amp;" "&amp;R101&amp;" not received",IF(N(AT101)=0,"Not Started - "&amp;TEXT(AV101,"#,##0")&amp;" "&amp;R101&amp;" pending","Pending "&amp;TEXT(AV101,"#,##0")&amp;" "&amp;R101&amp;" ("&amp;TEXT(AU101,"0%")&amp;" received)"))))))</f>
        <v/>
      </c>
      <c r="AY101" s="61"/>
      <c r="AZ101" s="77" t="str">
        <f aca="false">IF(OR(B101="",J101=""),"",J101-B101)</f>
        <v/>
      </c>
      <c r="BA101" s="77" t="str">
        <f aca="false">IF(OR(J101="",P101=""),"",P101-J101)</f>
        <v/>
      </c>
      <c r="BB101" s="77" t="str">
        <f aca="false">IF(OR(P101="",AY101=""),"",AY101-P101)</f>
        <v/>
      </c>
      <c r="BC101" s="77" t="str">
        <f aca="false">IF(OR(B101="",AY101=""),"",AY101-B101)</f>
        <v/>
      </c>
      <c r="BD101" s="74" t="str">
        <f aca="false">IF(OR(AR101="",O101=""),"",MAX(0,IF(AY101="",Settings!$B$4,AY101)-AR101))</f>
        <v/>
      </c>
      <c r="BE101" s="73" t="str">
        <f aca="false">IF(OR(AY101="",AR101=""),"",IF(AND(AY101&lt;=AR101,N(AU101)&gt;=Settings!$B$6),"OTIF","Not OTIF"))</f>
        <v/>
      </c>
      <c r="BF101" s="60"/>
      <c r="BG101" s="62"/>
      <c r="BH101" s="78"/>
      <c r="BI101" s="76" t="str">
        <f aca="false">IF(A101="","",IF(K101="Rejected","Rejected",IF(K101&lt;&gt;"Approved","Awaiting Approval",IF(O101="","Approved - PO Pending",IF(AY101&lt;&gt;"",IF(N(AJ101)&gt;=0.999,"Closed","In-house Closed - Payment Due"),IF(AS101&lt;&gt;"","Receiving In-house","PO Issued - Awaiting Delivery"))))))</f>
        <v/>
      </c>
      <c r="BJ101" s="76" t="str">
        <f aca="false">IF(A101="","",IF(IF(AND(A101&lt;&gt;"",OR(B101="",C101="",E101="",F101="",H101="")),"PR info missing; ","")&amp;IF(AND(K101="Approved",OR(J101="",I101="")),"Approval ref/date missing; ","")&amp;IF(AND(O101&lt;&gt;"",K101&lt;&gt;"Approved"),"PO without approval; ","")&amp;IF(AND(O101&lt;&gt;"",OR(P101="",M101="",Q101="",S101="",T101="")),"PO details missing; ","")&amp;IF(AND(O101&lt;&gt;"",AR101=""),"Committed date missing; ","")&amp;IF(AND(ISNUMBER(J101),ISNUMBER(B101),N(J101)&lt;N(B101)),"Approval dated before PR; ","")&amp;IF(AND(ISNUMBER(P101),ISNUMBER(J101),N(P101)&lt;N(J101)),"PO dated before approval; ","")&amp;IF(AND(ISNUMBER(AY101),ISNUMBER(AS101),N(AY101)&lt;N(AS101)),"Close before in-house start; ","")&amp;IF(AND(AY101&lt;&gt;"",AS101=""),"In-house start date missing; ","")&amp;IF(AND(AY101&lt;&gt;"",AT101=""),"Qty received missing; ","")&amp;IF(AND(AY101&lt;&gt;"",BF101=""),"QC status missing; ","")&amp;IF(N(AT101)&gt;N(Q101)*1.05,"Received &gt; ordered +5%; ","")&amp;IF(AND(N(AI101)&gt;0,AE101=""),"Payment terms missing; ","")&amp;IF(N(AI101)&gt;N(AD101)+1,"Overpaid vs PO; ","")&amp;IF(AND(N(AK101)&gt;0,AY101&lt;&gt;"",AO101=""),"Payment due date missing; ","")="","OK",IF(AND(A101&lt;&gt;"",OR(B101="",C101="",E101="",F101="",H101="")),"PR info missing; ","")&amp;IF(AND(K101="Approved",OR(J101="",I101="")),"Approval ref/date missing; ","")&amp;IF(AND(O101&lt;&gt;"",K101&lt;&gt;"Approved"),"PO without approval; ","")&amp;IF(AND(O101&lt;&gt;"",OR(P101="",M101="",Q101="",S101="",T101="")),"PO details missing; ","")&amp;IF(AND(O101&lt;&gt;"",AR101=""),"Committed date missing; ","")&amp;IF(AND(ISNUMBER(J101),ISNUMBER(B101),N(J101)&lt;N(B101)),"Approval dated before PR; ","")&amp;IF(AND(ISNUMBER(P101),ISNUMBER(J101),N(P101)&lt;N(J101)),"PO dated before approval; ","")&amp;IF(AND(ISNUMBER(AY101),ISNUMBER(AS101),N(AY101)&lt;N(AS101)),"Close before in-house start; ","")&amp;IF(AND(AY101&lt;&gt;"",AS101=""),"In-house start date missing; ","")&amp;IF(AND(AY101&lt;&gt;"",AT101=""),"Qty received missing; ","")&amp;IF(AND(AY101&lt;&gt;"",BF101=""),"QC status missing; ","")&amp;IF(N(AT101)&gt;N(Q101)*1.05,"Received &gt; ordered +5%; ","")&amp;IF(AND(N(AI101)&gt;0,AE101=""),"Payment terms missing; ","")&amp;IF(N(AI101)&gt;N(AD101)+1,"Overpaid vs PO; ","")&amp;IF(AND(N(AK101)&gt;0,AY101&lt;&gt;"",AO101=""),"Payment due date missing; ","")))</f>
        <v/>
      </c>
      <c r="BK101" s="76" t="str">
        <f aca="false">IF(A101="","",IF(N(AP101)&gt;0,"Pay supplier: "&amp;N(AP101)&amp;" days overdue; ","")&amp;IF(AND(O101&lt;&gt;"",AY101="",N(BD101)&gt;0),"Expedite delivery: "&amp;N(BD101)&amp;" days late; ","")&amp;IF(AND(BI101="Awaiting Approval",ISNUMBER(B101),Settings!$B$4-N(B101)&gt;Settings!$B$19),"Get approval: PR waiting "&amp;(Settings!$B$4-N(B101))&amp;" days; ","")&amp;IF(AND(BI101="Approved - PO Pending",ISNUMBER(J101),Settings!$B$4-N(J101)&gt;Settings!$B$20),"Issue PO: approved "&amp;(Settings!$B$4-N(J101))&amp;" days ago; ","")&amp;IF(AND(OR(BI101="Awaiting Approval",BI101="Approved - PO Pending"),N(AB101)&gt;Settings!$B$7),"Negotiate price: "&amp;TEXT(AB101,"0%")&amp;" above budget; ","")&amp;IF(LEFT(AX101,12)="Short Closed","Short closed: claim balance / credit note"&amp;IF(N(AL101)&gt;0," BDT "&amp;TEXT(AL101,"#,##0"),"")&amp;"; ","")&amp;IF(BF101="Rejected","QC rejected: return / replace; ","")&amp;IF(AND(O101&lt;&gt;"",AY101="",N(AL101)&gt;0,N(BD101)&gt;0),"Advance at risk: BDT "&amp;TEXT(AL101,"#,##0")&amp;" paid, goods late; ","")&amp;IF(AND(BJ101&lt;&gt;"",BJ101&lt;&gt;"OK"),"Fix data entry (see Data Check); ",""))</f>
        <v/>
      </c>
      <c r="BL101" s="73" t="str">
        <f aca="false">IF(BK101="","",IF(OR(N(AP101)&gt;30,AND(AY101="",N(BD101)&gt;15),BF101="Rejected",AND(LEFT(AX101,12)="Short Closed",N(AL101)&gt;0),AND(O101&lt;&gt;"",AY101="",N(AL101)&gt;0,N(BD101)&gt;0)),"High",IF(OR(N(AP101)&gt;0,AND(AY101="",N(BD101)&gt;7),LEFT(AX101,12)="Short Closed",AND(BI101="Awaiting Approval",ISNUMBER(B101),Settings!$B$4-N(B101)&gt;2*Settings!$B$19),AND(BI101="Approved - PO Pending",ISNUMBER(J101),Settings!$B$4-N(J101)&gt;2*Settings!$B$20)),"Medium","Low")))</f>
        <v/>
      </c>
      <c r="BM101" s="77" t="str">
        <f aca="false">IF(BL101="","",IF(BL101="High",1,IF(BL101="Medium",2,3))*10000+ROW())</f>
        <v/>
      </c>
      <c r="BN101" s="62"/>
    </row>
    <row r="102" customFormat="false" ht="18" hidden="false" customHeight="true" outlineLevel="0" collapsed="false">
      <c r="A102" s="60"/>
      <c r="B102" s="61"/>
      <c r="C102" s="62"/>
      <c r="D102" s="62"/>
      <c r="E102" s="62"/>
      <c r="F102" s="62"/>
      <c r="G102" s="62"/>
      <c r="H102" s="60"/>
      <c r="I102" s="60"/>
      <c r="J102" s="61"/>
      <c r="K102" s="60"/>
      <c r="L102" s="60"/>
      <c r="M102" s="62"/>
      <c r="N102" s="60"/>
      <c r="O102" s="60"/>
      <c r="P102" s="61"/>
      <c r="Q102" s="63"/>
      <c r="R102" s="60"/>
      <c r="S102" s="64"/>
      <c r="T102" s="60"/>
      <c r="U102" s="65" t="str">
        <f aca="false">IF(AND(T102="",S102=""),"",IF(T102="",1,IFERROR(INDEX(Settings!$B$12:$B$16,MATCH(T102,Settings!$A$12:$A$16,0)),1)))</f>
        <v/>
      </c>
      <c r="V102" s="64"/>
      <c r="W102" s="66" t="str">
        <f aca="false">IF(OR(Q102="",S102=""),"",Q102*S102*U102)</f>
        <v/>
      </c>
      <c r="X102" s="65" t="str">
        <f aca="false">IF(OR(W102="",N(Q102)=0),"",W102/Q102)</f>
        <v/>
      </c>
      <c r="Y102" s="65" t="str">
        <f aca="false">IF(OR(X102="",P102="",E102=""),"",IF(_xlfn.MAXIFS($P$6:$P$205,$E$6:$E$205,E102,$P$6:$P$205,"&lt;"&amp;P102,$X$6:$X$205,"&gt;0")=0,"",IFERROR(AVERAGEIFS($X$6:$X$205,$E$6:$E$205,E102,$P$6:$P$205,_xlfn.MAXIFS($P$6:$P$205,$E$6:$E$205,E102,$P$6:$P$205,"&lt;"&amp;P102,$X$6:$X$205,"&gt;0"),$X$6:$X$205,"&gt;0"),"")))</f>
        <v/>
      </c>
      <c r="Z102" s="67" t="str">
        <f aca="false">IF(OR(Y102="",X102=""),"",X102/Y102-1)</f>
        <v/>
      </c>
      <c r="AA102" s="68" t="str">
        <f aca="false">IF(OR(W102="",V102=""),"",W102-Q102*V102)</f>
        <v/>
      </c>
      <c r="AB102" s="69" t="str">
        <f aca="false">IF(AA102="","",IF(N(V102)*N(Q102)=0,"",AA102/(Q102*V102)))</f>
        <v/>
      </c>
      <c r="AC102" s="70"/>
      <c r="AD102" s="66" t="str">
        <f aca="false">IF(W102="","",W102*(1+N(AC102)))</f>
        <v/>
      </c>
      <c r="AE102" s="62"/>
      <c r="AF102" s="71"/>
      <c r="AG102" s="71"/>
      <c r="AH102" s="71"/>
      <c r="AI102" s="66" t="str">
        <f aca="false">IF(A102="","",N(AF102)+N(AG102)+N(AH102))</f>
        <v/>
      </c>
      <c r="AJ102" s="72" t="str">
        <f aca="false">IF(AD102="","",IF(N(AD102)=0,"",AI102/AD102))</f>
        <v/>
      </c>
      <c r="AK102" s="66" t="str">
        <f aca="false">IF(AD102="","",IF(AD102-AI102&lt;1,0,ROUND(AD102-AI102,2)))</f>
        <v/>
      </c>
      <c r="AL102" s="66" t="str">
        <f aca="false">IF(OR(O102="",AD102=""),"",MAX(0,ROUND(N(AI102)-(AD102-N(AW102)),0)))</f>
        <v/>
      </c>
      <c r="AM102" s="73" t="str">
        <f aca="false">IF(A102="","",IF(O102="","No PO Yet",IF(AI102=0,"Not Paid",IF(N(AJ102)&gt;=0.999,"Fully Paid",IF(N(AG102)+N(AH102)&gt;0,"Partially Paid","Initial / Advance Paid")))))</f>
        <v/>
      </c>
      <c r="AN102" s="61"/>
      <c r="AO102" s="61"/>
      <c r="AP102" s="74" t="str">
        <f aca="false">IF(AK102="","",IF(OR(N(AK102)=0,AO102=""),"",MAX(0,Settings!$B$4-AO102)))</f>
        <v/>
      </c>
      <c r="AQ102" s="73" t="str">
        <f aca="false">IF(AK102="","",IF(N(AK102)&lt;=0,"",IF(AO102="","No Due Date",IF(Settings!$B$4&lt;=AO102,"Not Yet Due",IF(Settings!$B$4-AO102&lt;=30,"1-30 Days",IF(Settings!$B$4-AO102&lt;=60,"31-60 Days",IF(Settings!$B$4-AO102&lt;=90,"61-90 Days","90+ Days")))))))</f>
        <v/>
      </c>
      <c r="AR102" s="61"/>
      <c r="AS102" s="61"/>
      <c r="AT102" s="63"/>
      <c r="AU102" s="72" t="str">
        <f aca="false">IF(Q102="","",IF(N(Q102)=0,"",N(AT102)/Q102))</f>
        <v/>
      </c>
      <c r="AV102" s="75" t="str">
        <f aca="false">IF(OR(A102="",O102="",Q102=""),"",MAX(0,Q102-N(AT102)))</f>
        <v/>
      </c>
      <c r="AW102" s="66" t="str">
        <f aca="false">IF(OR(AV102="",W102=""),"",IF(N(Q102)=0,0,AV102/Q102*AD102))</f>
        <v/>
      </c>
      <c r="AX102" s="76" t="str">
        <f aca="false">IF(A102="","",IF(O102="","No PO Yet",IF(Q102="","Order Qty Missing",IF(N(AT102)&gt;=Q102,IF(N(AT102)&gt;Q102,"All In-house (+"&amp;TEXT(N(AT102)-Q102,"#,##0")&amp;" "&amp;R102&amp;" excess)","All In-house"),IF(AY102&lt;&gt;"","Short Closed - "&amp;TEXT(AV102,"#,##0")&amp;" "&amp;R102&amp;" not received",IF(N(AT102)=0,"Not Started - "&amp;TEXT(AV102,"#,##0")&amp;" "&amp;R102&amp;" pending","Pending "&amp;TEXT(AV102,"#,##0")&amp;" "&amp;R102&amp;" ("&amp;TEXT(AU102,"0%")&amp;" received)"))))))</f>
        <v/>
      </c>
      <c r="AY102" s="61"/>
      <c r="AZ102" s="77" t="str">
        <f aca="false">IF(OR(B102="",J102=""),"",J102-B102)</f>
        <v/>
      </c>
      <c r="BA102" s="77" t="str">
        <f aca="false">IF(OR(J102="",P102=""),"",P102-J102)</f>
        <v/>
      </c>
      <c r="BB102" s="77" t="str">
        <f aca="false">IF(OR(P102="",AY102=""),"",AY102-P102)</f>
        <v/>
      </c>
      <c r="BC102" s="77" t="str">
        <f aca="false">IF(OR(B102="",AY102=""),"",AY102-B102)</f>
        <v/>
      </c>
      <c r="BD102" s="74" t="str">
        <f aca="false">IF(OR(AR102="",O102=""),"",MAX(0,IF(AY102="",Settings!$B$4,AY102)-AR102))</f>
        <v/>
      </c>
      <c r="BE102" s="73" t="str">
        <f aca="false">IF(OR(AY102="",AR102=""),"",IF(AND(AY102&lt;=AR102,N(AU102)&gt;=Settings!$B$6),"OTIF","Not OTIF"))</f>
        <v/>
      </c>
      <c r="BF102" s="60"/>
      <c r="BG102" s="62"/>
      <c r="BH102" s="78"/>
      <c r="BI102" s="76" t="str">
        <f aca="false">IF(A102="","",IF(K102="Rejected","Rejected",IF(K102&lt;&gt;"Approved","Awaiting Approval",IF(O102="","Approved - PO Pending",IF(AY102&lt;&gt;"",IF(N(AJ102)&gt;=0.999,"Closed","In-house Closed - Payment Due"),IF(AS102&lt;&gt;"","Receiving In-house","PO Issued - Awaiting Delivery"))))))</f>
        <v/>
      </c>
      <c r="BJ102" s="76" t="str">
        <f aca="false">IF(A102="","",IF(IF(AND(A102&lt;&gt;"",OR(B102="",C102="",E102="",F102="",H102="")),"PR info missing; ","")&amp;IF(AND(K102="Approved",OR(J102="",I102="")),"Approval ref/date missing; ","")&amp;IF(AND(O102&lt;&gt;"",K102&lt;&gt;"Approved"),"PO without approval; ","")&amp;IF(AND(O102&lt;&gt;"",OR(P102="",M102="",Q102="",S102="",T102="")),"PO details missing; ","")&amp;IF(AND(O102&lt;&gt;"",AR102=""),"Committed date missing; ","")&amp;IF(AND(ISNUMBER(J102),ISNUMBER(B102),N(J102)&lt;N(B102)),"Approval dated before PR; ","")&amp;IF(AND(ISNUMBER(P102),ISNUMBER(J102),N(P102)&lt;N(J102)),"PO dated before approval; ","")&amp;IF(AND(ISNUMBER(AY102),ISNUMBER(AS102),N(AY102)&lt;N(AS102)),"Close before in-house start; ","")&amp;IF(AND(AY102&lt;&gt;"",AS102=""),"In-house start date missing; ","")&amp;IF(AND(AY102&lt;&gt;"",AT102=""),"Qty received missing; ","")&amp;IF(AND(AY102&lt;&gt;"",BF102=""),"QC status missing; ","")&amp;IF(N(AT102)&gt;N(Q102)*1.05,"Received &gt; ordered +5%; ","")&amp;IF(AND(N(AI102)&gt;0,AE102=""),"Payment terms missing; ","")&amp;IF(N(AI102)&gt;N(AD102)+1,"Overpaid vs PO; ","")&amp;IF(AND(N(AK102)&gt;0,AY102&lt;&gt;"",AO102=""),"Payment due date missing; ","")="","OK",IF(AND(A102&lt;&gt;"",OR(B102="",C102="",E102="",F102="",H102="")),"PR info missing; ","")&amp;IF(AND(K102="Approved",OR(J102="",I102="")),"Approval ref/date missing; ","")&amp;IF(AND(O102&lt;&gt;"",K102&lt;&gt;"Approved"),"PO without approval; ","")&amp;IF(AND(O102&lt;&gt;"",OR(P102="",M102="",Q102="",S102="",T102="")),"PO details missing; ","")&amp;IF(AND(O102&lt;&gt;"",AR102=""),"Committed date missing; ","")&amp;IF(AND(ISNUMBER(J102),ISNUMBER(B102),N(J102)&lt;N(B102)),"Approval dated before PR; ","")&amp;IF(AND(ISNUMBER(P102),ISNUMBER(J102),N(P102)&lt;N(J102)),"PO dated before approval; ","")&amp;IF(AND(ISNUMBER(AY102),ISNUMBER(AS102),N(AY102)&lt;N(AS102)),"Close before in-house start; ","")&amp;IF(AND(AY102&lt;&gt;"",AS102=""),"In-house start date missing; ","")&amp;IF(AND(AY102&lt;&gt;"",AT102=""),"Qty received missing; ","")&amp;IF(AND(AY102&lt;&gt;"",BF102=""),"QC status missing; ","")&amp;IF(N(AT102)&gt;N(Q102)*1.05,"Received &gt; ordered +5%; ","")&amp;IF(AND(N(AI102)&gt;0,AE102=""),"Payment terms missing; ","")&amp;IF(N(AI102)&gt;N(AD102)+1,"Overpaid vs PO; ","")&amp;IF(AND(N(AK102)&gt;0,AY102&lt;&gt;"",AO102=""),"Payment due date missing; ","")))</f>
        <v/>
      </c>
      <c r="BK102" s="76" t="str">
        <f aca="false">IF(A102="","",IF(N(AP102)&gt;0,"Pay supplier: "&amp;N(AP102)&amp;" days overdue; ","")&amp;IF(AND(O102&lt;&gt;"",AY102="",N(BD102)&gt;0),"Expedite delivery: "&amp;N(BD102)&amp;" days late; ","")&amp;IF(AND(BI102="Awaiting Approval",ISNUMBER(B102),Settings!$B$4-N(B102)&gt;Settings!$B$19),"Get approval: PR waiting "&amp;(Settings!$B$4-N(B102))&amp;" days; ","")&amp;IF(AND(BI102="Approved - PO Pending",ISNUMBER(J102),Settings!$B$4-N(J102)&gt;Settings!$B$20),"Issue PO: approved "&amp;(Settings!$B$4-N(J102))&amp;" days ago; ","")&amp;IF(AND(OR(BI102="Awaiting Approval",BI102="Approved - PO Pending"),N(AB102)&gt;Settings!$B$7),"Negotiate price: "&amp;TEXT(AB102,"0%")&amp;" above budget; ","")&amp;IF(LEFT(AX102,12)="Short Closed","Short closed: claim balance / credit note"&amp;IF(N(AL102)&gt;0," BDT "&amp;TEXT(AL102,"#,##0"),"")&amp;"; ","")&amp;IF(BF102="Rejected","QC rejected: return / replace; ","")&amp;IF(AND(O102&lt;&gt;"",AY102="",N(AL102)&gt;0,N(BD102)&gt;0),"Advance at risk: BDT "&amp;TEXT(AL102,"#,##0")&amp;" paid, goods late; ","")&amp;IF(AND(BJ102&lt;&gt;"",BJ102&lt;&gt;"OK"),"Fix data entry (see Data Check); ",""))</f>
        <v/>
      </c>
      <c r="BL102" s="73" t="str">
        <f aca="false">IF(BK102="","",IF(OR(N(AP102)&gt;30,AND(AY102="",N(BD102)&gt;15),BF102="Rejected",AND(LEFT(AX102,12)="Short Closed",N(AL102)&gt;0),AND(O102&lt;&gt;"",AY102="",N(AL102)&gt;0,N(BD102)&gt;0)),"High",IF(OR(N(AP102)&gt;0,AND(AY102="",N(BD102)&gt;7),LEFT(AX102,12)="Short Closed",AND(BI102="Awaiting Approval",ISNUMBER(B102),Settings!$B$4-N(B102)&gt;2*Settings!$B$19),AND(BI102="Approved - PO Pending",ISNUMBER(J102),Settings!$B$4-N(J102)&gt;2*Settings!$B$20)),"Medium","Low")))</f>
        <v/>
      </c>
      <c r="BM102" s="77" t="str">
        <f aca="false">IF(BL102="","",IF(BL102="High",1,IF(BL102="Medium",2,3))*10000+ROW())</f>
        <v/>
      </c>
      <c r="BN102" s="62"/>
    </row>
    <row r="103" customFormat="false" ht="18" hidden="false" customHeight="true" outlineLevel="0" collapsed="false">
      <c r="A103" s="60"/>
      <c r="B103" s="61"/>
      <c r="C103" s="62"/>
      <c r="D103" s="62"/>
      <c r="E103" s="62"/>
      <c r="F103" s="62"/>
      <c r="G103" s="62"/>
      <c r="H103" s="60"/>
      <c r="I103" s="60"/>
      <c r="J103" s="61"/>
      <c r="K103" s="60"/>
      <c r="L103" s="60"/>
      <c r="M103" s="62"/>
      <c r="N103" s="60"/>
      <c r="O103" s="60"/>
      <c r="P103" s="61"/>
      <c r="Q103" s="63"/>
      <c r="R103" s="60"/>
      <c r="S103" s="64"/>
      <c r="T103" s="60"/>
      <c r="U103" s="65" t="str">
        <f aca="false">IF(AND(T103="",S103=""),"",IF(T103="",1,IFERROR(INDEX(Settings!$B$12:$B$16,MATCH(T103,Settings!$A$12:$A$16,0)),1)))</f>
        <v/>
      </c>
      <c r="V103" s="64"/>
      <c r="W103" s="66" t="str">
        <f aca="false">IF(OR(Q103="",S103=""),"",Q103*S103*U103)</f>
        <v/>
      </c>
      <c r="X103" s="65" t="str">
        <f aca="false">IF(OR(W103="",N(Q103)=0),"",W103/Q103)</f>
        <v/>
      </c>
      <c r="Y103" s="65" t="str">
        <f aca="false">IF(OR(X103="",P103="",E103=""),"",IF(_xlfn.MAXIFS($P$6:$P$205,$E$6:$E$205,E103,$P$6:$P$205,"&lt;"&amp;P103,$X$6:$X$205,"&gt;0")=0,"",IFERROR(AVERAGEIFS($X$6:$X$205,$E$6:$E$205,E103,$P$6:$P$205,_xlfn.MAXIFS($P$6:$P$205,$E$6:$E$205,E103,$P$6:$P$205,"&lt;"&amp;P103,$X$6:$X$205,"&gt;0"),$X$6:$X$205,"&gt;0"),"")))</f>
        <v/>
      </c>
      <c r="Z103" s="67" t="str">
        <f aca="false">IF(OR(Y103="",X103=""),"",X103/Y103-1)</f>
        <v/>
      </c>
      <c r="AA103" s="68" t="str">
        <f aca="false">IF(OR(W103="",V103=""),"",W103-Q103*V103)</f>
        <v/>
      </c>
      <c r="AB103" s="69" t="str">
        <f aca="false">IF(AA103="","",IF(N(V103)*N(Q103)=0,"",AA103/(Q103*V103)))</f>
        <v/>
      </c>
      <c r="AC103" s="70"/>
      <c r="AD103" s="66" t="str">
        <f aca="false">IF(W103="","",W103*(1+N(AC103)))</f>
        <v/>
      </c>
      <c r="AE103" s="62"/>
      <c r="AF103" s="71"/>
      <c r="AG103" s="71"/>
      <c r="AH103" s="71"/>
      <c r="AI103" s="66" t="str">
        <f aca="false">IF(A103="","",N(AF103)+N(AG103)+N(AH103))</f>
        <v/>
      </c>
      <c r="AJ103" s="72" t="str">
        <f aca="false">IF(AD103="","",IF(N(AD103)=0,"",AI103/AD103))</f>
        <v/>
      </c>
      <c r="AK103" s="66" t="str">
        <f aca="false">IF(AD103="","",IF(AD103-AI103&lt;1,0,ROUND(AD103-AI103,2)))</f>
        <v/>
      </c>
      <c r="AL103" s="66" t="str">
        <f aca="false">IF(OR(O103="",AD103=""),"",MAX(0,ROUND(N(AI103)-(AD103-N(AW103)),0)))</f>
        <v/>
      </c>
      <c r="AM103" s="73" t="str">
        <f aca="false">IF(A103="","",IF(O103="","No PO Yet",IF(AI103=0,"Not Paid",IF(N(AJ103)&gt;=0.999,"Fully Paid",IF(N(AG103)+N(AH103)&gt;0,"Partially Paid","Initial / Advance Paid")))))</f>
        <v/>
      </c>
      <c r="AN103" s="61"/>
      <c r="AO103" s="61"/>
      <c r="AP103" s="74" t="str">
        <f aca="false">IF(AK103="","",IF(OR(N(AK103)=0,AO103=""),"",MAX(0,Settings!$B$4-AO103)))</f>
        <v/>
      </c>
      <c r="AQ103" s="73" t="str">
        <f aca="false">IF(AK103="","",IF(N(AK103)&lt;=0,"",IF(AO103="","No Due Date",IF(Settings!$B$4&lt;=AO103,"Not Yet Due",IF(Settings!$B$4-AO103&lt;=30,"1-30 Days",IF(Settings!$B$4-AO103&lt;=60,"31-60 Days",IF(Settings!$B$4-AO103&lt;=90,"61-90 Days","90+ Days")))))))</f>
        <v/>
      </c>
      <c r="AR103" s="61"/>
      <c r="AS103" s="61"/>
      <c r="AT103" s="63"/>
      <c r="AU103" s="72" t="str">
        <f aca="false">IF(Q103="","",IF(N(Q103)=0,"",N(AT103)/Q103))</f>
        <v/>
      </c>
      <c r="AV103" s="75" t="str">
        <f aca="false">IF(OR(A103="",O103="",Q103=""),"",MAX(0,Q103-N(AT103)))</f>
        <v/>
      </c>
      <c r="AW103" s="66" t="str">
        <f aca="false">IF(OR(AV103="",W103=""),"",IF(N(Q103)=0,0,AV103/Q103*AD103))</f>
        <v/>
      </c>
      <c r="AX103" s="76" t="str">
        <f aca="false">IF(A103="","",IF(O103="","No PO Yet",IF(Q103="","Order Qty Missing",IF(N(AT103)&gt;=Q103,IF(N(AT103)&gt;Q103,"All In-house (+"&amp;TEXT(N(AT103)-Q103,"#,##0")&amp;" "&amp;R103&amp;" excess)","All In-house"),IF(AY103&lt;&gt;"","Short Closed - "&amp;TEXT(AV103,"#,##0")&amp;" "&amp;R103&amp;" not received",IF(N(AT103)=0,"Not Started - "&amp;TEXT(AV103,"#,##0")&amp;" "&amp;R103&amp;" pending","Pending "&amp;TEXT(AV103,"#,##0")&amp;" "&amp;R103&amp;" ("&amp;TEXT(AU103,"0%")&amp;" received)"))))))</f>
        <v/>
      </c>
      <c r="AY103" s="61"/>
      <c r="AZ103" s="77" t="str">
        <f aca="false">IF(OR(B103="",J103=""),"",J103-B103)</f>
        <v/>
      </c>
      <c r="BA103" s="77" t="str">
        <f aca="false">IF(OR(J103="",P103=""),"",P103-J103)</f>
        <v/>
      </c>
      <c r="BB103" s="77" t="str">
        <f aca="false">IF(OR(P103="",AY103=""),"",AY103-P103)</f>
        <v/>
      </c>
      <c r="BC103" s="77" t="str">
        <f aca="false">IF(OR(B103="",AY103=""),"",AY103-B103)</f>
        <v/>
      </c>
      <c r="BD103" s="74" t="str">
        <f aca="false">IF(OR(AR103="",O103=""),"",MAX(0,IF(AY103="",Settings!$B$4,AY103)-AR103))</f>
        <v/>
      </c>
      <c r="BE103" s="73" t="str">
        <f aca="false">IF(OR(AY103="",AR103=""),"",IF(AND(AY103&lt;=AR103,N(AU103)&gt;=Settings!$B$6),"OTIF","Not OTIF"))</f>
        <v/>
      </c>
      <c r="BF103" s="60"/>
      <c r="BG103" s="62"/>
      <c r="BH103" s="78"/>
      <c r="BI103" s="76" t="str">
        <f aca="false">IF(A103="","",IF(K103="Rejected","Rejected",IF(K103&lt;&gt;"Approved","Awaiting Approval",IF(O103="","Approved - PO Pending",IF(AY103&lt;&gt;"",IF(N(AJ103)&gt;=0.999,"Closed","In-house Closed - Payment Due"),IF(AS103&lt;&gt;"","Receiving In-house","PO Issued - Awaiting Delivery"))))))</f>
        <v/>
      </c>
      <c r="BJ103" s="76" t="str">
        <f aca="false">IF(A103="","",IF(IF(AND(A103&lt;&gt;"",OR(B103="",C103="",E103="",F103="",H103="")),"PR info missing; ","")&amp;IF(AND(K103="Approved",OR(J103="",I103="")),"Approval ref/date missing; ","")&amp;IF(AND(O103&lt;&gt;"",K103&lt;&gt;"Approved"),"PO without approval; ","")&amp;IF(AND(O103&lt;&gt;"",OR(P103="",M103="",Q103="",S103="",T103="")),"PO details missing; ","")&amp;IF(AND(O103&lt;&gt;"",AR103=""),"Committed date missing; ","")&amp;IF(AND(ISNUMBER(J103),ISNUMBER(B103),N(J103)&lt;N(B103)),"Approval dated before PR; ","")&amp;IF(AND(ISNUMBER(P103),ISNUMBER(J103),N(P103)&lt;N(J103)),"PO dated before approval; ","")&amp;IF(AND(ISNUMBER(AY103),ISNUMBER(AS103),N(AY103)&lt;N(AS103)),"Close before in-house start; ","")&amp;IF(AND(AY103&lt;&gt;"",AS103=""),"In-house start date missing; ","")&amp;IF(AND(AY103&lt;&gt;"",AT103=""),"Qty received missing; ","")&amp;IF(AND(AY103&lt;&gt;"",BF103=""),"QC status missing; ","")&amp;IF(N(AT103)&gt;N(Q103)*1.05,"Received &gt; ordered +5%; ","")&amp;IF(AND(N(AI103)&gt;0,AE103=""),"Payment terms missing; ","")&amp;IF(N(AI103)&gt;N(AD103)+1,"Overpaid vs PO; ","")&amp;IF(AND(N(AK103)&gt;0,AY103&lt;&gt;"",AO103=""),"Payment due date missing; ","")="","OK",IF(AND(A103&lt;&gt;"",OR(B103="",C103="",E103="",F103="",H103="")),"PR info missing; ","")&amp;IF(AND(K103="Approved",OR(J103="",I103="")),"Approval ref/date missing; ","")&amp;IF(AND(O103&lt;&gt;"",K103&lt;&gt;"Approved"),"PO without approval; ","")&amp;IF(AND(O103&lt;&gt;"",OR(P103="",M103="",Q103="",S103="",T103="")),"PO details missing; ","")&amp;IF(AND(O103&lt;&gt;"",AR103=""),"Committed date missing; ","")&amp;IF(AND(ISNUMBER(J103),ISNUMBER(B103),N(J103)&lt;N(B103)),"Approval dated before PR; ","")&amp;IF(AND(ISNUMBER(P103),ISNUMBER(J103),N(P103)&lt;N(J103)),"PO dated before approval; ","")&amp;IF(AND(ISNUMBER(AY103),ISNUMBER(AS103),N(AY103)&lt;N(AS103)),"Close before in-house start; ","")&amp;IF(AND(AY103&lt;&gt;"",AS103=""),"In-house start date missing; ","")&amp;IF(AND(AY103&lt;&gt;"",AT103=""),"Qty received missing; ","")&amp;IF(AND(AY103&lt;&gt;"",BF103=""),"QC status missing; ","")&amp;IF(N(AT103)&gt;N(Q103)*1.05,"Received &gt; ordered +5%; ","")&amp;IF(AND(N(AI103)&gt;0,AE103=""),"Payment terms missing; ","")&amp;IF(N(AI103)&gt;N(AD103)+1,"Overpaid vs PO; ","")&amp;IF(AND(N(AK103)&gt;0,AY103&lt;&gt;"",AO103=""),"Payment due date missing; ","")))</f>
        <v/>
      </c>
      <c r="BK103" s="76" t="str">
        <f aca="false">IF(A103="","",IF(N(AP103)&gt;0,"Pay supplier: "&amp;N(AP103)&amp;" days overdue; ","")&amp;IF(AND(O103&lt;&gt;"",AY103="",N(BD103)&gt;0),"Expedite delivery: "&amp;N(BD103)&amp;" days late; ","")&amp;IF(AND(BI103="Awaiting Approval",ISNUMBER(B103),Settings!$B$4-N(B103)&gt;Settings!$B$19),"Get approval: PR waiting "&amp;(Settings!$B$4-N(B103))&amp;" days; ","")&amp;IF(AND(BI103="Approved - PO Pending",ISNUMBER(J103),Settings!$B$4-N(J103)&gt;Settings!$B$20),"Issue PO: approved "&amp;(Settings!$B$4-N(J103))&amp;" days ago; ","")&amp;IF(AND(OR(BI103="Awaiting Approval",BI103="Approved - PO Pending"),N(AB103)&gt;Settings!$B$7),"Negotiate price: "&amp;TEXT(AB103,"0%")&amp;" above budget; ","")&amp;IF(LEFT(AX103,12)="Short Closed","Short closed: claim balance / credit note"&amp;IF(N(AL103)&gt;0," BDT "&amp;TEXT(AL103,"#,##0"),"")&amp;"; ","")&amp;IF(BF103="Rejected","QC rejected: return / replace; ","")&amp;IF(AND(O103&lt;&gt;"",AY103="",N(AL103)&gt;0,N(BD103)&gt;0),"Advance at risk: BDT "&amp;TEXT(AL103,"#,##0")&amp;" paid, goods late; ","")&amp;IF(AND(BJ103&lt;&gt;"",BJ103&lt;&gt;"OK"),"Fix data entry (see Data Check); ",""))</f>
        <v/>
      </c>
      <c r="BL103" s="73" t="str">
        <f aca="false">IF(BK103="","",IF(OR(N(AP103)&gt;30,AND(AY103="",N(BD103)&gt;15),BF103="Rejected",AND(LEFT(AX103,12)="Short Closed",N(AL103)&gt;0),AND(O103&lt;&gt;"",AY103="",N(AL103)&gt;0,N(BD103)&gt;0)),"High",IF(OR(N(AP103)&gt;0,AND(AY103="",N(BD103)&gt;7),LEFT(AX103,12)="Short Closed",AND(BI103="Awaiting Approval",ISNUMBER(B103),Settings!$B$4-N(B103)&gt;2*Settings!$B$19),AND(BI103="Approved - PO Pending",ISNUMBER(J103),Settings!$B$4-N(J103)&gt;2*Settings!$B$20)),"Medium","Low")))</f>
        <v/>
      </c>
      <c r="BM103" s="77" t="str">
        <f aca="false">IF(BL103="","",IF(BL103="High",1,IF(BL103="Medium",2,3))*10000+ROW())</f>
        <v/>
      </c>
      <c r="BN103" s="62"/>
    </row>
    <row r="104" customFormat="false" ht="18" hidden="false" customHeight="true" outlineLevel="0" collapsed="false">
      <c r="A104" s="60"/>
      <c r="B104" s="61"/>
      <c r="C104" s="62"/>
      <c r="D104" s="62"/>
      <c r="E104" s="62"/>
      <c r="F104" s="62"/>
      <c r="G104" s="62"/>
      <c r="H104" s="60"/>
      <c r="I104" s="60"/>
      <c r="J104" s="61"/>
      <c r="K104" s="60"/>
      <c r="L104" s="60"/>
      <c r="M104" s="62"/>
      <c r="N104" s="60"/>
      <c r="O104" s="60"/>
      <c r="P104" s="61"/>
      <c r="Q104" s="63"/>
      <c r="R104" s="60"/>
      <c r="S104" s="64"/>
      <c r="T104" s="60"/>
      <c r="U104" s="65" t="str">
        <f aca="false">IF(AND(T104="",S104=""),"",IF(T104="",1,IFERROR(INDEX(Settings!$B$12:$B$16,MATCH(T104,Settings!$A$12:$A$16,0)),1)))</f>
        <v/>
      </c>
      <c r="V104" s="64"/>
      <c r="W104" s="66" t="str">
        <f aca="false">IF(OR(Q104="",S104=""),"",Q104*S104*U104)</f>
        <v/>
      </c>
      <c r="X104" s="65" t="str">
        <f aca="false">IF(OR(W104="",N(Q104)=0),"",W104/Q104)</f>
        <v/>
      </c>
      <c r="Y104" s="65" t="str">
        <f aca="false">IF(OR(X104="",P104="",E104=""),"",IF(_xlfn.MAXIFS($P$6:$P$205,$E$6:$E$205,E104,$P$6:$P$205,"&lt;"&amp;P104,$X$6:$X$205,"&gt;0")=0,"",IFERROR(AVERAGEIFS($X$6:$X$205,$E$6:$E$205,E104,$P$6:$P$205,_xlfn.MAXIFS($P$6:$P$205,$E$6:$E$205,E104,$P$6:$P$205,"&lt;"&amp;P104,$X$6:$X$205,"&gt;0"),$X$6:$X$205,"&gt;0"),"")))</f>
        <v/>
      </c>
      <c r="Z104" s="67" t="str">
        <f aca="false">IF(OR(Y104="",X104=""),"",X104/Y104-1)</f>
        <v/>
      </c>
      <c r="AA104" s="68" t="str">
        <f aca="false">IF(OR(W104="",V104=""),"",W104-Q104*V104)</f>
        <v/>
      </c>
      <c r="AB104" s="69" t="str">
        <f aca="false">IF(AA104="","",IF(N(V104)*N(Q104)=0,"",AA104/(Q104*V104)))</f>
        <v/>
      </c>
      <c r="AC104" s="70"/>
      <c r="AD104" s="66" t="str">
        <f aca="false">IF(W104="","",W104*(1+N(AC104)))</f>
        <v/>
      </c>
      <c r="AE104" s="62"/>
      <c r="AF104" s="71"/>
      <c r="AG104" s="71"/>
      <c r="AH104" s="71"/>
      <c r="AI104" s="66" t="str">
        <f aca="false">IF(A104="","",N(AF104)+N(AG104)+N(AH104))</f>
        <v/>
      </c>
      <c r="AJ104" s="72" t="str">
        <f aca="false">IF(AD104="","",IF(N(AD104)=0,"",AI104/AD104))</f>
        <v/>
      </c>
      <c r="AK104" s="66" t="str">
        <f aca="false">IF(AD104="","",IF(AD104-AI104&lt;1,0,ROUND(AD104-AI104,2)))</f>
        <v/>
      </c>
      <c r="AL104" s="66" t="str">
        <f aca="false">IF(OR(O104="",AD104=""),"",MAX(0,ROUND(N(AI104)-(AD104-N(AW104)),0)))</f>
        <v/>
      </c>
      <c r="AM104" s="73" t="str">
        <f aca="false">IF(A104="","",IF(O104="","No PO Yet",IF(AI104=0,"Not Paid",IF(N(AJ104)&gt;=0.999,"Fully Paid",IF(N(AG104)+N(AH104)&gt;0,"Partially Paid","Initial / Advance Paid")))))</f>
        <v/>
      </c>
      <c r="AN104" s="61"/>
      <c r="AO104" s="61"/>
      <c r="AP104" s="74" t="str">
        <f aca="false">IF(AK104="","",IF(OR(N(AK104)=0,AO104=""),"",MAX(0,Settings!$B$4-AO104)))</f>
        <v/>
      </c>
      <c r="AQ104" s="73" t="str">
        <f aca="false">IF(AK104="","",IF(N(AK104)&lt;=0,"",IF(AO104="","No Due Date",IF(Settings!$B$4&lt;=AO104,"Not Yet Due",IF(Settings!$B$4-AO104&lt;=30,"1-30 Days",IF(Settings!$B$4-AO104&lt;=60,"31-60 Days",IF(Settings!$B$4-AO104&lt;=90,"61-90 Days","90+ Days")))))))</f>
        <v/>
      </c>
      <c r="AR104" s="61"/>
      <c r="AS104" s="61"/>
      <c r="AT104" s="63"/>
      <c r="AU104" s="72" t="str">
        <f aca="false">IF(Q104="","",IF(N(Q104)=0,"",N(AT104)/Q104))</f>
        <v/>
      </c>
      <c r="AV104" s="75" t="str">
        <f aca="false">IF(OR(A104="",O104="",Q104=""),"",MAX(0,Q104-N(AT104)))</f>
        <v/>
      </c>
      <c r="AW104" s="66" t="str">
        <f aca="false">IF(OR(AV104="",W104=""),"",IF(N(Q104)=0,0,AV104/Q104*AD104))</f>
        <v/>
      </c>
      <c r="AX104" s="76" t="str">
        <f aca="false">IF(A104="","",IF(O104="","No PO Yet",IF(Q104="","Order Qty Missing",IF(N(AT104)&gt;=Q104,IF(N(AT104)&gt;Q104,"All In-house (+"&amp;TEXT(N(AT104)-Q104,"#,##0")&amp;" "&amp;R104&amp;" excess)","All In-house"),IF(AY104&lt;&gt;"","Short Closed - "&amp;TEXT(AV104,"#,##0")&amp;" "&amp;R104&amp;" not received",IF(N(AT104)=0,"Not Started - "&amp;TEXT(AV104,"#,##0")&amp;" "&amp;R104&amp;" pending","Pending "&amp;TEXT(AV104,"#,##0")&amp;" "&amp;R104&amp;" ("&amp;TEXT(AU104,"0%")&amp;" received)"))))))</f>
        <v/>
      </c>
      <c r="AY104" s="61"/>
      <c r="AZ104" s="77" t="str">
        <f aca="false">IF(OR(B104="",J104=""),"",J104-B104)</f>
        <v/>
      </c>
      <c r="BA104" s="77" t="str">
        <f aca="false">IF(OR(J104="",P104=""),"",P104-J104)</f>
        <v/>
      </c>
      <c r="BB104" s="77" t="str">
        <f aca="false">IF(OR(P104="",AY104=""),"",AY104-P104)</f>
        <v/>
      </c>
      <c r="BC104" s="77" t="str">
        <f aca="false">IF(OR(B104="",AY104=""),"",AY104-B104)</f>
        <v/>
      </c>
      <c r="BD104" s="74" t="str">
        <f aca="false">IF(OR(AR104="",O104=""),"",MAX(0,IF(AY104="",Settings!$B$4,AY104)-AR104))</f>
        <v/>
      </c>
      <c r="BE104" s="73" t="str">
        <f aca="false">IF(OR(AY104="",AR104=""),"",IF(AND(AY104&lt;=AR104,N(AU104)&gt;=Settings!$B$6),"OTIF","Not OTIF"))</f>
        <v/>
      </c>
      <c r="BF104" s="60"/>
      <c r="BG104" s="62"/>
      <c r="BH104" s="78"/>
      <c r="BI104" s="76" t="str">
        <f aca="false">IF(A104="","",IF(K104="Rejected","Rejected",IF(K104&lt;&gt;"Approved","Awaiting Approval",IF(O104="","Approved - PO Pending",IF(AY104&lt;&gt;"",IF(N(AJ104)&gt;=0.999,"Closed","In-house Closed - Payment Due"),IF(AS104&lt;&gt;"","Receiving In-house","PO Issued - Awaiting Delivery"))))))</f>
        <v/>
      </c>
      <c r="BJ104" s="76" t="str">
        <f aca="false">IF(A104="","",IF(IF(AND(A104&lt;&gt;"",OR(B104="",C104="",E104="",F104="",H104="")),"PR info missing; ","")&amp;IF(AND(K104="Approved",OR(J104="",I104="")),"Approval ref/date missing; ","")&amp;IF(AND(O104&lt;&gt;"",K104&lt;&gt;"Approved"),"PO without approval; ","")&amp;IF(AND(O104&lt;&gt;"",OR(P104="",M104="",Q104="",S104="",T104="")),"PO details missing; ","")&amp;IF(AND(O104&lt;&gt;"",AR104=""),"Committed date missing; ","")&amp;IF(AND(ISNUMBER(J104),ISNUMBER(B104),N(J104)&lt;N(B104)),"Approval dated before PR; ","")&amp;IF(AND(ISNUMBER(P104),ISNUMBER(J104),N(P104)&lt;N(J104)),"PO dated before approval; ","")&amp;IF(AND(ISNUMBER(AY104),ISNUMBER(AS104),N(AY104)&lt;N(AS104)),"Close before in-house start; ","")&amp;IF(AND(AY104&lt;&gt;"",AS104=""),"In-house start date missing; ","")&amp;IF(AND(AY104&lt;&gt;"",AT104=""),"Qty received missing; ","")&amp;IF(AND(AY104&lt;&gt;"",BF104=""),"QC status missing; ","")&amp;IF(N(AT104)&gt;N(Q104)*1.05,"Received &gt; ordered +5%; ","")&amp;IF(AND(N(AI104)&gt;0,AE104=""),"Payment terms missing; ","")&amp;IF(N(AI104)&gt;N(AD104)+1,"Overpaid vs PO; ","")&amp;IF(AND(N(AK104)&gt;0,AY104&lt;&gt;"",AO104=""),"Payment due date missing; ","")="","OK",IF(AND(A104&lt;&gt;"",OR(B104="",C104="",E104="",F104="",H104="")),"PR info missing; ","")&amp;IF(AND(K104="Approved",OR(J104="",I104="")),"Approval ref/date missing; ","")&amp;IF(AND(O104&lt;&gt;"",K104&lt;&gt;"Approved"),"PO without approval; ","")&amp;IF(AND(O104&lt;&gt;"",OR(P104="",M104="",Q104="",S104="",T104="")),"PO details missing; ","")&amp;IF(AND(O104&lt;&gt;"",AR104=""),"Committed date missing; ","")&amp;IF(AND(ISNUMBER(J104),ISNUMBER(B104),N(J104)&lt;N(B104)),"Approval dated before PR; ","")&amp;IF(AND(ISNUMBER(P104),ISNUMBER(J104),N(P104)&lt;N(J104)),"PO dated before approval; ","")&amp;IF(AND(ISNUMBER(AY104),ISNUMBER(AS104),N(AY104)&lt;N(AS104)),"Close before in-house start; ","")&amp;IF(AND(AY104&lt;&gt;"",AS104=""),"In-house start date missing; ","")&amp;IF(AND(AY104&lt;&gt;"",AT104=""),"Qty received missing; ","")&amp;IF(AND(AY104&lt;&gt;"",BF104=""),"QC status missing; ","")&amp;IF(N(AT104)&gt;N(Q104)*1.05,"Received &gt; ordered +5%; ","")&amp;IF(AND(N(AI104)&gt;0,AE104=""),"Payment terms missing; ","")&amp;IF(N(AI104)&gt;N(AD104)+1,"Overpaid vs PO; ","")&amp;IF(AND(N(AK104)&gt;0,AY104&lt;&gt;"",AO104=""),"Payment due date missing; ","")))</f>
        <v/>
      </c>
      <c r="BK104" s="76" t="str">
        <f aca="false">IF(A104="","",IF(N(AP104)&gt;0,"Pay supplier: "&amp;N(AP104)&amp;" days overdue; ","")&amp;IF(AND(O104&lt;&gt;"",AY104="",N(BD104)&gt;0),"Expedite delivery: "&amp;N(BD104)&amp;" days late; ","")&amp;IF(AND(BI104="Awaiting Approval",ISNUMBER(B104),Settings!$B$4-N(B104)&gt;Settings!$B$19),"Get approval: PR waiting "&amp;(Settings!$B$4-N(B104))&amp;" days; ","")&amp;IF(AND(BI104="Approved - PO Pending",ISNUMBER(J104),Settings!$B$4-N(J104)&gt;Settings!$B$20),"Issue PO: approved "&amp;(Settings!$B$4-N(J104))&amp;" days ago; ","")&amp;IF(AND(OR(BI104="Awaiting Approval",BI104="Approved - PO Pending"),N(AB104)&gt;Settings!$B$7),"Negotiate price: "&amp;TEXT(AB104,"0%")&amp;" above budget; ","")&amp;IF(LEFT(AX104,12)="Short Closed","Short closed: claim balance / credit note"&amp;IF(N(AL104)&gt;0," BDT "&amp;TEXT(AL104,"#,##0"),"")&amp;"; ","")&amp;IF(BF104="Rejected","QC rejected: return / replace; ","")&amp;IF(AND(O104&lt;&gt;"",AY104="",N(AL104)&gt;0,N(BD104)&gt;0),"Advance at risk: BDT "&amp;TEXT(AL104,"#,##0")&amp;" paid, goods late; ","")&amp;IF(AND(BJ104&lt;&gt;"",BJ104&lt;&gt;"OK"),"Fix data entry (see Data Check); ",""))</f>
        <v/>
      </c>
      <c r="BL104" s="73" t="str">
        <f aca="false">IF(BK104="","",IF(OR(N(AP104)&gt;30,AND(AY104="",N(BD104)&gt;15),BF104="Rejected",AND(LEFT(AX104,12)="Short Closed",N(AL104)&gt;0),AND(O104&lt;&gt;"",AY104="",N(AL104)&gt;0,N(BD104)&gt;0)),"High",IF(OR(N(AP104)&gt;0,AND(AY104="",N(BD104)&gt;7),LEFT(AX104,12)="Short Closed",AND(BI104="Awaiting Approval",ISNUMBER(B104),Settings!$B$4-N(B104)&gt;2*Settings!$B$19),AND(BI104="Approved - PO Pending",ISNUMBER(J104),Settings!$B$4-N(J104)&gt;2*Settings!$B$20)),"Medium","Low")))</f>
        <v/>
      </c>
      <c r="BM104" s="77" t="str">
        <f aca="false">IF(BL104="","",IF(BL104="High",1,IF(BL104="Medium",2,3))*10000+ROW())</f>
        <v/>
      </c>
      <c r="BN104" s="62"/>
    </row>
    <row r="105" customFormat="false" ht="18" hidden="false" customHeight="true" outlineLevel="0" collapsed="false">
      <c r="A105" s="60"/>
      <c r="B105" s="61"/>
      <c r="C105" s="62"/>
      <c r="D105" s="62"/>
      <c r="E105" s="62"/>
      <c r="F105" s="62"/>
      <c r="G105" s="62"/>
      <c r="H105" s="60"/>
      <c r="I105" s="60"/>
      <c r="J105" s="61"/>
      <c r="K105" s="60"/>
      <c r="L105" s="60"/>
      <c r="M105" s="62"/>
      <c r="N105" s="60"/>
      <c r="O105" s="60"/>
      <c r="P105" s="61"/>
      <c r="Q105" s="63"/>
      <c r="R105" s="60"/>
      <c r="S105" s="64"/>
      <c r="T105" s="60"/>
      <c r="U105" s="65" t="str">
        <f aca="false">IF(AND(T105="",S105=""),"",IF(T105="",1,IFERROR(INDEX(Settings!$B$12:$B$16,MATCH(T105,Settings!$A$12:$A$16,0)),1)))</f>
        <v/>
      </c>
      <c r="V105" s="64"/>
      <c r="W105" s="66" t="str">
        <f aca="false">IF(OR(Q105="",S105=""),"",Q105*S105*U105)</f>
        <v/>
      </c>
      <c r="X105" s="65" t="str">
        <f aca="false">IF(OR(W105="",N(Q105)=0),"",W105/Q105)</f>
        <v/>
      </c>
      <c r="Y105" s="65" t="str">
        <f aca="false">IF(OR(X105="",P105="",E105=""),"",IF(_xlfn.MAXIFS($P$6:$P$205,$E$6:$E$205,E105,$P$6:$P$205,"&lt;"&amp;P105,$X$6:$X$205,"&gt;0")=0,"",IFERROR(AVERAGEIFS($X$6:$X$205,$E$6:$E$205,E105,$P$6:$P$205,_xlfn.MAXIFS($P$6:$P$205,$E$6:$E$205,E105,$P$6:$P$205,"&lt;"&amp;P105,$X$6:$X$205,"&gt;0"),$X$6:$X$205,"&gt;0"),"")))</f>
        <v/>
      </c>
      <c r="Z105" s="67" t="str">
        <f aca="false">IF(OR(Y105="",X105=""),"",X105/Y105-1)</f>
        <v/>
      </c>
      <c r="AA105" s="68" t="str">
        <f aca="false">IF(OR(W105="",V105=""),"",W105-Q105*V105)</f>
        <v/>
      </c>
      <c r="AB105" s="69" t="str">
        <f aca="false">IF(AA105="","",IF(N(V105)*N(Q105)=0,"",AA105/(Q105*V105)))</f>
        <v/>
      </c>
      <c r="AC105" s="70"/>
      <c r="AD105" s="66" t="str">
        <f aca="false">IF(W105="","",W105*(1+N(AC105)))</f>
        <v/>
      </c>
      <c r="AE105" s="62"/>
      <c r="AF105" s="71"/>
      <c r="AG105" s="71"/>
      <c r="AH105" s="71"/>
      <c r="AI105" s="66" t="str">
        <f aca="false">IF(A105="","",N(AF105)+N(AG105)+N(AH105))</f>
        <v/>
      </c>
      <c r="AJ105" s="72" t="str">
        <f aca="false">IF(AD105="","",IF(N(AD105)=0,"",AI105/AD105))</f>
        <v/>
      </c>
      <c r="AK105" s="66" t="str">
        <f aca="false">IF(AD105="","",IF(AD105-AI105&lt;1,0,ROUND(AD105-AI105,2)))</f>
        <v/>
      </c>
      <c r="AL105" s="66" t="str">
        <f aca="false">IF(OR(O105="",AD105=""),"",MAX(0,ROUND(N(AI105)-(AD105-N(AW105)),0)))</f>
        <v/>
      </c>
      <c r="AM105" s="73" t="str">
        <f aca="false">IF(A105="","",IF(O105="","No PO Yet",IF(AI105=0,"Not Paid",IF(N(AJ105)&gt;=0.999,"Fully Paid",IF(N(AG105)+N(AH105)&gt;0,"Partially Paid","Initial / Advance Paid")))))</f>
        <v/>
      </c>
      <c r="AN105" s="61"/>
      <c r="AO105" s="61"/>
      <c r="AP105" s="74" t="str">
        <f aca="false">IF(AK105="","",IF(OR(N(AK105)=0,AO105=""),"",MAX(0,Settings!$B$4-AO105)))</f>
        <v/>
      </c>
      <c r="AQ105" s="73" t="str">
        <f aca="false">IF(AK105="","",IF(N(AK105)&lt;=0,"",IF(AO105="","No Due Date",IF(Settings!$B$4&lt;=AO105,"Not Yet Due",IF(Settings!$B$4-AO105&lt;=30,"1-30 Days",IF(Settings!$B$4-AO105&lt;=60,"31-60 Days",IF(Settings!$B$4-AO105&lt;=90,"61-90 Days","90+ Days")))))))</f>
        <v/>
      </c>
      <c r="AR105" s="61"/>
      <c r="AS105" s="61"/>
      <c r="AT105" s="63"/>
      <c r="AU105" s="72" t="str">
        <f aca="false">IF(Q105="","",IF(N(Q105)=0,"",N(AT105)/Q105))</f>
        <v/>
      </c>
      <c r="AV105" s="75" t="str">
        <f aca="false">IF(OR(A105="",O105="",Q105=""),"",MAX(0,Q105-N(AT105)))</f>
        <v/>
      </c>
      <c r="AW105" s="66" t="str">
        <f aca="false">IF(OR(AV105="",W105=""),"",IF(N(Q105)=0,0,AV105/Q105*AD105))</f>
        <v/>
      </c>
      <c r="AX105" s="76" t="str">
        <f aca="false">IF(A105="","",IF(O105="","No PO Yet",IF(Q105="","Order Qty Missing",IF(N(AT105)&gt;=Q105,IF(N(AT105)&gt;Q105,"All In-house (+"&amp;TEXT(N(AT105)-Q105,"#,##0")&amp;" "&amp;R105&amp;" excess)","All In-house"),IF(AY105&lt;&gt;"","Short Closed - "&amp;TEXT(AV105,"#,##0")&amp;" "&amp;R105&amp;" not received",IF(N(AT105)=0,"Not Started - "&amp;TEXT(AV105,"#,##0")&amp;" "&amp;R105&amp;" pending","Pending "&amp;TEXT(AV105,"#,##0")&amp;" "&amp;R105&amp;" ("&amp;TEXT(AU105,"0%")&amp;" received)"))))))</f>
        <v/>
      </c>
      <c r="AY105" s="61"/>
      <c r="AZ105" s="77" t="str">
        <f aca="false">IF(OR(B105="",J105=""),"",J105-B105)</f>
        <v/>
      </c>
      <c r="BA105" s="77" t="str">
        <f aca="false">IF(OR(J105="",P105=""),"",P105-J105)</f>
        <v/>
      </c>
      <c r="BB105" s="77" t="str">
        <f aca="false">IF(OR(P105="",AY105=""),"",AY105-P105)</f>
        <v/>
      </c>
      <c r="BC105" s="77" t="str">
        <f aca="false">IF(OR(B105="",AY105=""),"",AY105-B105)</f>
        <v/>
      </c>
      <c r="BD105" s="74" t="str">
        <f aca="false">IF(OR(AR105="",O105=""),"",MAX(0,IF(AY105="",Settings!$B$4,AY105)-AR105))</f>
        <v/>
      </c>
      <c r="BE105" s="73" t="str">
        <f aca="false">IF(OR(AY105="",AR105=""),"",IF(AND(AY105&lt;=AR105,N(AU105)&gt;=Settings!$B$6),"OTIF","Not OTIF"))</f>
        <v/>
      </c>
      <c r="BF105" s="60"/>
      <c r="BG105" s="62"/>
      <c r="BH105" s="78"/>
      <c r="BI105" s="76" t="str">
        <f aca="false">IF(A105="","",IF(K105="Rejected","Rejected",IF(K105&lt;&gt;"Approved","Awaiting Approval",IF(O105="","Approved - PO Pending",IF(AY105&lt;&gt;"",IF(N(AJ105)&gt;=0.999,"Closed","In-house Closed - Payment Due"),IF(AS105&lt;&gt;"","Receiving In-house","PO Issued - Awaiting Delivery"))))))</f>
        <v/>
      </c>
      <c r="BJ105" s="76" t="str">
        <f aca="false">IF(A105="","",IF(IF(AND(A105&lt;&gt;"",OR(B105="",C105="",E105="",F105="",H105="")),"PR info missing; ","")&amp;IF(AND(K105="Approved",OR(J105="",I105="")),"Approval ref/date missing; ","")&amp;IF(AND(O105&lt;&gt;"",K105&lt;&gt;"Approved"),"PO without approval; ","")&amp;IF(AND(O105&lt;&gt;"",OR(P105="",M105="",Q105="",S105="",T105="")),"PO details missing; ","")&amp;IF(AND(O105&lt;&gt;"",AR105=""),"Committed date missing; ","")&amp;IF(AND(ISNUMBER(J105),ISNUMBER(B105),N(J105)&lt;N(B105)),"Approval dated before PR; ","")&amp;IF(AND(ISNUMBER(P105),ISNUMBER(J105),N(P105)&lt;N(J105)),"PO dated before approval; ","")&amp;IF(AND(ISNUMBER(AY105),ISNUMBER(AS105),N(AY105)&lt;N(AS105)),"Close before in-house start; ","")&amp;IF(AND(AY105&lt;&gt;"",AS105=""),"In-house start date missing; ","")&amp;IF(AND(AY105&lt;&gt;"",AT105=""),"Qty received missing; ","")&amp;IF(AND(AY105&lt;&gt;"",BF105=""),"QC status missing; ","")&amp;IF(N(AT105)&gt;N(Q105)*1.05,"Received &gt; ordered +5%; ","")&amp;IF(AND(N(AI105)&gt;0,AE105=""),"Payment terms missing; ","")&amp;IF(N(AI105)&gt;N(AD105)+1,"Overpaid vs PO; ","")&amp;IF(AND(N(AK105)&gt;0,AY105&lt;&gt;"",AO105=""),"Payment due date missing; ","")="","OK",IF(AND(A105&lt;&gt;"",OR(B105="",C105="",E105="",F105="",H105="")),"PR info missing; ","")&amp;IF(AND(K105="Approved",OR(J105="",I105="")),"Approval ref/date missing; ","")&amp;IF(AND(O105&lt;&gt;"",K105&lt;&gt;"Approved"),"PO without approval; ","")&amp;IF(AND(O105&lt;&gt;"",OR(P105="",M105="",Q105="",S105="",T105="")),"PO details missing; ","")&amp;IF(AND(O105&lt;&gt;"",AR105=""),"Committed date missing; ","")&amp;IF(AND(ISNUMBER(J105),ISNUMBER(B105),N(J105)&lt;N(B105)),"Approval dated before PR; ","")&amp;IF(AND(ISNUMBER(P105),ISNUMBER(J105),N(P105)&lt;N(J105)),"PO dated before approval; ","")&amp;IF(AND(ISNUMBER(AY105),ISNUMBER(AS105),N(AY105)&lt;N(AS105)),"Close before in-house start; ","")&amp;IF(AND(AY105&lt;&gt;"",AS105=""),"In-house start date missing; ","")&amp;IF(AND(AY105&lt;&gt;"",AT105=""),"Qty received missing; ","")&amp;IF(AND(AY105&lt;&gt;"",BF105=""),"QC status missing; ","")&amp;IF(N(AT105)&gt;N(Q105)*1.05,"Received &gt; ordered +5%; ","")&amp;IF(AND(N(AI105)&gt;0,AE105=""),"Payment terms missing; ","")&amp;IF(N(AI105)&gt;N(AD105)+1,"Overpaid vs PO; ","")&amp;IF(AND(N(AK105)&gt;0,AY105&lt;&gt;"",AO105=""),"Payment due date missing; ","")))</f>
        <v/>
      </c>
      <c r="BK105" s="76" t="str">
        <f aca="false">IF(A105="","",IF(N(AP105)&gt;0,"Pay supplier: "&amp;N(AP105)&amp;" days overdue; ","")&amp;IF(AND(O105&lt;&gt;"",AY105="",N(BD105)&gt;0),"Expedite delivery: "&amp;N(BD105)&amp;" days late; ","")&amp;IF(AND(BI105="Awaiting Approval",ISNUMBER(B105),Settings!$B$4-N(B105)&gt;Settings!$B$19),"Get approval: PR waiting "&amp;(Settings!$B$4-N(B105))&amp;" days; ","")&amp;IF(AND(BI105="Approved - PO Pending",ISNUMBER(J105),Settings!$B$4-N(J105)&gt;Settings!$B$20),"Issue PO: approved "&amp;(Settings!$B$4-N(J105))&amp;" days ago; ","")&amp;IF(AND(OR(BI105="Awaiting Approval",BI105="Approved - PO Pending"),N(AB105)&gt;Settings!$B$7),"Negotiate price: "&amp;TEXT(AB105,"0%")&amp;" above budget; ","")&amp;IF(LEFT(AX105,12)="Short Closed","Short closed: claim balance / credit note"&amp;IF(N(AL105)&gt;0," BDT "&amp;TEXT(AL105,"#,##0"),"")&amp;"; ","")&amp;IF(BF105="Rejected","QC rejected: return / replace; ","")&amp;IF(AND(O105&lt;&gt;"",AY105="",N(AL105)&gt;0,N(BD105)&gt;0),"Advance at risk: BDT "&amp;TEXT(AL105,"#,##0")&amp;" paid, goods late; ","")&amp;IF(AND(BJ105&lt;&gt;"",BJ105&lt;&gt;"OK"),"Fix data entry (see Data Check); ",""))</f>
        <v/>
      </c>
      <c r="BL105" s="73" t="str">
        <f aca="false">IF(BK105="","",IF(OR(N(AP105)&gt;30,AND(AY105="",N(BD105)&gt;15),BF105="Rejected",AND(LEFT(AX105,12)="Short Closed",N(AL105)&gt;0),AND(O105&lt;&gt;"",AY105="",N(AL105)&gt;0,N(BD105)&gt;0)),"High",IF(OR(N(AP105)&gt;0,AND(AY105="",N(BD105)&gt;7),LEFT(AX105,12)="Short Closed",AND(BI105="Awaiting Approval",ISNUMBER(B105),Settings!$B$4-N(B105)&gt;2*Settings!$B$19),AND(BI105="Approved - PO Pending",ISNUMBER(J105),Settings!$B$4-N(J105)&gt;2*Settings!$B$20)),"Medium","Low")))</f>
        <v/>
      </c>
      <c r="BM105" s="77" t="str">
        <f aca="false">IF(BL105="","",IF(BL105="High",1,IF(BL105="Medium",2,3))*10000+ROW())</f>
        <v/>
      </c>
      <c r="BN105" s="62"/>
    </row>
    <row r="106" customFormat="false" ht="18" hidden="false" customHeight="true" outlineLevel="0" collapsed="false">
      <c r="A106" s="60"/>
      <c r="B106" s="61"/>
      <c r="C106" s="62"/>
      <c r="D106" s="62"/>
      <c r="E106" s="62"/>
      <c r="F106" s="62"/>
      <c r="G106" s="62"/>
      <c r="H106" s="60"/>
      <c r="I106" s="60"/>
      <c r="J106" s="61"/>
      <c r="K106" s="60"/>
      <c r="L106" s="60"/>
      <c r="M106" s="62"/>
      <c r="N106" s="60"/>
      <c r="O106" s="60"/>
      <c r="P106" s="61"/>
      <c r="Q106" s="63"/>
      <c r="R106" s="60"/>
      <c r="S106" s="64"/>
      <c r="T106" s="60"/>
      <c r="U106" s="65" t="str">
        <f aca="false">IF(AND(T106="",S106=""),"",IF(T106="",1,IFERROR(INDEX(Settings!$B$12:$B$16,MATCH(T106,Settings!$A$12:$A$16,0)),1)))</f>
        <v/>
      </c>
      <c r="V106" s="64"/>
      <c r="W106" s="66" t="str">
        <f aca="false">IF(OR(Q106="",S106=""),"",Q106*S106*U106)</f>
        <v/>
      </c>
      <c r="X106" s="65" t="str">
        <f aca="false">IF(OR(W106="",N(Q106)=0),"",W106/Q106)</f>
        <v/>
      </c>
      <c r="Y106" s="65" t="str">
        <f aca="false">IF(OR(X106="",P106="",E106=""),"",IF(_xlfn.MAXIFS($P$6:$P$205,$E$6:$E$205,E106,$P$6:$P$205,"&lt;"&amp;P106,$X$6:$X$205,"&gt;0")=0,"",IFERROR(AVERAGEIFS($X$6:$X$205,$E$6:$E$205,E106,$P$6:$P$205,_xlfn.MAXIFS($P$6:$P$205,$E$6:$E$205,E106,$P$6:$P$205,"&lt;"&amp;P106,$X$6:$X$205,"&gt;0"),$X$6:$X$205,"&gt;0"),"")))</f>
        <v/>
      </c>
      <c r="Z106" s="67" t="str">
        <f aca="false">IF(OR(Y106="",X106=""),"",X106/Y106-1)</f>
        <v/>
      </c>
      <c r="AA106" s="68" t="str">
        <f aca="false">IF(OR(W106="",V106=""),"",W106-Q106*V106)</f>
        <v/>
      </c>
      <c r="AB106" s="69" t="str">
        <f aca="false">IF(AA106="","",IF(N(V106)*N(Q106)=0,"",AA106/(Q106*V106)))</f>
        <v/>
      </c>
      <c r="AC106" s="70"/>
      <c r="AD106" s="66" t="str">
        <f aca="false">IF(W106="","",W106*(1+N(AC106)))</f>
        <v/>
      </c>
      <c r="AE106" s="62"/>
      <c r="AF106" s="71"/>
      <c r="AG106" s="71"/>
      <c r="AH106" s="71"/>
      <c r="AI106" s="66" t="str">
        <f aca="false">IF(A106="","",N(AF106)+N(AG106)+N(AH106))</f>
        <v/>
      </c>
      <c r="AJ106" s="72" t="str">
        <f aca="false">IF(AD106="","",IF(N(AD106)=0,"",AI106/AD106))</f>
        <v/>
      </c>
      <c r="AK106" s="66" t="str">
        <f aca="false">IF(AD106="","",IF(AD106-AI106&lt;1,0,ROUND(AD106-AI106,2)))</f>
        <v/>
      </c>
      <c r="AL106" s="66" t="str">
        <f aca="false">IF(OR(O106="",AD106=""),"",MAX(0,ROUND(N(AI106)-(AD106-N(AW106)),0)))</f>
        <v/>
      </c>
      <c r="AM106" s="73" t="str">
        <f aca="false">IF(A106="","",IF(O106="","No PO Yet",IF(AI106=0,"Not Paid",IF(N(AJ106)&gt;=0.999,"Fully Paid",IF(N(AG106)+N(AH106)&gt;0,"Partially Paid","Initial / Advance Paid")))))</f>
        <v/>
      </c>
      <c r="AN106" s="61"/>
      <c r="AO106" s="61"/>
      <c r="AP106" s="74" t="str">
        <f aca="false">IF(AK106="","",IF(OR(N(AK106)=0,AO106=""),"",MAX(0,Settings!$B$4-AO106)))</f>
        <v/>
      </c>
      <c r="AQ106" s="73" t="str">
        <f aca="false">IF(AK106="","",IF(N(AK106)&lt;=0,"",IF(AO106="","No Due Date",IF(Settings!$B$4&lt;=AO106,"Not Yet Due",IF(Settings!$B$4-AO106&lt;=30,"1-30 Days",IF(Settings!$B$4-AO106&lt;=60,"31-60 Days",IF(Settings!$B$4-AO106&lt;=90,"61-90 Days","90+ Days")))))))</f>
        <v/>
      </c>
      <c r="AR106" s="61"/>
      <c r="AS106" s="61"/>
      <c r="AT106" s="63"/>
      <c r="AU106" s="72" t="str">
        <f aca="false">IF(Q106="","",IF(N(Q106)=0,"",N(AT106)/Q106))</f>
        <v/>
      </c>
      <c r="AV106" s="75" t="str">
        <f aca="false">IF(OR(A106="",O106="",Q106=""),"",MAX(0,Q106-N(AT106)))</f>
        <v/>
      </c>
      <c r="AW106" s="66" t="str">
        <f aca="false">IF(OR(AV106="",W106=""),"",IF(N(Q106)=0,0,AV106/Q106*AD106))</f>
        <v/>
      </c>
      <c r="AX106" s="76" t="str">
        <f aca="false">IF(A106="","",IF(O106="","No PO Yet",IF(Q106="","Order Qty Missing",IF(N(AT106)&gt;=Q106,IF(N(AT106)&gt;Q106,"All In-house (+"&amp;TEXT(N(AT106)-Q106,"#,##0")&amp;" "&amp;R106&amp;" excess)","All In-house"),IF(AY106&lt;&gt;"","Short Closed - "&amp;TEXT(AV106,"#,##0")&amp;" "&amp;R106&amp;" not received",IF(N(AT106)=0,"Not Started - "&amp;TEXT(AV106,"#,##0")&amp;" "&amp;R106&amp;" pending","Pending "&amp;TEXT(AV106,"#,##0")&amp;" "&amp;R106&amp;" ("&amp;TEXT(AU106,"0%")&amp;" received)"))))))</f>
        <v/>
      </c>
      <c r="AY106" s="61"/>
      <c r="AZ106" s="77" t="str">
        <f aca="false">IF(OR(B106="",J106=""),"",J106-B106)</f>
        <v/>
      </c>
      <c r="BA106" s="77" t="str">
        <f aca="false">IF(OR(J106="",P106=""),"",P106-J106)</f>
        <v/>
      </c>
      <c r="BB106" s="77" t="str">
        <f aca="false">IF(OR(P106="",AY106=""),"",AY106-P106)</f>
        <v/>
      </c>
      <c r="BC106" s="77" t="str">
        <f aca="false">IF(OR(B106="",AY106=""),"",AY106-B106)</f>
        <v/>
      </c>
      <c r="BD106" s="74" t="str">
        <f aca="false">IF(OR(AR106="",O106=""),"",MAX(0,IF(AY106="",Settings!$B$4,AY106)-AR106))</f>
        <v/>
      </c>
      <c r="BE106" s="73" t="str">
        <f aca="false">IF(OR(AY106="",AR106=""),"",IF(AND(AY106&lt;=AR106,N(AU106)&gt;=Settings!$B$6),"OTIF","Not OTIF"))</f>
        <v/>
      </c>
      <c r="BF106" s="60"/>
      <c r="BG106" s="62"/>
      <c r="BH106" s="78"/>
      <c r="BI106" s="76" t="str">
        <f aca="false">IF(A106="","",IF(K106="Rejected","Rejected",IF(K106&lt;&gt;"Approved","Awaiting Approval",IF(O106="","Approved - PO Pending",IF(AY106&lt;&gt;"",IF(N(AJ106)&gt;=0.999,"Closed","In-house Closed - Payment Due"),IF(AS106&lt;&gt;"","Receiving In-house","PO Issued - Awaiting Delivery"))))))</f>
        <v/>
      </c>
      <c r="BJ106" s="76" t="str">
        <f aca="false">IF(A106="","",IF(IF(AND(A106&lt;&gt;"",OR(B106="",C106="",E106="",F106="",H106="")),"PR info missing; ","")&amp;IF(AND(K106="Approved",OR(J106="",I106="")),"Approval ref/date missing; ","")&amp;IF(AND(O106&lt;&gt;"",K106&lt;&gt;"Approved"),"PO without approval; ","")&amp;IF(AND(O106&lt;&gt;"",OR(P106="",M106="",Q106="",S106="",T106="")),"PO details missing; ","")&amp;IF(AND(O106&lt;&gt;"",AR106=""),"Committed date missing; ","")&amp;IF(AND(ISNUMBER(J106),ISNUMBER(B106),N(J106)&lt;N(B106)),"Approval dated before PR; ","")&amp;IF(AND(ISNUMBER(P106),ISNUMBER(J106),N(P106)&lt;N(J106)),"PO dated before approval; ","")&amp;IF(AND(ISNUMBER(AY106),ISNUMBER(AS106),N(AY106)&lt;N(AS106)),"Close before in-house start; ","")&amp;IF(AND(AY106&lt;&gt;"",AS106=""),"In-house start date missing; ","")&amp;IF(AND(AY106&lt;&gt;"",AT106=""),"Qty received missing; ","")&amp;IF(AND(AY106&lt;&gt;"",BF106=""),"QC status missing; ","")&amp;IF(N(AT106)&gt;N(Q106)*1.05,"Received &gt; ordered +5%; ","")&amp;IF(AND(N(AI106)&gt;0,AE106=""),"Payment terms missing; ","")&amp;IF(N(AI106)&gt;N(AD106)+1,"Overpaid vs PO; ","")&amp;IF(AND(N(AK106)&gt;0,AY106&lt;&gt;"",AO106=""),"Payment due date missing; ","")="","OK",IF(AND(A106&lt;&gt;"",OR(B106="",C106="",E106="",F106="",H106="")),"PR info missing; ","")&amp;IF(AND(K106="Approved",OR(J106="",I106="")),"Approval ref/date missing; ","")&amp;IF(AND(O106&lt;&gt;"",K106&lt;&gt;"Approved"),"PO without approval; ","")&amp;IF(AND(O106&lt;&gt;"",OR(P106="",M106="",Q106="",S106="",T106="")),"PO details missing; ","")&amp;IF(AND(O106&lt;&gt;"",AR106=""),"Committed date missing; ","")&amp;IF(AND(ISNUMBER(J106),ISNUMBER(B106),N(J106)&lt;N(B106)),"Approval dated before PR; ","")&amp;IF(AND(ISNUMBER(P106),ISNUMBER(J106),N(P106)&lt;N(J106)),"PO dated before approval; ","")&amp;IF(AND(ISNUMBER(AY106),ISNUMBER(AS106),N(AY106)&lt;N(AS106)),"Close before in-house start; ","")&amp;IF(AND(AY106&lt;&gt;"",AS106=""),"In-house start date missing; ","")&amp;IF(AND(AY106&lt;&gt;"",AT106=""),"Qty received missing; ","")&amp;IF(AND(AY106&lt;&gt;"",BF106=""),"QC status missing; ","")&amp;IF(N(AT106)&gt;N(Q106)*1.05,"Received &gt; ordered +5%; ","")&amp;IF(AND(N(AI106)&gt;0,AE106=""),"Payment terms missing; ","")&amp;IF(N(AI106)&gt;N(AD106)+1,"Overpaid vs PO; ","")&amp;IF(AND(N(AK106)&gt;0,AY106&lt;&gt;"",AO106=""),"Payment due date missing; ","")))</f>
        <v/>
      </c>
      <c r="BK106" s="76" t="str">
        <f aca="false">IF(A106="","",IF(N(AP106)&gt;0,"Pay supplier: "&amp;N(AP106)&amp;" days overdue; ","")&amp;IF(AND(O106&lt;&gt;"",AY106="",N(BD106)&gt;0),"Expedite delivery: "&amp;N(BD106)&amp;" days late; ","")&amp;IF(AND(BI106="Awaiting Approval",ISNUMBER(B106),Settings!$B$4-N(B106)&gt;Settings!$B$19),"Get approval: PR waiting "&amp;(Settings!$B$4-N(B106))&amp;" days; ","")&amp;IF(AND(BI106="Approved - PO Pending",ISNUMBER(J106),Settings!$B$4-N(J106)&gt;Settings!$B$20),"Issue PO: approved "&amp;(Settings!$B$4-N(J106))&amp;" days ago; ","")&amp;IF(AND(OR(BI106="Awaiting Approval",BI106="Approved - PO Pending"),N(AB106)&gt;Settings!$B$7),"Negotiate price: "&amp;TEXT(AB106,"0%")&amp;" above budget; ","")&amp;IF(LEFT(AX106,12)="Short Closed","Short closed: claim balance / credit note"&amp;IF(N(AL106)&gt;0," BDT "&amp;TEXT(AL106,"#,##0"),"")&amp;"; ","")&amp;IF(BF106="Rejected","QC rejected: return / replace; ","")&amp;IF(AND(O106&lt;&gt;"",AY106="",N(AL106)&gt;0,N(BD106)&gt;0),"Advance at risk: BDT "&amp;TEXT(AL106,"#,##0")&amp;" paid, goods late; ","")&amp;IF(AND(BJ106&lt;&gt;"",BJ106&lt;&gt;"OK"),"Fix data entry (see Data Check); ",""))</f>
        <v/>
      </c>
      <c r="BL106" s="73" t="str">
        <f aca="false">IF(BK106="","",IF(OR(N(AP106)&gt;30,AND(AY106="",N(BD106)&gt;15),BF106="Rejected",AND(LEFT(AX106,12)="Short Closed",N(AL106)&gt;0),AND(O106&lt;&gt;"",AY106="",N(AL106)&gt;0,N(BD106)&gt;0)),"High",IF(OR(N(AP106)&gt;0,AND(AY106="",N(BD106)&gt;7),LEFT(AX106,12)="Short Closed",AND(BI106="Awaiting Approval",ISNUMBER(B106),Settings!$B$4-N(B106)&gt;2*Settings!$B$19),AND(BI106="Approved - PO Pending",ISNUMBER(J106),Settings!$B$4-N(J106)&gt;2*Settings!$B$20)),"Medium","Low")))</f>
        <v/>
      </c>
      <c r="BM106" s="77" t="str">
        <f aca="false">IF(BL106="","",IF(BL106="High",1,IF(BL106="Medium",2,3))*10000+ROW())</f>
        <v/>
      </c>
      <c r="BN106" s="62"/>
    </row>
    <row r="107" customFormat="false" ht="18" hidden="false" customHeight="true" outlineLevel="0" collapsed="false">
      <c r="A107" s="60"/>
      <c r="B107" s="61"/>
      <c r="C107" s="62"/>
      <c r="D107" s="62"/>
      <c r="E107" s="62"/>
      <c r="F107" s="62"/>
      <c r="G107" s="62"/>
      <c r="H107" s="60"/>
      <c r="I107" s="60"/>
      <c r="J107" s="61"/>
      <c r="K107" s="60"/>
      <c r="L107" s="60"/>
      <c r="M107" s="62"/>
      <c r="N107" s="60"/>
      <c r="O107" s="60"/>
      <c r="P107" s="61"/>
      <c r="Q107" s="63"/>
      <c r="R107" s="60"/>
      <c r="S107" s="64"/>
      <c r="T107" s="60"/>
      <c r="U107" s="65" t="str">
        <f aca="false">IF(AND(T107="",S107=""),"",IF(T107="",1,IFERROR(INDEX(Settings!$B$12:$B$16,MATCH(T107,Settings!$A$12:$A$16,0)),1)))</f>
        <v/>
      </c>
      <c r="V107" s="64"/>
      <c r="W107" s="66" t="str">
        <f aca="false">IF(OR(Q107="",S107=""),"",Q107*S107*U107)</f>
        <v/>
      </c>
      <c r="X107" s="65" t="str">
        <f aca="false">IF(OR(W107="",N(Q107)=0),"",W107/Q107)</f>
        <v/>
      </c>
      <c r="Y107" s="65" t="str">
        <f aca="false">IF(OR(X107="",P107="",E107=""),"",IF(_xlfn.MAXIFS($P$6:$P$205,$E$6:$E$205,E107,$P$6:$P$205,"&lt;"&amp;P107,$X$6:$X$205,"&gt;0")=0,"",IFERROR(AVERAGEIFS($X$6:$X$205,$E$6:$E$205,E107,$P$6:$P$205,_xlfn.MAXIFS($P$6:$P$205,$E$6:$E$205,E107,$P$6:$P$205,"&lt;"&amp;P107,$X$6:$X$205,"&gt;0"),$X$6:$X$205,"&gt;0"),"")))</f>
        <v/>
      </c>
      <c r="Z107" s="67" t="str">
        <f aca="false">IF(OR(Y107="",X107=""),"",X107/Y107-1)</f>
        <v/>
      </c>
      <c r="AA107" s="68" t="str">
        <f aca="false">IF(OR(W107="",V107=""),"",W107-Q107*V107)</f>
        <v/>
      </c>
      <c r="AB107" s="69" t="str">
        <f aca="false">IF(AA107="","",IF(N(V107)*N(Q107)=0,"",AA107/(Q107*V107)))</f>
        <v/>
      </c>
      <c r="AC107" s="70"/>
      <c r="AD107" s="66" t="str">
        <f aca="false">IF(W107="","",W107*(1+N(AC107)))</f>
        <v/>
      </c>
      <c r="AE107" s="62"/>
      <c r="AF107" s="71"/>
      <c r="AG107" s="71"/>
      <c r="AH107" s="71"/>
      <c r="AI107" s="66" t="str">
        <f aca="false">IF(A107="","",N(AF107)+N(AG107)+N(AH107))</f>
        <v/>
      </c>
      <c r="AJ107" s="72" t="str">
        <f aca="false">IF(AD107="","",IF(N(AD107)=0,"",AI107/AD107))</f>
        <v/>
      </c>
      <c r="AK107" s="66" t="str">
        <f aca="false">IF(AD107="","",IF(AD107-AI107&lt;1,0,ROUND(AD107-AI107,2)))</f>
        <v/>
      </c>
      <c r="AL107" s="66" t="str">
        <f aca="false">IF(OR(O107="",AD107=""),"",MAX(0,ROUND(N(AI107)-(AD107-N(AW107)),0)))</f>
        <v/>
      </c>
      <c r="AM107" s="73" t="str">
        <f aca="false">IF(A107="","",IF(O107="","No PO Yet",IF(AI107=0,"Not Paid",IF(N(AJ107)&gt;=0.999,"Fully Paid",IF(N(AG107)+N(AH107)&gt;0,"Partially Paid","Initial / Advance Paid")))))</f>
        <v/>
      </c>
      <c r="AN107" s="61"/>
      <c r="AO107" s="61"/>
      <c r="AP107" s="74" t="str">
        <f aca="false">IF(AK107="","",IF(OR(N(AK107)=0,AO107=""),"",MAX(0,Settings!$B$4-AO107)))</f>
        <v/>
      </c>
      <c r="AQ107" s="73" t="str">
        <f aca="false">IF(AK107="","",IF(N(AK107)&lt;=0,"",IF(AO107="","No Due Date",IF(Settings!$B$4&lt;=AO107,"Not Yet Due",IF(Settings!$B$4-AO107&lt;=30,"1-30 Days",IF(Settings!$B$4-AO107&lt;=60,"31-60 Days",IF(Settings!$B$4-AO107&lt;=90,"61-90 Days","90+ Days")))))))</f>
        <v/>
      </c>
      <c r="AR107" s="61"/>
      <c r="AS107" s="61"/>
      <c r="AT107" s="63"/>
      <c r="AU107" s="72" t="str">
        <f aca="false">IF(Q107="","",IF(N(Q107)=0,"",N(AT107)/Q107))</f>
        <v/>
      </c>
      <c r="AV107" s="75" t="str">
        <f aca="false">IF(OR(A107="",O107="",Q107=""),"",MAX(0,Q107-N(AT107)))</f>
        <v/>
      </c>
      <c r="AW107" s="66" t="str">
        <f aca="false">IF(OR(AV107="",W107=""),"",IF(N(Q107)=0,0,AV107/Q107*AD107))</f>
        <v/>
      </c>
      <c r="AX107" s="76" t="str">
        <f aca="false">IF(A107="","",IF(O107="","No PO Yet",IF(Q107="","Order Qty Missing",IF(N(AT107)&gt;=Q107,IF(N(AT107)&gt;Q107,"All In-house (+"&amp;TEXT(N(AT107)-Q107,"#,##0")&amp;" "&amp;R107&amp;" excess)","All In-house"),IF(AY107&lt;&gt;"","Short Closed - "&amp;TEXT(AV107,"#,##0")&amp;" "&amp;R107&amp;" not received",IF(N(AT107)=0,"Not Started - "&amp;TEXT(AV107,"#,##0")&amp;" "&amp;R107&amp;" pending","Pending "&amp;TEXT(AV107,"#,##0")&amp;" "&amp;R107&amp;" ("&amp;TEXT(AU107,"0%")&amp;" received)"))))))</f>
        <v/>
      </c>
      <c r="AY107" s="61"/>
      <c r="AZ107" s="77" t="str">
        <f aca="false">IF(OR(B107="",J107=""),"",J107-B107)</f>
        <v/>
      </c>
      <c r="BA107" s="77" t="str">
        <f aca="false">IF(OR(J107="",P107=""),"",P107-J107)</f>
        <v/>
      </c>
      <c r="BB107" s="77" t="str">
        <f aca="false">IF(OR(P107="",AY107=""),"",AY107-P107)</f>
        <v/>
      </c>
      <c r="BC107" s="77" t="str">
        <f aca="false">IF(OR(B107="",AY107=""),"",AY107-B107)</f>
        <v/>
      </c>
      <c r="BD107" s="74" t="str">
        <f aca="false">IF(OR(AR107="",O107=""),"",MAX(0,IF(AY107="",Settings!$B$4,AY107)-AR107))</f>
        <v/>
      </c>
      <c r="BE107" s="73" t="str">
        <f aca="false">IF(OR(AY107="",AR107=""),"",IF(AND(AY107&lt;=AR107,N(AU107)&gt;=Settings!$B$6),"OTIF","Not OTIF"))</f>
        <v/>
      </c>
      <c r="BF107" s="60"/>
      <c r="BG107" s="62"/>
      <c r="BH107" s="78"/>
      <c r="BI107" s="76" t="str">
        <f aca="false">IF(A107="","",IF(K107="Rejected","Rejected",IF(K107&lt;&gt;"Approved","Awaiting Approval",IF(O107="","Approved - PO Pending",IF(AY107&lt;&gt;"",IF(N(AJ107)&gt;=0.999,"Closed","In-house Closed - Payment Due"),IF(AS107&lt;&gt;"","Receiving In-house","PO Issued - Awaiting Delivery"))))))</f>
        <v/>
      </c>
      <c r="BJ107" s="76" t="str">
        <f aca="false">IF(A107="","",IF(IF(AND(A107&lt;&gt;"",OR(B107="",C107="",E107="",F107="",H107="")),"PR info missing; ","")&amp;IF(AND(K107="Approved",OR(J107="",I107="")),"Approval ref/date missing; ","")&amp;IF(AND(O107&lt;&gt;"",K107&lt;&gt;"Approved"),"PO without approval; ","")&amp;IF(AND(O107&lt;&gt;"",OR(P107="",M107="",Q107="",S107="",T107="")),"PO details missing; ","")&amp;IF(AND(O107&lt;&gt;"",AR107=""),"Committed date missing; ","")&amp;IF(AND(ISNUMBER(J107),ISNUMBER(B107),N(J107)&lt;N(B107)),"Approval dated before PR; ","")&amp;IF(AND(ISNUMBER(P107),ISNUMBER(J107),N(P107)&lt;N(J107)),"PO dated before approval; ","")&amp;IF(AND(ISNUMBER(AY107),ISNUMBER(AS107),N(AY107)&lt;N(AS107)),"Close before in-house start; ","")&amp;IF(AND(AY107&lt;&gt;"",AS107=""),"In-house start date missing; ","")&amp;IF(AND(AY107&lt;&gt;"",AT107=""),"Qty received missing; ","")&amp;IF(AND(AY107&lt;&gt;"",BF107=""),"QC status missing; ","")&amp;IF(N(AT107)&gt;N(Q107)*1.05,"Received &gt; ordered +5%; ","")&amp;IF(AND(N(AI107)&gt;0,AE107=""),"Payment terms missing; ","")&amp;IF(N(AI107)&gt;N(AD107)+1,"Overpaid vs PO; ","")&amp;IF(AND(N(AK107)&gt;0,AY107&lt;&gt;"",AO107=""),"Payment due date missing; ","")="","OK",IF(AND(A107&lt;&gt;"",OR(B107="",C107="",E107="",F107="",H107="")),"PR info missing; ","")&amp;IF(AND(K107="Approved",OR(J107="",I107="")),"Approval ref/date missing; ","")&amp;IF(AND(O107&lt;&gt;"",K107&lt;&gt;"Approved"),"PO without approval; ","")&amp;IF(AND(O107&lt;&gt;"",OR(P107="",M107="",Q107="",S107="",T107="")),"PO details missing; ","")&amp;IF(AND(O107&lt;&gt;"",AR107=""),"Committed date missing; ","")&amp;IF(AND(ISNUMBER(J107),ISNUMBER(B107),N(J107)&lt;N(B107)),"Approval dated before PR; ","")&amp;IF(AND(ISNUMBER(P107),ISNUMBER(J107),N(P107)&lt;N(J107)),"PO dated before approval; ","")&amp;IF(AND(ISNUMBER(AY107),ISNUMBER(AS107),N(AY107)&lt;N(AS107)),"Close before in-house start; ","")&amp;IF(AND(AY107&lt;&gt;"",AS107=""),"In-house start date missing; ","")&amp;IF(AND(AY107&lt;&gt;"",AT107=""),"Qty received missing; ","")&amp;IF(AND(AY107&lt;&gt;"",BF107=""),"QC status missing; ","")&amp;IF(N(AT107)&gt;N(Q107)*1.05,"Received &gt; ordered +5%; ","")&amp;IF(AND(N(AI107)&gt;0,AE107=""),"Payment terms missing; ","")&amp;IF(N(AI107)&gt;N(AD107)+1,"Overpaid vs PO; ","")&amp;IF(AND(N(AK107)&gt;0,AY107&lt;&gt;"",AO107=""),"Payment due date missing; ","")))</f>
        <v/>
      </c>
      <c r="BK107" s="76" t="str">
        <f aca="false">IF(A107="","",IF(N(AP107)&gt;0,"Pay supplier: "&amp;N(AP107)&amp;" days overdue; ","")&amp;IF(AND(O107&lt;&gt;"",AY107="",N(BD107)&gt;0),"Expedite delivery: "&amp;N(BD107)&amp;" days late; ","")&amp;IF(AND(BI107="Awaiting Approval",ISNUMBER(B107),Settings!$B$4-N(B107)&gt;Settings!$B$19),"Get approval: PR waiting "&amp;(Settings!$B$4-N(B107))&amp;" days; ","")&amp;IF(AND(BI107="Approved - PO Pending",ISNUMBER(J107),Settings!$B$4-N(J107)&gt;Settings!$B$20),"Issue PO: approved "&amp;(Settings!$B$4-N(J107))&amp;" days ago; ","")&amp;IF(AND(OR(BI107="Awaiting Approval",BI107="Approved - PO Pending"),N(AB107)&gt;Settings!$B$7),"Negotiate price: "&amp;TEXT(AB107,"0%")&amp;" above budget; ","")&amp;IF(LEFT(AX107,12)="Short Closed","Short closed: claim balance / credit note"&amp;IF(N(AL107)&gt;0," BDT "&amp;TEXT(AL107,"#,##0"),"")&amp;"; ","")&amp;IF(BF107="Rejected","QC rejected: return / replace; ","")&amp;IF(AND(O107&lt;&gt;"",AY107="",N(AL107)&gt;0,N(BD107)&gt;0),"Advance at risk: BDT "&amp;TEXT(AL107,"#,##0")&amp;" paid, goods late; ","")&amp;IF(AND(BJ107&lt;&gt;"",BJ107&lt;&gt;"OK"),"Fix data entry (see Data Check); ",""))</f>
        <v/>
      </c>
      <c r="BL107" s="73" t="str">
        <f aca="false">IF(BK107="","",IF(OR(N(AP107)&gt;30,AND(AY107="",N(BD107)&gt;15),BF107="Rejected",AND(LEFT(AX107,12)="Short Closed",N(AL107)&gt;0),AND(O107&lt;&gt;"",AY107="",N(AL107)&gt;0,N(BD107)&gt;0)),"High",IF(OR(N(AP107)&gt;0,AND(AY107="",N(BD107)&gt;7),LEFT(AX107,12)="Short Closed",AND(BI107="Awaiting Approval",ISNUMBER(B107),Settings!$B$4-N(B107)&gt;2*Settings!$B$19),AND(BI107="Approved - PO Pending",ISNUMBER(J107),Settings!$B$4-N(J107)&gt;2*Settings!$B$20)),"Medium","Low")))</f>
        <v/>
      </c>
      <c r="BM107" s="77" t="str">
        <f aca="false">IF(BL107="","",IF(BL107="High",1,IF(BL107="Medium",2,3))*10000+ROW())</f>
        <v/>
      </c>
      <c r="BN107" s="62"/>
    </row>
    <row r="108" customFormat="false" ht="18" hidden="false" customHeight="true" outlineLevel="0" collapsed="false">
      <c r="A108" s="60"/>
      <c r="B108" s="61"/>
      <c r="C108" s="62"/>
      <c r="D108" s="62"/>
      <c r="E108" s="62"/>
      <c r="F108" s="62"/>
      <c r="G108" s="62"/>
      <c r="H108" s="60"/>
      <c r="I108" s="60"/>
      <c r="J108" s="61"/>
      <c r="K108" s="60"/>
      <c r="L108" s="60"/>
      <c r="M108" s="62"/>
      <c r="N108" s="60"/>
      <c r="O108" s="60"/>
      <c r="P108" s="61"/>
      <c r="Q108" s="63"/>
      <c r="R108" s="60"/>
      <c r="S108" s="64"/>
      <c r="T108" s="60"/>
      <c r="U108" s="65" t="str">
        <f aca="false">IF(AND(T108="",S108=""),"",IF(T108="",1,IFERROR(INDEX(Settings!$B$12:$B$16,MATCH(T108,Settings!$A$12:$A$16,0)),1)))</f>
        <v/>
      </c>
      <c r="V108" s="64"/>
      <c r="W108" s="66" t="str">
        <f aca="false">IF(OR(Q108="",S108=""),"",Q108*S108*U108)</f>
        <v/>
      </c>
      <c r="X108" s="65" t="str">
        <f aca="false">IF(OR(W108="",N(Q108)=0),"",W108/Q108)</f>
        <v/>
      </c>
      <c r="Y108" s="65" t="str">
        <f aca="false">IF(OR(X108="",P108="",E108=""),"",IF(_xlfn.MAXIFS($P$6:$P$205,$E$6:$E$205,E108,$P$6:$P$205,"&lt;"&amp;P108,$X$6:$X$205,"&gt;0")=0,"",IFERROR(AVERAGEIFS($X$6:$X$205,$E$6:$E$205,E108,$P$6:$P$205,_xlfn.MAXIFS($P$6:$P$205,$E$6:$E$205,E108,$P$6:$P$205,"&lt;"&amp;P108,$X$6:$X$205,"&gt;0"),$X$6:$X$205,"&gt;0"),"")))</f>
        <v/>
      </c>
      <c r="Z108" s="67" t="str">
        <f aca="false">IF(OR(Y108="",X108=""),"",X108/Y108-1)</f>
        <v/>
      </c>
      <c r="AA108" s="68" t="str">
        <f aca="false">IF(OR(W108="",V108=""),"",W108-Q108*V108)</f>
        <v/>
      </c>
      <c r="AB108" s="69" t="str">
        <f aca="false">IF(AA108="","",IF(N(V108)*N(Q108)=0,"",AA108/(Q108*V108)))</f>
        <v/>
      </c>
      <c r="AC108" s="70"/>
      <c r="AD108" s="66" t="str">
        <f aca="false">IF(W108="","",W108*(1+N(AC108)))</f>
        <v/>
      </c>
      <c r="AE108" s="62"/>
      <c r="AF108" s="71"/>
      <c r="AG108" s="71"/>
      <c r="AH108" s="71"/>
      <c r="AI108" s="66" t="str">
        <f aca="false">IF(A108="","",N(AF108)+N(AG108)+N(AH108))</f>
        <v/>
      </c>
      <c r="AJ108" s="72" t="str">
        <f aca="false">IF(AD108="","",IF(N(AD108)=0,"",AI108/AD108))</f>
        <v/>
      </c>
      <c r="AK108" s="66" t="str">
        <f aca="false">IF(AD108="","",IF(AD108-AI108&lt;1,0,ROUND(AD108-AI108,2)))</f>
        <v/>
      </c>
      <c r="AL108" s="66" t="str">
        <f aca="false">IF(OR(O108="",AD108=""),"",MAX(0,ROUND(N(AI108)-(AD108-N(AW108)),0)))</f>
        <v/>
      </c>
      <c r="AM108" s="73" t="str">
        <f aca="false">IF(A108="","",IF(O108="","No PO Yet",IF(AI108=0,"Not Paid",IF(N(AJ108)&gt;=0.999,"Fully Paid",IF(N(AG108)+N(AH108)&gt;0,"Partially Paid","Initial / Advance Paid")))))</f>
        <v/>
      </c>
      <c r="AN108" s="61"/>
      <c r="AO108" s="61"/>
      <c r="AP108" s="74" t="str">
        <f aca="false">IF(AK108="","",IF(OR(N(AK108)=0,AO108=""),"",MAX(0,Settings!$B$4-AO108)))</f>
        <v/>
      </c>
      <c r="AQ108" s="73" t="str">
        <f aca="false">IF(AK108="","",IF(N(AK108)&lt;=0,"",IF(AO108="","No Due Date",IF(Settings!$B$4&lt;=AO108,"Not Yet Due",IF(Settings!$B$4-AO108&lt;=30,"1-30 Days",IF(Settings!$B$4-AO108&lt;=60,"31-60 Days",IF(Settings!$B$4-AO108&lt;=90,"61-90 Days","90+ Days")))))))</f>
        <v/>
      </c>
      <c r="AR108" s="61"/>
      <c r="AS108" s="61"/>
      <c r="AT108" s="63"/>
      <c r="AU108" s="72" t="str">
        <f aca="false">IF(Q108="","",IF(N(Q108)=0,"",N(AT108)/Q108))</f>
        <v/>
      </c>
      <c r="AV108" s="75" t="str">
        <f aca="false">IF(OR(A108="",O108="",Q108=""),"",MAX(0,Q108-N(AT108)))</f>
        <v/>
      </c>
      <c r="AW108" s="66" t="str">
        <f aca="false">IF(OR(AV108="",W108=""),"",IF(N(Q108)=0,0,AV108/Q108*AD108))</f>
        <v/>
      </c>
      <c r="AX108" s="76" t="str">
        <f aca="false">IF(A108="","",IF(O108="","No PO Yet",IF(Q108="","Order Qty Missing",IF(N(AT108)&gt;=Q108,IF(N(AT108)&gt;Q108,"All In-house (+"&amp;TEXT(N(AT108)-Q108,"#,##0")&amp;" "&amp;R108&amp;" excess)","All In-house"),IF(AY108&lt;&gt;"","Short Closed - "&amp;TEXT(AV108,"#,##0")&amp;" "&amp;R108&amp;" not received",IF(N(AT108)=0,"Not Started - "&amp;TEXT(AV108,"#,##0")&amp;" "&amp;R108&amp;" pending","Pending "&amp;TEXT(AV108,"#,##0")&amp;" "&amp;R108&amp;" ("&amp;TEXT(AU108,"0%")&amp;" received)"))))))</f>
        <v/>
      </c>
      <c r="AY108" s="61"/>
      <c r="AZ108" s="77" t="str">
        <f aca="false">IF(OR(B108="",J108=""),"",J108-B108)</f>
        <v/>
      </c>
      <c r="BA108" s="77" t="str">
        <f aca="false">IF(OR(J108="",P108=""),"",P108-J108)</f>
        <v/>
      </c>
      <c r="BB108" s="77" t="str">
        <f aca="false">IF(OR(P108="",AY108=""),"",AY108-P108)</f>
        <v/>
      </c>
      <c r="BC108" s="77" t="str">
        <f aca="false">IF(OR(B108="",AY108=""),"",AY108-B108)</f>
        <v/>
      </c>
      <c r="BD108" s="74" t="str">
        <f aca="false">IF(OR(AR108="",O108=""),"",MAX(0,IF(AY108="",Settings!$B$4,AY108)-AR108))</f>
        <v/>
      </c>
      <c r="BE108" s="73" t="str">
        <f aca="false">IF(OR(AY108="",AR108=""),"",IF(AND(AY108&lt;=AR108,N(AU108)&gt;=Settings!$B$6),"OTIF","Not OTIF"))</f>
        <v/>
      </c>
      <c r="BF108" s="60"/>
      <c r="BG108" s="62"/>
      <c r="BH108" s="78"/>
      <c r="BI108" s="76" t="str">
        <f aca="false">IF(A108="","",IF(K108="Rejected","Rejected",IF(K108&lt;&gt;"Approved","Awaiting Approval",IF(O108="","Approved - PO Pending",IF(AY108&lt;&gt;"",IF(N(AJ108)&gt;=0.999,"Closed","In-house Closed - Payment Due"),IF(AS108&lt;&gt;"","Receiving In-house","PO Issued - Awaiting Delivery"))))))</f>
        <v/>
      </c>
      <c r="BJ108" s="76" t="str">
        <f aca="false">IF(A108="","",IF(IF(AND(A108&lt;&gt;"",OR(B108="",C108="",E108="",F108="",H108="")),"PR info missing; ","")&amp;IF(AND(K108="Approved",OR(J108="",I108="")),"Approval ref/date missing; ","")&amp;IF(AND(O108&lt;&gt;"",K108&lt;&gt;"Approved"),"PO without approval; ","")&amp;IF(AND(O108&lt;&gt;"",OR(P108="",M108="",Q108="",S108="",T108="")),"PO details missing; ","")&amp;IF(AND(O108&lt;&gt;"",AR108=""),"Committed date missing; ","")&amp;IF(AND(ISNUMBER(J108),ISNUMBER(B108),N(J108)&lt;N(B108)),"Approval dated before PR; ","")&amp;IF(AND(ISNUMBER(P108),ISNUMBER(J108),N(P108)&lt;N(J108)),"PO dated before approval; ","")&amp;IF(AND(ISNUMBER(AY108),ISNUMBER(AS108),N(AY108)&lt;N(AS108)),"Close before in-house start; ","")&amp;IF(AND(AY108&lt;&gt;"",AS108=""),"In-house start date missing; ","")&amp;IF(AND(AY108&lt;&gt;"",AT108=""),"Qty received missing; ","")&amp;IF(AND(AY108&lt;&gt;"",BF108=""),"QC status missing; ","")&amp;IF(N(AT108)&gt;N(Q108)*1.05,"Received &gt; ordered +5%; ","")&amp;IF(AND(N(AI108)&gt;0,AE108=""),"Payment terms missing; ","")&amp;IF(N(AI108)&gt;N(AD108)+1,"Overpaid vs PO; ","")&amp;IF(AND(N(AK108)&gt;0,AY108&lt;&gt;"",AO108=""),"Payment due date missing; ","")="","OK",IF(AND(A108&lt;&gt;"",OR(B108="",C108="",E108="",F108="",H108="")),"PR info missing; ","")&amp;IF(AND(K108="Approved",OR(J108="",I108="")),"Approval ref/date missing; ","")&amp;IF(AND(O108&lt;&gt;"",K108&lt;&gt;"Approved"),"PO without approval; ","")&amp;IF(AND(O108&lt;&gt;"",OR(P108="",M108="",Q108="",S108="",T108="")),"PO details missing; ","")&amp;IF(AND(O108&lt;&gt;"",AR108=""),"Committed date missing; ","")&amp;IF(AND(ISNUMBER(J108),ISNUMBER(B108),N(J108)&lt;N(B108)),"Approval dated before PR; ","")&amp;IF(AND(ISNUMBER(P108),ISNUMBER(J108),N(P108)&lt;N(J108)),"PO dated before approval; ","")&amp;IF(AND(ISNUMBER(AY108),ISNUMBER(AS108),N(AY108)&lt;N(AS108)),"Close before in-house start; ","")&amp;IF(AND(AY108&lt;&gt;"",AS108=""),"In-house start date missing; ","")&amp;IF(AND(AY108&lt;&gt;"",AT108=""),"Qty received missing; ","")&amp;IF(AND(AY108&lt;&gt;"",BF108=""),"QC status missing; ","")&amp;IF(N(AT108)&gt;N(Q108)*1.05,"Received &gt; ordered +5%; ","")&amp;IF(AND(N(AI108)&gt;0,AE108=""),"Payment terms missing; ","")&amp;IF(N(AI108)&gt;N(AD108)+1,"Overpaid vs PO; ","")&amp;IF(AND(N(AK108)&gt;0,AY108&lt;&gt;"",AO108=""),"Payment due date missing; ","")))</f>
        <v/>
      </c>
      <c r="BK108" s="76" t="str">
        <f aca="false">IF(A108="","",IF(N(AP108)&gt;0,"Pay supplier: "&amp;N(AP108)&amp;" days overdue; ","")&amp;IF(AND(O108&lt;&gt;"",AY108="",N(BD108)&gt;0),"Expedite delivery: "&amp;N(BD108)&amp;" days late; ","")&amp;IF(AND(BI108="Awaiting Approval",ISNUMBER(B108),Settings!$B$4-N(B108)&gt;Settings!$B$19),"Get approval: PR waiting "&amp;(Settings!$B$4-N(B108))&amp;" days; ","")&amp;IF(AND(BI108="Approved - PO Pending",ISNUMBER(J108),Settings!$B$4-N(J108)&gt;Settings!$B$20),"Issue PO: approved "&amp;(Settings!$B$4-N(J108))&amp;" days ago; ","")&amp;IF(AND(OR(BI108="Awaiting Approval",BI108="Approved - PO Pending"),N(AB108)&gt;Settings!$B$7),"Negotiate price: "&amp;TEXT(AB108,"0%")&amp;" above budget; ","")&amp;IF(LEFT(AX108,12)="Short Closed","Short closed: claim balance / credit note"&amp;IF(N(AL108)&gt;0," BDT "&amp;TEXT(AL108,"#,##0"),"")&amp;"; ","")&amp;IF(BF108="Rejected","QC rejected: return / replace; ","")&amp;IF(AND(O108&lt;&gt;"",AY108="",N(AL108)&gt;0,N(BD108)&gt;0),"Advance at risk: BDT "&amp;TEXT(AL108,"#,##0")&amp;" paid, goods late; ","")&amp;IF(AND(BJ108&lt;&gt;"",BJ108&lt;&gt;"OK"),"Fix data entry (see Data Check); ",""))</f>
        <v/>
      </c>
      <c r="BL108" s="73" t="str">
        <f aca="false">IF(BK108="","",IF(OR(N(AP108)&gt;30,AND(AY108="",N(BD108)&gt;15),BF108="Rejected",AND(LEFT(AX108,12)="Short Closed",N(AL108)&gt;0),AND(O108&lt;&gt;"",AY108="",N(AL108)&gt;0,N(BD108)&gt;0)),"High",IF(OR(N(AP108)&gt;0,AND(AY108="",N(BD108)&gt;7),LEFT(AX108,12)="Short Closed",AND(BI108="Awaiting Approval",ISNUMBER(B108),Settings!$B$4-N(B108)&gt;2*Settings!$B$19),AND(BI108="Approved - PO Pending",ISNUMBER(J108),Settings!$B$4-N(J108)&gt;2*Settings!$B$20)),"Medium","Low")))</f>
        <v/>
      </c>
      <c r="BM108" s="77" t="str">
        <f aca="false">IF(BL108="","",IF(BL108="High",1,IF(BL108="Medium",2,3))*10000+ROW())</f>
        <v/>
      </c>
      <c r="BN108" s="62"/>
    </row>
    <row r="109" customFormat="false" ht="18" hidden="false" customHeight="true" outlineLevel="0" collapsed="false">
      <c r="A109" s="60"/>
      <c r="B109" s="61"/>
      <c r="C109" s="62"/>
      <c r="D109" s="62"/>
      <c r="E109" s="62"/>
      <c r="F109" s="62"/>
      <c r="G109" s="62"/>
      <c r="H109" s="60"/>
      <c r="I109" s="60"/>
      <c r="J109" s="61"/>
      <c r="K109" s="60"/>
      <c r="L109" s="60"/>
      <c r="M109" s="62"/>
      <c r="N109" s="60"/>
      <c r="O109" s="60"/>
      <c r="P109" s="61"/>
      <c r="Q109" s="63"/>
      <c r="R109" s="60"/>
      <c r="S109" s="64"/>
      <c r="T109" s="60"/>
      <c r="U109" s="65" t="str">
        <f aca="false">IF(AND(T109="",S109=""),"",IF(T109="",1,IFERROR(INDEX(Settings!$B$12:$B$16,MATCH(T109,Settings!$A$12:$A$16,0)),1)))</f>
        <v/>
      </c>
      <c r="V109" s="64"/>
      <c r="W109" s="66" t="str">
        <f aca="false">IF(OR(Q109="",S109=""),"",Q109*S109*U109)</f>
        <v/>
      </c>
      <c r="X109" s="65" t="str">
        <f aca="false">IF(OR(W109="",N(Q109)=0),"",W109/Q109)</f>
        <v/>
      </c>
      <c r="Y109" s="65" t="str">
        <f aca="false">IF(OR(X109="",P109="",E109=""),"",IF(_xlfn.MAXIFS($P$6:$P$205,$E$6:$E$205,E109,$P$6:$P$205,"&lt;"&amp;P109,$X$6:$X$205,"&gt;0")=0,"",IFERROR(AVERAGEIFS($X$6:$X$205,$E$6:$E$205,E109,$P$6:$P$205,_xlfn.MAXIFS($P$6:$P$205,$E$6:$E$205,E109,$P$6:$P$205,"&lt;"&amp;P109,$X$6:$X$205,"&gt;0"),$X$6:$X$205,"&gt;0"),"")))</f>
        <v/>
      </c>
      <c r="Z109" s="67" t="str">
        <f aca="false">IF(OR(Y109="",X109=""),"",X109/Y109-1)</f>
        <v/>
      </c>
      <c r="AA109" s="68" t="str">
        <f aca="false">IF(OR(W109="",V109=""),"",W109-Q109*V109)</f>
        <v/>
      </c>
      <c r="AB109" s="69" t="str">
        <f aca="false">IF(AA109="","",IF(N(V109)*N(Q109)=0,"",AA109/(Q109*V109)))</f>
        <v/>
      </c>
      <c r="AC109" s="70"/>
      <c r="AD109" s="66" t="str">
        <f aca="false">IF(W109="","",W109*(1+N(AC109)))</f>
        <v/>
      </c>
      <c r="AE109" s="62"/>
      <c r="AF109" s="71"/>
      <c r="AG109" s="71"/>
      <c r="AH109" s="71"/>
      <c r="AI109" s="66" t="str">
        <f aca="false">IF(A109="","",N(AF109)+N(AG109)+N(AH109))</f>
        <v/>
      </c>
      <c r="AJ109" s="72" t="str">
        <f aca="false">IF(AD109="","",IF(N(AD109)=0,"",AI109/AD109))</f>
        <v/>
      </c>
      <c r="AK109" s="66" t="str">
        <f aca="false">IF(AD109="","",IF(AD109-AI109&lt;1,0,ROUND(AD109-AI109,2)))</f>
        <v/>
      </c>
      <c r="AL109" s="66" t="str">
        <f aca="false">IF(OR(O109="",AD109=""),"",MAX(0,ROUND(N(AI109)-(AD109-N(AW109)),0)))</f>
        <v/>
      </c>
      <c r="AM109" s="73" t="str">
        <f aca="false">IF(A109="","",IF(O109="","No PO Yet",IF(AI109=0,"Not Paid",IF(N(AJ109)&gt;=0.999,"Fully Paid",IF(N(AG109)+N(AH109)&gt;0,"Partially Paid","Initial / Advance Paid")))))</f>
        <v/>
      </c>
      <c r="AN109" s="61"/>
      <c r="AO109" s="61"/>
      <c r="AP109" s="74" t="str">
        <f aca="false">IF(AK109="","",IF(OR(N(AK109)=0,AO109=""),"",MAX(0,Settings!$B$4-AO109)))</f>
        <v/>
      </c>
      <c r="AQ109" s="73" t="str">
        <f aca="false">IF(AK109="","",IF(N(AK109)&lt;=0,"",IF(AO109="","No Due Date",IF(Settings!$B$4&lt;=AO109,"Not Yet Due",IF(Settings!$B$4-AO109&lt;=30,"1-30 Days",IF(Settings!$B$4-AO109&lt;=60,"31-60 Days",IF(Settings!$B$4-AO109&lt;=90,"61-90 Days","90+ Days")))))))</f>
        <v/>
      </c>
      <c r="AR109" s="61"/>
      <c r="AS109" s="61"/>
      <c r="AT109" s="63"/>
      <c r="AU109" s="72" t="str">
        <f aca="false">IF(Q109="","",IF(N(Q109)=0,"",N(AT109)/Q109))</f>
        <v/>
      </c>
      <c r="AV109" s="75" t="str">
        <f aca="false">IF(OR(A109="",O109="",Q109=""),"",MAX(0,Q109-N(AT109)))</f>
        <v/>
      </c>
      <c r="AW109" s="66" t="str">
        <f aca="false">IF(OR(AV109="",W109=""),"",IF(N(Q109)=0,0,AV109/Q109*AD109))</f>
        <v/>
      </c>
      <c r="AX109" s="76" t="str">
        <f aca="false">IF(A109="","",IF(O109="","No PO Yet",IF(Q109="","Order Qty Missing",IF(N(AT109)&gt;=Q109,IF(N(AT109)&gt;Q109,"All In-house (+"&amp;TEXT(N(AT109)-Q109,"#,##0")&amp;" "&amp;R109&amp;" excess)","All In-house"),IF(AY109&lt;&gt;"","Short Closed - "&amp;TEXT(AV109,"#,##0")&amp;" "&amp;R109&amp;" not received",IF(N(AT109)=0,"Not Started - "&amp;TEXT(AV109,"#,##0")&amp;" "&amp;R109&amp;" pending","Pending "&amp;TEXT(AV109,"#,##0")&amp;" "&amp;R109&amp;" ("&amp;TEXT(AU109,"0%")&amp;" received)"))))))</f>
        <v/>
      </c>
      <c r="AY109" s="61"/>
      <c r="AZ109" s="77" t="str">
        <f aca="false">IF(OR(B109="",J109=""),"",J109-B109)</f>
        <v/>
      </c>
      <c r="BA109" s="77" t="str">
        <f aca="false">IF(OR(J109="",P109=""),"",P109-J109)</f>
        <v/>
      </c>
      <c r="BB109" s="77" t="str">
        <f aca="false">IF(OR(P109="",AY109=""),"",AY109-P109)</f>
        <v/>
      </c>
      <c r="BC109" s="77" t="str">
        <f aca="false">IF(OR(B109="",AY109=""),"",AY109-B109)</f>
        <v/>
      </c>
      <c r="BD109" s="74" t="str">
        <f aca="false">IF(OR(AR109="",O109=""),"",MAX(0,IF(AY109="",Settings!$B$4,AY109)-AR109))</f>
        <v/>
      </c>
      <c r="BE109" s="73" t="str">
        <f aca="false">IF(OR(AY109="",AR109=""),"",IF(AND(AY109&lt;=AR109,N(AU109)&gt;=Settings!$B$6),"OTIF","Not OTIF"))</f>
        <v/>
      </c>
      <c r="BF109" s="60"/>
      <c r="BG109" s="62"/>
      <c r="BH109" s="78"/>
      <c r="BI109" s="76" t="str">
        <f aca="false">IF(A109="","",IF(K109="Rejected","Rejected",IF(K109&lt;&gt;"Approved","Awaiting Approval",IF(O109="","Approved - PO Pending",IF(AY109&lt;&gt;"",IF(N(AJ109)&gt;=0.999,"Closed","In-house Closed - Payment Due"),IF(AS109&lt;&gt;"","Receiving In-house","PO Issued - Awaiting Delivery"))))))</f>
        <v/>
      </c>
      <c r="BJ109" s="76" t="str">
        <f aca="false">IF(A109="","",IF(IF(AND(A109&lt;&gt;"",OR(B109="",C109="",E109="",F109="",H109="")),"PR info missing; ","")&amp;IF(AND(K109="Approved",OR(J109="",I109="")),"Approval ref/date missing; ","")&amp;IF(AND(O109&lt;&gt;"",K109&lt;&gt;"Approved"),"PO without approval; ","")&amp;IF(AND(O109&lt;&gt;"",OR(P109="",M109="",Q109="",S109="",T109="")),"PO details missing; ","")&amp;IF(AND(O109&lt;&gt;"",AR109=""),"Committed date missing; ","")&amp;IF(AND(ISNUMBER(J109),ISNUMBER(B109),N(J109)&lt;N(B109)),"Approval dated before PR; ","")&amp;IF(AND(ISNUMBER(P109),ISNUMBER(J109),N(P109)&lt;N(J109)),"PO dated before approval; ","")&amp;IF(AND(ISNUMBER(AY109),ISNUMBER(AS109),N(AY109)&lt;N(AS109)),"Close before in-house start; ","")&amp;IF(AND(AY109&lt;&gt;"",AS109=""),"In-house start date missing; ","")&amp;IF(AND(AY109&lt;&gt;"",AT109=""),"Qty received missing; ","")&amp;IF(AND(AY109&lt;&gt;"",BF109=""),"QC status missing; ","")&amp;IF(N(AT109)&gt;N(Q109)*1.05,"Received &gt; ordered +5%; ","")&amp;IF(AND(N(AI109)&gt;0,AE109=""),"Payment terms missing; ","")&amp;IF(N(AI109)&gt;N(AD109)+1,"Overpaid vs PO; ","")&amp;IF(AND(N(AK109)&gt;0,AY109&lt;&gt;"",AO109=""),"Payment due date missing; ","")="","OK",IF(AND(A109&lt;&gt;"",OR(B109="",C109="",E109="",F109="",H109="")),"PR info missing; ","")&amp;IF(AND(K109="Approved",OR(J109="",I109="")),"Approval ref/date missing; ","")&amp;IF(AND(O109&lt;&gt;"",K109&lt;&gt;"Approved"),"PO without approval; ","")&amp;IF(AND(O109&lt;&gt;"",OR(P109="",M109="",Q109="",S109="",T109="")),"PO details missing; ","")&amp;IF(AND(O109&lt;&gt;"",AR109=""),"Committed date missing; ","")&amp;IF(AND(ISNUMBER(J109),ISNUMBER(B109),N(J109)&lt;N(B109)),"Approval dated before PR; ","")&amp;IF(AND(ISNUMBER(P109),ISNUMBER(J109),N(P109)&lt;N(J109)),"PO dated before approval; ","")&amp;IF(AND(ISNUMBER(AY109),ISNUMBER(AS109),N(AY109)&lt;N(AS109)),"Close before in-house start; ","")&amp;IF(AND(AY109&lt;&gt;"",AS109=""),"In-house start date missing; ","")&amp;IF(AND(AY109&lt;&gt;"",AT109=""),"Qty received missing; ","")&amp;IF(AND(AY109&lt;&gt;"",BF109=""),"QC status missing; ","")&amp;IF(N(AT109)&gt;N(Q109)*1.05,"Received &gt; ordered +5%; ","")&amp;IF(AND(N(AI109)&gt;0,AE109=""),"Payment terms missing; ","")&amp;IF(N(AI109)&gt;N(AD109)+1,"Overpaid vs PO; ","")&amp;IF(AND(N(AK109)&gt;0,AY109&lt;&gt;"",AO109=""),"Payment due date missing; ","")))</f>
        <v/>
      </c>
      <c r="BK109" s="76" t="str">
        <f aca="false">IF(A109="","",IF(N(AP109)&gt;0,"Pay supplier: "&amp;N(AP109)&amp;" days overdue; ","")&amp;IF(AND(O109&lt;&gt;"",AY109="",N(BD109)&gt;0),"Expedite delivery: "&amp;N(BD109)&amp;" days late; ","")&amp;IF(AND(BI109="Awaiting Approval",ISNUMBER(B109),Settings!$B$4-N(B109)&gt;Settings!$B$19),"Get approval: PR waiting "&amp;(Settings!$B$4-N(B109))&amp;" days; ","")&amp;IF(AND(BI109="Approved - PO Pending",ISNUMBER(J109),Settings!$B$4-N(J109)&gt;Settings!$B$20),"Issue PO: approved "&amp;(Settings!$B$4-N(J109))&amp;" days ago; ","")&amp;IF(AND(OR(BI109="Awaiting Approval",BI109="Approved - PO Pending"),N(AB109)&gt;Settings!$B$7),"Negotiate price: "&amp;TEXT(AB109,"0%")&amp;" above budget; ","")&amp;IF(LEFT(AX109,12)="Short Closed","Short closed: claim balance / credit note"&amp;IF(N(AL109)&gt;0," BDT "&amp;TEXT(AL109,"#,##0"),"")&amp;"; ","")&amp;IF(BF109="Rejected","QC rejected: return / replace; ","")&amp;IF(AND(O109&lt;&gt;"",AY109="",N(AL109)&gt;0,N(BD109)&gt;0),"Advance at risk: BDT "&amp;TEXT(AL109,"#,##0")&amp;" paid, goods late; ","")&amp;IF(AND(BJ109&lt;&gt;"",BJ109&lt;&gt;"OK"),"Fix data entry (see Data Check); ",""))</f>
        <v/>
      </c>
      <c r="BL109" s="73" t="str">
        <f aca="false">IF(BK109="","",IF(OR(N(AP109)&gt;30,AND(AY109="",N(BD109)&gt;15),BF109="Rejected",AND(LEFT(AX109,12)="Short Closed",N(AL109)&gt;0),AND(O109&lt;&gt;"",AY109="",N(AL109)&gt;0,N(BD109)&gt;0)),"High",IF(OR(N(AP109)&gt;0,AND(AY109="",N(BD109)&gt;7),LEFT(AX109,12)="Short Closed",AND(BI109="Awaiting Approval",ISNUMBER(B109),Settings!$B$4-N(B109)&gt;2*Settings!$B$19),AND(BI109="Approved - PO Pending",ISNUMBER(J109),Settings!$B$4-N(J109)&gt;2*Settings!$B$20)),"Medium","Low")))</f>
        <v/>
      </c>
      <c r="BM109" s="77" t="str">
        <f aca="false">IF(BL109="","",IF(BL109="High",1,IF(BL109="Medium",2,3))*10000+ROW())</f>
        <v/>
      </c>
      <c r="BN109" s="62"/>
    </row>
    <row r="110" customFormat="false" ht="18" hidden="false" customHeight="true" outlineLevel="0" collapsed="false">
      <c r="A110" s="60"/>
      <c r="B110" s="61"/>
      <c r="C110" s="62"/>
      <c r="D110" s="62"/>
      <c r="E110" s="62"/>
      <c r="F110" s="62"/>
      <c r="G110" s="62"/>
      <c r="H110" s="60"/>
      <c r="I110" s="60"/>
      <c r="J110" s="61"/>
      <c r="K110" s="60"/>
      <c r="L110" s="60"/>
      <c r="M110" s="62"/>
      <c r="N110" s="60"/>
      <c r="O110" s="60"/>
      <c r="P110" s="61"/>
      <c r="Q110" s="63"/>
      <c r="R110" s="60"/>
      <c r="S110" s="64"/>
      <c r="T110" s="60"/>
      <c r="U110" s="65" t="str">
        <f aca="false">IF(AND(T110="",S110=""),"",IF(T110="",1,IFERROR(INDEX(Settings!$B$12:$B$16,MATCH(T110,Settings!$A$12:$A$16,0)),1)))</f>
        <v/>
      </c>
      <c r="V110" s="64"/>
      <c r="W110" s="66" t="str">
        <f aca="false">IF(OR(Q110="",S110=""),"",Q110*S110*U110)</f>
        <v/>
      </c>
      <c r="X110" s="65" t="str">
        <f aca="false">IF(OR(W110="",N(Q110)=0),"",W110/Q110)</f>
        <v/>
      </c>
      <c r="Y110" s="65" t="str">
        <f aca="false">IF(OR(X110="",P110="",E110=""),"",IF(_xlfn.MAXIFS($P$6:$P$205,$E$6:$E$205,E110,$P$6:$P$205,"&lt;"&amp;P110,$X$6:$X$205,"&gt;0")=0,"",IFERROR(AVERAGEIFS($X$6:$X$205,$E$6:$E$205,E110,$P$6:$P$205,_xlfn.MAXIFS($P$6:$P$205,$E$6:$E$205,E110,$P$6:$P$205,"&lt;"&amp;P110,$X$6:$X$205,"&gt;0"),$X$6:$X$205,"&gt;0"),"")))</f>
        <v/>
      </c>
      <c r="Z110" s="67" t="str">
        <f aca="false">IF(OR(Y110="",X110=""),"",X110/Y110-1)</f>
        <v/>
      </c>
      <c r="AA110" s="68" t="str">
        <f aca="false">IF(OR(W110="",V110=""),"",W110-Q110*V110)</f>
        <v/>
      </c>
      <c r="AB110" s="69" t="str">
        <f aca="false">IF(AA110="","",IF(N(V110)*N(Q110)=0,"",AA110/(Q110*V110)))</f>
        <v/>
      </c>
      <c r="AC110" s="70"/>
      <c r="AD110" s="66" t="str">
        <f aca="false">IF(W110="","",W110*(1+N(AC110)))</f>
        <v/>
      </c>
      <c r="AE110" s="62"/>
      <c r="AF110" s="71"/>
      <c r="AG110" s="71"/>
      <c r="AH110" s="71"/>
      <c r="AI110" s="66" t="str">
        <f aca="false">IF(A110="","",N(AF110)+N(AG110)+N(AH110))</f>
        <v/>
      </c>
      <c r="AJ110" s="72" t="str">
        <f aca="false">IF(AD110="","",IF(N(AD110)=0,"",AI110/AD110))</f>
        <v/>
      </c>
      <c r="AK110" s="66" t="str">
        <f aca="false">IF(AD110="","",IF(AD110-AI110&lt;1,0,ROUND(AD110-AI110,2)))</f>
        <v/>
      </c>
      <c r="AL110" s="66" t="str">
        <f aca="false">IF(OR(O110="",AD110=""),"",MAX(0,ROUND(N(AI110)-(AD110-N(AW110)),0)))</f>
        <v/>
      </c>
      <c r="AM110" s="73" t="str">
        <f aca="false">IF(A110="","",IF(O110="","No PO Yet",IF(AI110=0,"Not Paid",IF(N(AJ110)&gt;=0.999,"Fully Paid",IF(N(AG110)+N(AH110)&gt;0,"Partially Paid","Initial / Advance Paid")))))</f>
        <v/>
      </c>
      <c r="AN110" s="61"/>
      <c r="AO110" s="61"/>
      <c r="AP110" s="74" t="str">
        <f aca="false">IF(AK110="","",IF(OR(N(AK110)=0,AO110=""),"",MAX(0,Settings!$B$4-AO110)))</f>
        <v/>
      </c>
      <c r="AQ110" s="73" t="str">
        <f aca="false">IF(AK110="","",IF(N(AK110)&lt;=0,"",IF(AO110="","No Due Date",IF(Settings!$B$4&lt;=AO110,"Not Yet Due",IF(Settings!$B$4-AO110&lt;=30,"1-30 Days",IF(Settings!$B$4-AO110&lt;=60,"31-60 Days",IF(Settings!$B$4-AO110&lt;=90,"61-90 Days","90+ Days")))))))</f>
        <v/>
      </c>
      <c r="AR110" s="61"/>
      <c r="AS110" s="61"/>
      <c r="AT110" s="63"/>
      <c r="AU110" s="72" t="str">
        <f aca="false">IF(Q110="","",IF(N(Q110)=0,"",N(AT110)/Q110))</f>
        <v/>
      </c>
      <c r="AV110" s="75" t="str">
        <f aca="false">IF(OR(A110="",O110="",Q110=""),"",MAX(0,Q110-N(AT110)))</f>
        <v/>
      </c>
      <c r="AW110" s="66" t="str">
        <f aca="false">IF(OR(AV110="",W110=""),"",IF(N(Q110)=0,0,AV110/Q110*AD110))</f>
        <v/>
      </c>
      <c r="AX110" s="76" t="str">
        <f aca="false">IF(A110="","",IF(O110="","No PO Yet",IF(Q110="","Order Qty Missing",IF(N(AT110)&gt;=Q110,IF(N(AT110)&gt;Q110,"All In-house (+"&amp;TEXT(N(AT110)-Q110,"#,##0")&amp;" "&amp;R110&amp;" excess)","All In-house"),IF(AY110&lt;&gt;"","Short Closed - "&amp;TEXT(AV110,"#,##0")&amp;" "&amp;R110&amp;" not received",IF(N(AT110)=0,"Not Started - "&amp;TEXT(AV110,"#,##0")&amp;" "&amp;R110&amp;" pending","Pending "&amp;TEXT(AV110,"#,##0")&amp;" "&amp;R110&amp;" ("&amp;TEXT(AU110,"0%")&amp;" received)"))))))</f>
        <v/>
      </c>
      <c r="AY110" s="61"/>
      <c r="AZ110" s="77" t="str">
        <f aca="false">IF(OR(B110="",J110=""),"",J110-B110)</f>
        <v/>
      </c>
      <c r="BA110" s="77" t="str">
        <f aca="false">IF(OR(J110="",P110=""),"",P110-J110)</f>
        <v/>
      </c>
      <c r="BB110" s="77" t="str">
        <f aca="false">IF(OR(P110="",AY110=""),"",AY110-P110)</f>
        <v/>
      </c>
      <c r="BC110" s="77" t="str">
        <f aca="false">IF(OR(B110="",AY110=""),"",AY110-B110)</f>
        <v/>
      </c>
      <c r="BD110" s="74" t="str">
        <f aca="false">IF(OR(AR110="",O110=""),"",MAX(0,IF(AY110="",Settings!$B$4,AY110)-AR110))</f>
        <v/>
      </c>
      <c r="BE110" s="73" t="str">
        <f aca="false">IF(OR(AY110="",AR110=""),"",IF(AND(AY110&lt;=AR110,N(AU110)&gt;=Settings!$B$6),"OTIF","Not OTIF"))</f>
        <v/>
      </c>
      <c r="BF110" s="60"/>
      <c r="BG110" s="62"/>
      <c r="BH110" s="78"/>
      <c r="BI110" s="76" t="str">
        <f aca="false">IF(A110="","",IF(K110="Rejected","Rejected",IF(K110&lt;&gt;"Approved","Awaiting Approval",IF(O110="","Approved - PO Pending",IF(AY110&lt;&gt;"",IF(N(AJ110)&gt;=0.999,"Closed","In-house Closed - Payment Due"),IF(AS110&lt;&gt;"","Receiving In-house","PO Issued - Awaiting Delivery"))))))</f>
        <v/>
      </c>
      <c r="BJ110" s="76" t="str">
        <f aca="false">IF(A110="","",IF(IF(AND(A110&lt;&gt;"",OR(B110="",C110="",E110="",F110="",H110="")),"PR info missing; ","")&amp;IF(AND(K110="Approved",OR(J110="",I110="")),"Approval ref/date missing; ","")&amp;IF(AND(O110&lt;&gt;"",K110&lt;&gt;"Approved"),"PO without approval; ","")&amp;IF(AND(O110&lt;&gt;"",OR(P110="",M110="",Q110="",S110="",T110="")),"PO details missing; ","")&amp;IF(AND(O110&lt;&gt;"",AR110=""),"Committed date missing; ","")&amp;IF(AND(ISNUMBER(J110),ISNUMBER(B110),N(J110)&lt;N(B110)),"Approval dated before PR; ","")&amp;IF(AND(ISNUMBER(P110),ISNUMBER(J110),N(P110)&lt;N(J110)),"PO dated before approval; ","")&amp;IF(AND(ISNUMBER(AY110),ISNUMBER(AS110),N(AY110)&lt;N(AS110)),"Close before in-house start; ","")&amp;IF(AND(AY110&lt;&gt;"",AS110=""),"In-house start date missing; ","")&amp;IF(AND(AY110&lt;&gt;"",AT110=""),"Qty received missing; ","")&amp;IF(AND(AY110&lt;&gt;"",BF110=""),"QC status missing; ","")&amp;IF(N(AT110)&gt;N(Q110)*1.05,"Received &gt; ordered +5%; ","")&amp;IF(AND(N(AI110)&gt;0,AE110=""),"Payment terms missing; ","")&amp;IF(N(AI110)&gt;N(AD110)+1,"Overpaid vs PO; ","")&amp;IF(AND(N(AK110)&gt;0,AY110&lt;&gt;"",AO110=""),"Payment due date missing; ","")="","OK",IF(AND(A110&lt;&gt;"",OR(B110="",C110="",E110="",F110="",H110="")),"PR info missing; ","")&amp;IF(AND(K110="Approved",OR(J110="",I110="")),"Approval ref/date missing; ","")&amp;IF(AND(O110&lt;&gt;"",K110&lt;&gt;"Approved"),"PO without approval; ","")&amp;IF(AND(O110&lt;&gt;"",OR(P110="",M110="",Q110="",S110="",T110="")),"PO details missing; ","")&amp;IF(AND(O110&lt;&gt;"",AR110=""),"Committed date missing; ","")&amp;IF(AND(ISNUMBER(J110),ISNUMBER(B110),N(J110)&lt;N(B110)),"Approval dated before PR; ","")&amp;IF(AND(ISNUMBER(P110),ISNUMBER(J110),N(P110)&lt;N(J110)),"PO dated before approval; ","")&amp;IF(AND(ISNUMBER(AY110),ISNUMBER(AS110),N(AY110)&lt;N(AS110)),"Close before in-house start; ","")&amp;IF(AND(AY110&lt;&gt;"",AS110=""),"In-house start date missing; ","")&amp;IF(AND(AY110&lt;&gt;"",AT110=""),"Qty received missing; ","")&amp;IF(AND(AY110&lt;&gt;"",BF110=""),"QC status missing; ","")&amp;IF(N(AT110)&gt;N(Q110)*1.05,"Received &gt; ordered +5%; ","")&amp;IF(AND(N(AI110)&gt;0,AE110=""),"Payment terms missing; ","")&amp;IF(N(AI110)&gt;N(AD110)+1,"Overpaid vs PO; ","")&amp;IF(AND(N(AK110)&gt;0,AY110&lt;&gt;"",AO110=""),"Payment due date missing; ","")))</f>
        <v/>
      </c>
      <c r="BK110" s="76" t="str">
        <f aca="false">IF(A110="","",IF(N(AP110)&gt;0,"Pay supplier: "&amp;N(AP110)&amp;" days overdue; ","")&amp;IF(AND(O110&lt;&gt;"",AY110="",N(BD110)&gt;0),"Expedite delivery: "&amp;N(BD110)&amp;" days late; ","")&amp;IF(AND(BI110="Awaiting Approval",ISNUMBER(B110),Settings!$B$4-N(B110)&gt;Settings!$B$19),"Get approval: PR waiting "&amp;(Settings!$B$4-N(B110))&amp;" days; ","")&amp;IF(AND(BI110="Approved - PO Pending",ISNUMBER(J110),Settings!$B$4-N(J110)&gt;Settings!$B$20),"Issue PO: approved "&amp;(Settings!$B$4-N(J110))&amp;" days ago; ","")&amp;IF(AND(OR(BI110="Awaiting Approval",BI110="Approved - PO Pending"),N(AB110)&gt;Settings!$B$7),"Negotiate price: "&amp;TEXT(AB110,"0%")&amp;" above budget; ","")&amp;IF(LEFT(AX110,12)="Short Closed","Short closed: claim balance / credit note"&amp;IF(N(AL110)&gt;0," BDT "&amp;TEXT(AL110,"#,##0"),"")&amp;"; ","")&amp;IF(BF110="Rejected","QC rejected: return / replace; ","")&amp;IF(AND(O110&lt;&gt;"",AY110="",N(AL110)&gt;0,N(BD110)&gt;0),"Advance at risk: BDT "&amp;TEXT(AL110,"#,##0")&amp;" paid, goods late; ","")&amp;IF(AND(BJ110&lt;&gt;"",BJ110&lt;&gt;"OK"),"Fix data entry (see Data Check); ",""))</f>
        <v/>
      </c>
      <c r="BL110" s="73" t="str">
        <f aca="false">IF(BK110="","",IF(OR(N(AP110)&gt;30,AND(AY110="",N(BD110)&gt;15),BF110="Rejected",AND(LEFT(AX110,12)="Short Closed",N(AL110)&gt;0),AND(O110&lt;&gt;"",AY110="",N(AL110)&gt;0,N(BD110)&gt;0)),"High",IF(OR(N(AP110)&gt;0,AND(AY110="",N(BD110)&gt;7),LEFT(AX110,12)="Short Closed",AND(BI110="Awaiting Approval",ISNUMBER(B110),Settings!$B$4-N(B110)&gt;2*Settings!$B$19),AND(BI110="Approved - PO Pending",ISNUMBER(J110),Settings!$B$4-N(J110)&gt;2*Settings!$B$20)),"Medium","Low")))</f>
        <v/>
      </c>
      <c r="BM110" s="77" t="str">
        <f aca="false">IF(BL110="","",IF(BL110="High",1,IF(BL110="Medium",2,3))*10000+ROW())</f>
        <v/>
      </c>
      <c r="BN110" s="62"/>
    </row>
    <row r="111" customFormat="false" ht="18" hidden="false" customHeight="true" outlineLevel="0" collapsed="false">
      <c r="A111" s="60"/>
      <c r="B111" s="61"/>
      <c r="C111" s="62"/>
      <c r="D111" s="62"/>
      <c r="E111" s="62"/>
      <c r="F111" s="62"/>
      <c r="G111" s="62"/>
      <c r="H111" s="60"/>
      <c r="I111" s="60"/>
      <c r="J111" s="61"/>
      <c r="K111" s="60"/>
      <c r="L111" s="60"/>
      <c r="M111" s="62"/>
      <c r="N111" s="60"/>
      <c r="O111" s="60"/>
      <c r="P111" s="61"/>
      <c r="Q111" s="63"/>
      <c r="R111" s="60"/>
      <c r="S111" s="64"/>
      <c r="T111" s="60"/>
      <c r="U111" s="65" t="str">
        <f aca="false">IF(AND(T111="",S111=""),"",IF(T111="",1,IFERROR(INDEX(Settings!$B$12:$B$16,MATCH(T111,Settings!$A$12:$A$16,0)),1)))</f>
        <v/>
      </c>
      <c r="V111" s="64"/>
      <c r="W111" s="66" t="str">
        <f aca="false">IF(OR(Q111="",S111=""),"",Q111*S111*U111)</f>
        <v/>
      </c>
      <c r="X111" s="65" t="str">
        <f aca="false">IF(OR(W111="",N(Q111)=0),"",W111/Q111)</f>
        <v/>
      </c>
      <c r="Y111" s="65" t="str">
        <f aca="false">IF(OR(X111="",P111="",E111=""),"",IF(_xlfn.MAXIFS($P$6:$P$205,$E$6:$E$205,E111,$P$6:$P$205,"&lt;"&amp;P111,$X$6:$X$205,"&gt;0")=0,"",IFERROR(AVERAGEIFS($X$6:$X$205,$E$6:$E$205,E111,$P$6:$P$205,_xlfn.MAXIFS($P$6:$P$205,$E$6:$E$205,E111,$P$6:$P$205,"&lt;"&amp;P111,$X$6:$X$205,"&gt;0"),$X$6:$X$205,"&gt;0"),"")))</f>
        <v/>
      </c>
      <c r="Z111" s="67" t="str">
        <f aca="false">IF(OR(Y111="",X111=""),"",X111/Y111-1)</f>
        <v/>
      </c>
      <c r="AA111" s="68" t="str">
        <f aca="false">IF(OR(W111="",V111=""),"",W111-Q111*V111)</f>
        <v/>
      </c>
      <c r="AB111" s="69" t="str">
        <f aca="false">IF(AA111="","",IF(N(V111)*N(Q111)=0,"",AA111/(Q111*V111)))</f>
        <v/>
      </c>
      <c r="AC111" s="70"/>
      <c r="AD111" s="66" t="str">
        <f aca="false">IF(W111="","",W111*(1+N(AC111)))</f>
        <v/>
      </c>
      <c r="AE111" s="62"/>
      <c r="AF111" s="71"/>
      <c r="AG111" s="71"/>
      <c r="AH111" s="71"/>
      <c r="AI111" s="66" t="str">
        <f aca="false">IF(A111="","",N(AF111)+N(AG111)+N(AH111))</f>
        <v/>
      </c>
      <c r="AJ111" s="72" t="str">
        <f aca="false">IF(AD111="","",IF(N(AD111)=0,"",AI111/AD111))</f>
        <v/>
      </c>
      <c r="AK111" s="66" t="str">
        <f aca="false">IF(AD111="","",IF(AD111-AI111&lt;1,0,ROUND(AD111-AI111,2)))</f>
        <v/>
      </c>
      <c r="AL111" s="66" t="str">
        <f aca="false">IF(OR(O111="",AD111=""),"",MAX(0,ROUND(N(AI111)-(AD111-N(AW111)),0)))</f>
        <v/>
      </c>
      <c r="AM111" s="73" t="str">
        <f aca="false">IF(A111="","",IF(O111="","No PO Yet",IF(AI111=0,"Not Paid",IF(N(AJ111)&gt;=0.999,"Fully Paid",IF(N(AG111)+N(AH111)&gt;0,"Partially Paid","Initial / Advance Paid")))))</f>
        <v/>
      </c>
      <c r="AN111" s="61"/>
      <c r="AO111" s="61"/>
      <c r="AP111" s="74" t="str">
        <f aca="false">IF(AK111="","",IF(OR(N(AK111)=0,AO111=""),"",MAX(0,Settings!$B$4-AO111)))</f>
        <v/>
      </c>
      <c r="AQ111" s="73" t="str">
        <f aca="false">IF(AK111="","",IF(N(AK111)&lt;=0,"",IF(AO111="","No Due Date",IF(Settings!$B$4&lt;=AO111,"Not Yet Due",IF(Settings!$B$4-AO111&lt;=30,"1-30 Days",IF(Settings!$B$4-AO111&lt;=60,"31-60 Days",IF(Settings!$B$4-AO111&lt;=90,"61-90 Days","90+ Days")))))))</f>
        <v/>
      </c>
      <c r="AR111" s="61"/>
      <c r="AS111" s="61"/>
      <c r="AT111" s="63"/>
      <c r="AU111" s="72" t="str">
        <f aca="false">IF(Q111="","",IF(N(Q111)=0,"",N(AT111)/Q111))</f>
        <v/>
      </c>
      <c r="AV111" s="75" t="str">
        <f aca="false">IF(OR(A111="",O111="",Q111=""),"",MAX(0,Q111-N(AT111)))</f>
        <v/>
      </c>
      <c r="AW111" s="66" t="str">
        <f aca="false">IF(OR(AV111="",W111=""),"",IF(N(Q111)=0,0,AV111/Q111*AD111))</f>
        <v/>
      </c>
      <c r="AX111" s="76" t="str">
        <f aca="false">IF(A111="","",IF(O111="","No PO Yet",IF(Q111="","Order Qty Missing",IF(N(AT111)&gt;=Q111,IF(N(AT111)&gt;Q111,"All In-house (+"&amp;TEXT(N(AT111)-Q111,"#,##0")&amp;" "&amp;R111&amp;" excess)","All In-house"),IF(AY111&lt;&gt;"","Short Closed - "&amp;TEXT(AV111,"#,##0")&amp;" "&amp;R111&amp;" not received",IF(N(AT111)=0,"Not Started - "&amp;TEXT(AV111,"#,##0")&amp;" "&amp;R111&amp;" pending","Pending "&amp;TEXT(AV111,"#,##0")&amp;" "&amp;R111&amp;" ("&amp;TEXT(AU111,"0%")&amp;" received)"))))))</f>
        <v/>
      </c>
      <c r="AY111" s="61"/>
      <c r="AZ111" s="77" t="str">
        <f aca="false">IF(OR(B111="",J111=""),"",J111-B111)</f>
        <v/>
      </c>
      <c r="BA111" s="77" t="str">
        <f aca="false">IF(OR(J111="",P111=""),"",P111-J111)</f>
        <v/>
      </c>
      <c r="BB111" s="77" t="str">
        <f aca="false">IF(OR(P111="",AY111=""),"",AY111-P111)</f>
        <v/>
      </c>
      <c r="BC111" s="77" t="str">
        <f aca="false">IF(OR(B111="",AY111=""),"",AY111-B111)</f>
        <v/>
      </c>
      <c r="BD111" s="74" t="str">
        <f aca="false">IF(OR(AR111="",O111=""),"",MAX(0,IF(AY111="",Settings!$B$4,AY111)-AR111))</f>
        <v/>
      </c>
      <c r="BE111" s="73" t="str">
        <f aca="false">IF(OR(AY111="",AR111=""),"",IF(AND(AY111&lt;=AR111,N(AU111)&gt;=Settings!$B$6),"OTIF","Not OTIF"))</f>
        <v/>
      </c>
      <c r="BF111" s="60"/>
      <c r="BG111" s="62"/>
      <c r="BH111" s="78"/>
      <c r="BI111" s="76" t="str">
        <f aca="false">IF(A111="","",IF(K111="Rejected","Rejected",IF(K111&lt;&gt;"Approved","Awaiting Approval",IF(O111="","Approved - PO Pending",IF(AY111&lt;&gt;"",IF(N(AJ111)&gt;=0.999,"Closed","In-house Closed - Payment Due"),IF(AS111&lt;&gt;"","Receiving In-house","PO Issued - Awaiting Delivery"))))))</f>
        <v/>
      </c>
      <c r="BJ111" s="76" t="str">
        <f aca="false">IF(A111="","",IF(IF(AND(A111&lt;&gt;"",OR(B111="",C111="",E111="",F111="",H111="")),"PR info missing; ","")&amp;IF(AND(K111="Approved",OR(J111="",I111="")),"Approval ref/date missing; ","")&amp;IF(AND(O111&lt;&gt;"",K111&lt;&gt;"Approved"),"PO without approval; ","")&amp;IF(AND(O111&lt;&gt;"",OR(P111="",M111="",Q111="",S111="",T111="")),"PO details missing; ","")&amp;IF(AND(O111&lt;&gt;"",AR111=""),"Committed date missing; ","")&amp;IF(AND(ISNUMBER(J111),ISNUMBER(B111),N(J111)&lt;N(B111)),"Approval dated before PR; ","")&amp;IF(AND(ISNUMBER(P111),ISNUMBER(J111),N(P111)&lt;N(J111)),"PO dated before approval; ","")&amp;IF(AND(ISNUMBER(AY111),ISNUMBER(AS111),N(AY111)&lt;N(AS111)),"Close before in-house start; ","")&amp;IF(AND(AY111&lt;&gt;"",AS111=""),"In-house start date missing; ","")&amp;IF(AND(AY111&lt;&gt;"",AT111=""),"Qty received missing; ","")&amp;IF(AND(AY111&lt;&gt;"",BF111=""),"QC status missing; ","")&amp;IF(N(AT111)&gt;N(Q111)*1.05,"Received &gt; ordered +5%; ","")&amp;IF(AND(N(AI111)&gt;0,AE111=""),"Payment terms missing; ","")&amp;IF(N(AI111)&gt;N(AD111)+1,"Overpaid vs PO; ","")&amp;IF(AND(N(AK111)&gt;0,AY111&lt;&gt;"",AO111=""),"Payment due date missing; ","")="","OK",IF(AND(A111&lt;&gt;"",OR(B111="",C111="",E111="",F111="",H111="")),"PR info missing; ","")&amp;IF(AND(K111="Approved",OR(J111="",I111="")),"Approval ref/date missing; ","")&amp;IF(AND(O111&lt;&gt;"",K111&lt;&gt;"Approved"),"PO without approval; ","")&amp;IF(AND(O111&lt;&gt;"",OR(P111="",M111="",Q111="",S111="",T111="")),"PO details missing; ","")&amp;IF(AND(O111&lt;&gt;"",AR111=""),"Committed date missing; ","")&amp;IF(AND(ISNUMBER(J111),ISNUMBER(B111),N(J111)&lt;N(B111)),"Approval dated before PR; ","")&amp;IF(AND(ISNUMBER(P111),ISNUMBER(J111),N(P111)&lt;N(J111)),"PO dated before approval; ","")&amp;IF(AND(ISNUMBER(AY111),ISNUMBER(AS111),N(AY111)&lt;N(AS111)),"Close before in-house start; ","")&amp;IF(AND(AY111&lt;&gt;"",AS111=""),"In-house start date missing; ","")&amp;IF(AND(AY111&lt;&gt;"",AT111=""),"Qty received missing; ","")&amp;IF(AND(AY111&lt;&gt;"",BF111=""),"QC status missing; ","")&amp;IF(N(AT111)&gt;N(Q111)*1.05,"Received &gt; ordered +5%; ","")&amp;IF(AND(N(AI111)&gt;0,AE111=""),"Payment terms missing; ","")&amp;IF(N(AI111)&gt;N(AD111)+1,"Overpaid vs PO; ","")&amp;IF(AND(N(AK111)&gt;0,AY111&lt;&gt;"",AO111=""),"Payment due date missing; ","")))</f>
        <v/>
      </c>
      <c r="BK111" s="76" t="str">
        <f aca="false">IF(A111="","",IF(N(AP111)&gt;0,"Pay supplier: "&amp;N(AP111)&amp;" days overdue; ","")&amp;IF(AND(O111&lt;&gt;"",AY111="",N(BD111)&gt;0),"Expedite delivery: "&amp;N(BD111)&amp;" days late; ","")&amp;IF(AND(BI111="Awaiting Approval",ISNUMBER(B111),Settings!$B$4-N(B111)&gt;Settings!$B$19),"Get approval: PR waiting "&amp;(Settings!$B$4-N(B111))&amp;" days; ","")&amp;IF(AND(BI111="Approved - PO Pending",ISNUMBER(J111),Settings!$B$4-N(J111)&gt;Settings!$B$20),"Issue PO: approved "&amp;(Settings!$B$4-N(J111))&amp;" days ago; ","")&amp;IF(AND(OR(BI111="Awaiting Approval",BI111="Approved - PO Pending"),N(AB111)&gt;Settings!$B$7),"Negotiate price: "&amp;TEXT(AB111,"0%")&amp;" above budget; ","")&amp;IF(LEFT(AX111,12)="Short Closed","Short closed: claim balance / credit note"&amp;IF(N(AL111)&gt;0," BDT "&amp;TEXT(AL111,"#,##0"),"")&amp;"; ","")&amp;IF(BF111="Rejected","QC rejected: return / replace; ","")&amp;IF(AND(O111&lt;&gt;"",AY111="",N(AL111)&gt;0,N(BD111)&gt;0),"Advance at risk: BDT "&amp;TEXT(AL111,"#,##0")&amp;" paid, goods late; ","")&amp;IF(AND(BJ111&lt;&gt;"",BJ111&lt;&gt;"OK"),"Fix data entry (see Data Check); ",""))</f>
        <v/>
      </c>
      <c r="BL111" s="73" t="str">
        <f aca="false">IF(BK111="","",IF(OR(N(AP111)&gt;30,AND(AY111="",N(BD111)&gt;15),BF111="Rejected",AND(LEFT(AX111,12)="Short Closed",N(AL111)&gt;0),AND(O111&lt;&gt;"",AY111="",N(AL111)&gt;0,N(BD111)&gt;0)),"High",IF(OR(N(AP111)&gt;0,AND(AY111="",N(BD111)&gt;7),LEFT(AX111,12)="Short Closed",AND(BI111="Awaiting Approval",ISNUMBER(B111),Settings!$B$4-N(B111)&gt;2*Settings!$B$19),AND(BI111="Approved - PO Pending",ISNUMBER(J111),Settings!$B$4-N(J111)&gt;2*Settings!$B$20)),"Medium","Low")))</f>
        <v/>
      </c>
      <c r="BM111" s="77" t="str">
        <f aca="false">IF(BL111="","",IF(BL111="High",1,IF(BL111="Medium",2,3))*10000+ROW())</f>
        <v/>
      </c>
      <c r="BN111" s="62"/>
    </row>
    <row r="112" customFormat="false" ht="18" hidden="false" customHeight="true" outlineLevel="0" collapsed="false">
      <c r="A112" s="60"/>
      <c r="B112" s="61"/>
      <c r="C112" s="62"/>
      <c r="D112" s="62"/>
      <c r="E112" s="62"/>
      <c r="F112" s="62"/>
      <c r="G112" s="62"/>
      <c r="H112" s="60"/>
      <c r="I112" s="60"/>
      <c r="J112" s="61"/>
      <c r="K112" s="60"/>
      <c r="L112" s="60"/>
      <c r="M112" s="62"/>
      <c r="N112" s="60"/>
      <c r="O112" s="60"/>
      <c r="P112" s="61"/>
      <c r="Q112" s="63"/>
      <c r="R112" s="60"/>
      <c r="S112" s="64"/>
      <c r="T112" s="60"/>
      <c r="U112" s="65" t="str">
        <f aca="false">IF(AND(T112="",S112=""),"",IF(T112="",1,IFERROR(INDEX(Settings!$B$12:$B$16,MATCH(T112,Settings!$A$12:$A$16,0)),1)))</f>
        <v/>
      </c>
      <c r="V112" s="64"/>
      <c r="W112" s="66" t="str">
        <f aca="false">IF(OR(Q112="",S112=""),"",Q112*S112*U112)</f>
        <v/>
      </c>
      <c r="X112" s="65" t="str">
        <f aca="false">IF(OR(W112="",N(Q112)=0),"",W112/Q112)</f>
        <v/>
      </c>
      <c r="Y112" s="65" t="str">
        <f aca="false">IF(OR(X112="",P112="",E112=""),"",IF(_xlfn.MAXIFS($P$6:$P$205,$E$6:$E$205,E112,$P$6:$P$205,"&lt;"&amp;P112,$X$6:$X$205,"&gt;0")=0,"",IFERROR(AVERAGEIFS($X$6:$X$205,$E$6:$E$205,E112,$P$6:$P$205,_xlfn.MAXIFS($P$6:$P$205,$E$6:$E$205,E112,$P$6:$P$205,"&lt;"&amp;P112,$X$6:$X$205,"&gt;0"),$X$6:$X$205,"&gt;0"),"")))</f>
        <v/>
      </c>
      <c r="Z112" s="67" t="str">
        <f aca="false">IF(OR(Y112="",X112=""),"",X112/Y112-1)</f>
        <v/>
      </c>
      <c r="AA112" s="68" t="str">
        <f aca="false">IF(OR(W112="",V112=""),"",W112-Q112*V112)</f>
        <v/>
      </c>
      <c r="AB112" s="69" t="str">
        <f aca="false">IF(AA112="","",IF(N(V112)*N(Q112)=0,"",AA112/(Q112*V112)))</f>
        <v/>
      </c>
      <c r="AC112" s="70"/>
      <c r="AD112" s="66" t="str">
        <f aca="false">IF(W112="","",W112*(1+N(AC112)))</f>
        <v/>
      </c>
      <c r="AE112" s="62"/>
      <c r="AF112" s="71"/>
      <c r="AG112" s="71"/>
      <c r="AH112" s="71"/>
      <c r="AI112" s="66" t="str">
        <f aca="false">IF(A112="","",N(AF112)+N(AG112)+N(AH112))</f>
        <v/>
      </c>
      <c r="AJ112" s="72" t="str">
        <f aca="false">IF(AD112="","",IF(N(AD112)=0,"",AI112/AD112))</f>
        <v/>
      </c>
      <c r="AK112" s="66" t="str">
        <f aca="false">IF(AD112="","",IF(AD112-AI112&lt;1,0,ROUND(AD112-AI112,2)))</f>
        <v/>
      </c>
      <c r="AL112" s="66" t="str">
        <f aca="false">IF(OR(O112="",AD112=""),"",MAX(0,ROUND(N(AI112)-(AD112-N(AW112)),0)))</f>
        <v/>
      </c>
      <c r="AM112" s="73" t="str">
        <f aca="false">IF(A112="","",IF(O112="","No PO Yet",IF(AI112=0,"Not Paid",IF(N(AJ112)&gt;=0.999,"Fully Paid",IF(N(AG112)+N(AH112)&gt;0,"Partially Paid","Initial / Advance Paid")))))</f>
        <v/>
      </c>
      <c r="AN112" s="61"/>
      <c r="AO112" s="61"/>
      <c r="AP112" s="74" t="str">
        <f aca="false">IF(AK112="","",IF(OR(N(AK112)=0,AO112=""),"",MAX(0,Settings!$B$4-AO112)))</f>
        <v/>
      </c>
      <c r="AQ112" s="73" t="str">
        <f aca="false">IF(AK112="","",IF(N(AK112)&lt;=0,"",IF(AO112="","No Due Date",IF(Settings!$B$4&lt;=AO112,"Not Yet Due",IF(Settings!$B$4-AO112&lt;=30,"1-30 Days",IF(Settings!$B$4-AO112&lt;=60,"31-60 Days",IF(Settings!$B$4-AO112&lt;=90,"61-90 Days","90+ Days")))))))</f>
        <v/>
      </c>
      <c r="AR112" s="61"/>
      <c r="AS112" s="61"/>
      <c r="AT112" s="63"/>
      <c r="AU112" s="72" t="str">
        <f aca="false">IF(Q112="","",IF(N(Q112)=0,"",N(AT112)/Q112))</f>
        <v/>
      </c>
      <c r="AV112" s="75" t="str">
        <f aca="false">IF(OR(A112="",O112="",Q112=""),"",MAX(0,Q112-N(AT112)))</f>
        <v/>
      </c>
      <c r="AW112" s="66" t="str">
        <f aca="false">IF(OR(AV112="",W112=""),"",IF(N(Q112)=0,0,AV112/Q112*AD112))</f>
        <v/>
      </c>
      <c r="AX112" s="76" t="str">
        <f aca="false">IF(A112="","",IF(O112="","No PO Yet",IF(Q112="","Order Qty Missing",IF(N(AT112)&gt;=Q112,IF(N(AT112)&gt;Q112,"All In-house (+"&amp;TEXT(N(AT112)-Q112,"#,##0")&amp;" "&amp;R112&amp;" excess)","All In-house"),IF(AY112&lt;&gt;"","Short Closed - "&amp;TEXT(AV112,"#,##0")&amp;" "&amp;R112&amp;" not received",IF(N(AT112)=0,"Not Started - "&amp;TEXT(AV112,"#,##0")&amp;" "&amp;R112&amp;" pending","Pending "&amp;TEXT(AV112,"#,##0")&amp;" "&amp;R112&amp;" ("&amp;TEXT(AU112,"0%")&amp;" received)"))))))</f>
        <v/>
      </c>
      <c r="AY112" s="61"/>
      <c r="AZ112" s="77" t="str">
        <f aca="false">IF(OR(B112="",J112=""),"",J112-B112)</f>
        <v/>
      </c>
      <c r="BA112" s="77" t="str">
        <f aca="false">IF(OR(J112="",P112=""),"",P112-J112)</f>
        <v/>
      </c>
      <c r="BB112" s="77" t="str">
        <f aca="false">IF(OR(P112="",AY112=""),"",AY112-P112)</f>
        <v/>
      </c>
      <c r="BC112" s="77" t="str">
        <f aca="false">IF(OR(B112="",AY112=""),"",AY112-B112)</f>
        <v/>
      </c>
      <c r="BD112" s="74" t="str">
        <f aca="false">IF(OR(AR112="",O112=""),"",MAX(0,IF(AY112="",Settings!$B$4,AY112)-AR112))</f>
        <v/>
      </c>
      <c r="BE112" s="73" t="str">
        <f aca="false">IF(OR(AY112="",AR112=""),"",IF(AND(AY112&lt;=AR112,N(AU112)&gt;=Settings!$B$6),"OTIF","Not OTIF"))</f>
        <v/>
      </c>
      <c r="BF112" s="60"/>
      <c r="BG112" s="62"/>
      <c r="BH112" s="78"/>
      <c r="BI112" s="76" t="str">
        <f aca="false">IF(A112="","",IF(K112="Rejected","Rejected",IF(K112&lt;&gt;"Approved","Awaiting Approval",IF(O112="","Approved - PO Pending",IF(AY112&lt;&gt;"",IF(N(AJ112)&gt;=0.999,"Closed","In-house Closed - Payment Due"),IF(AS112&lt;&gt;"","Receiving In-house","PO Issued - Awaiting Delivery"))))))</f>
        <v/>
      </c>
      <c r="BJ112" s="76" t="str">
        <f aca="false">IF(A112="","",IF(IF(AND(A112&lt;&gt;"",OR(B112="",C112="",E112="",F112="",H112="")),"PR info missing; ","")&amp;IF(AND(K112="Approved",OR(J112="",I112="")),"Approval ref/date missing; ","")&amp;IF(AND(O112&lt;&gt;"",K112&lt;&gt;"Approved"),"PO without approval; ","")&amp;IF(AND(O112&lt;&gt;"",OR(P112="",M112="",Q112="",S112="",T112="")),"PO details missing; ","")&amp;IF(AND(O112&lt;&gt;"",AR112=""),"Committed date missing; ","")&amp;IF(AND(ISNUMBER(J112),ISNUMBER(B112),N(J112)&lt;N(B112)),"Approval dated before PR; ","")&amp;IF(AND(ISNUMBER(P112),ISNUMBER(J112),N(P112)&lt;N(J112)),"PO dated before approval; ","")&amp;IF(AND(ISNUMBER(AY112),ISNUMBER(AS112),N(AY112)&lt;N(AS112)),"Close before in-house start; ","")&amp;IF(AND(AY112&lt;&gt;"",AS112=""),"In-house start date missing; ","")&amp;IF(AND(AY112&lt;&gt;"",AT112=""),"Qty received missing; ","")&amp;IF(AND(AY112&lt;&gt;"",BF112=""),"QC status missing; ","")&amp;IF(N(AT112)&gt;N(Q112)*1.05,"Received &gt; ordered +5%; ","")&amp;IF(AND(N(AI112)&gt;0,AE112=""),"Payment terms missing; ","")&amp;IF(N(AI112)&gt;N(AD112)+1,"Overpaid vs PO; ","")&amp;IF(AND(N(AK112)&gt;0,AY112&lt;&gt;"",AO112=""),"Payment due date missing; ","")="","OK",IF(AND(A112&lt;&gt;"",OR(B112="",C112="",E112="",F112="",H112="")),"PR info missing; ","")&amp;IF(AND(K112="Approved",OR(J112="",I112="")),"Approval ref/date missing; ","")&amp;IF(AND(O112&lt;&gt;"",K112&lt;&gt;"Approved"),"PO without approval; ","")&amp;IF(AND(O112&lt;&gt;"",OR(P112="",M112="",Q112="",S112="",T112="")),"PO details missing; ","")&amp;IF(AND(O112&lt;&gt;"",AR112=""),"Committed date missing; ","")&amp;IF(AND(ISNUMBER(J112),ISNUMBER(B112),N(J112)&lt;N(B112)),"Approval dated before PR; ","")&amp;IF(AND(ISNUMBER(P112),ISNUMBER(J112),N(P112)&lt;N(J112)),"PO dated before approval; ","")&amp;IF(AND(ISNUMBER(AY112),ISNUMBER(AS112),N(AY112)&lt;N(AS112)),"Close before in-house start; ","")&amp;IF(AND(AY112&lt;&gt;"",AS112=""),"In-house start date missing; ","")&amp;IF(AND(AY112&lt;&gt;"",AT112=""),"Qty received missing; ","")&amp;IF(AND(AY112&lt;&gt;"",BF112=""),"QC status missing; ","")&amp;IF(N(AT112)&gt;N(Q112)*1.05,"Received &gt; ordered +5%; ","")&amp;IF(AND(N(AI112)&gt;0,AE112=""),"Payment terms missing; ","")&amp;IF(N(AI112)&gt;N(AD112)+1,"Overpaid vs PO; ","")&amp;IF(AND(N(AK112)&gt;0,AY112&lt;&gt;"",AO112=""),"Payment due date missing; ","")))</f>
        <v/>
      </c>
      <c r="BK112" s="76" t="str">
        <f aca="false">IF(A112="","",IF(N(AP112)&gt;0,"Pay supplier: "&amp;N(AP112)&amp;" days overdue; ","")&amp;IF(AND(O112&lt;&gt;"",AY112="",N(BD112)&gt;0),"Expedite delivery: "&amp;N(BD112)&amp;" days late; ","")&amp;IF(AND(BI112="Awaiting Approval",ISNUMBER(B112),Settings!$B$4-N(B112)&gt;Settings!$B$19),"Get approval: PR waiting "&amp;(Settings!$B$4-N(B112))&amp;" days; ","")&amp;IF(AND(BI112="Approved - PO Pending",ISNUMBER(J112),Settings!$B$4-N(J112)&gt;Settings!$B$20),"Issue PO: approved "&amp;(Settings!$B$4-N(J112))&amp;" days ago; ","")&amp;IF(AND(OR(BI112="Awaiting Approval",BI112="Approved - PO Pending"),N(AB112)&gt;Settings!$B$7),"Negotiate price: "&amp;TEXT(AB112,"0%")&amp;" above budget; ","")&amp;IF(LEFT(AX112,12)="Short Closed","Short closed: claim balance / credit note"&amp;IF(N(AL112)&gt;0," BDT "&amp;TEXT(AL112,"#,##0"),"")&amp;"; ","")&amp;IF(BF112="Rejected","QC rejected: return / replace; ","")&amp;IF(AND(O112&lt;&gt;"",AY112="",N(AL112)&gt;0,N(BD112)&gt;0),"Advance at risk: BDT "&amp;TEXT(AL112,"#,##0")&amp;" paid, goods late; ","")&amp;IF(AND(BJ112&lt;&gt;"",BJ112&lt;&gt;"OK"),"Fix data entry (see Data Check); ",""))</f>
        <v/>
      </c>
      <c r="BL112" s="73" t="str">
        <f aca="false">IF(BK112="","",IF(OR(N(AP112)&gt;30,AND(AY112="",N(BD112)&gt;15),BF112="Rejected",AND(LEFT(AX112,12)="Short Closed",N(AL112)&gt;0),AND(O112&lt;&gt;"",AY112="",N(AL112)&gt;0,N(BD112)&gt;0)),"High",IF(OR(N(AP112)&gt;0,AND(AY112="",N(BD112)&gt;7),LEFT(AX112,12)="Short Closed",AND(BI112="Awaiting Approval",ISNUMBER(B112),Settings!$B$4-N(B112)&gt;2*Settings!$B$19),AND(BI112="Approved - PO Pending",ISNUMBER(J112),Settings!$B$4-N(J112)&gt;2*Settings!$B$20)),"Medium","Low")))</f>
        <v/>
      </c>
      <c r="BM112" s="77" t="str">
        <f aca="false">IF(BL112="","",IF(BL112="High",1,IF(BL112="Medium",2,3))*10000+ROW())</f>
        <v/>
      </c>
      <c r="BN112" s="62"/>
    </row>
    <row r="113" customFormat="false" ht="18" hidden="false" customHeight="true" outlineLevel="0" collapsed="false">
      <c r="A113" s="60"/>
      <c r="B113" s="61"/>
      <c r="C113" s="62"/>
      <c r="D113" s="62"/>
      <c r="E113" s="62"/>
      <c r="F113" s="62"/>
      <c r="G113" s="62"/>
      <c r="H113" s="60"/>
      <c r="I113" s="60"/>
      <c r="J113" s="61"/>
      <c r="K113" s="60"/>
      <c r="L113" s="60"/>
      <c r="M113" s="62"/>
      <c r="N113" s="60"/>
      <c r="O113" s="60"/>
      <c r="P113" s="61"/>
      <c r="Q113" s="63"/>
      <c r="R113" s="60"/>
      <c r="S113" s="64"/>
      <c r="T113" s="60"/>
      <c r="U113" s="65" t="str">
        <f aca="false">IF(AND(T113="",S113=""),"",IF(T113="",1,IFERROR(INDEX(Settings!$B$12:$B$16,MATCH(T113,Settings!$A$12:$A$16,0)),1)))</f>
        <v/>
      </c>
      <c r="V113" s="64"/>
      <c r="W113" s="66" t="str">
        <f aca="false">IF(OR(Q113="",S113=""),"",Q113*S113*U113)</f>
        <v/>
      </c>
      <c r="X113" s="65" t="str">
        <f aca="false">IF(OR(W113="",N(Q113)=0),"",W113/Q113)</f>
        <v/>
      </c>
      <c r="Y113" s="65" t="str">
        <f aca="false">IF(OR(X113="",P113="",E113=""),"",IF(_xlfn.MAXIFS($P$6:$P$205,$E$6:$E$205,E113,$P$6:$P$205,"&lt;"&amp;P113,$X$6:$X$205,"&gt;0")=0,"",IFERROR(AVERAGEIFS($X$6:$X$205,$E$6:$E$205,E113,$P$6:$P$205,_xlfn.MAXIFS($P$6:$P$205,$E$6:$E$205,E113,$P$6:$P$205,"&lt;"&amp;P113,$X$6:$X$205,"&gt;0"),$X$6:$X$205,"&gt;0"),"")))</f>
        <v/>
      </c>
      <c r="Z113" s="67" t="str">
        <f aca="false">IF(OR(Y113="",X113=""),"",X113/Y113-1)</f>
        <v/>
      </c>
      <c r="AA113" s="68" t="str">
        <f aca="false">IF(OR(W113="",V113=""),"",W113-Q113*V113)</f>
        <v/>
      </c>
      <c r="AB113" s="69" t="str">
        <f aca="false">IF(AA113="","",IF(N(V113)*N(Q113)=0,"",AA113/(Q113*V113)))</f>
        <v/>
      </c>
      <c r="AC113" s="70"/>
      <c r="AD113" s="66" t="str">
        <f aca="false">IF(W113="","",W113*(1+N(AC113)))</f>
        <v/>
      </c>
      <c r="AE113" s="62"/>
      <c r="AF113" s="71"/>
      <c r="AG113" s="71"/>
      <c r="AH113" s="71"/>
      <c r="AI113" s="66" t="str">
        <f aca="false">IF(A113="","",N(AF113)+N(AG113)+N(AH113))</f>
        <v/>
      </c>
      <c r="AJ113" s="72" t="str">
        <f aca="false">IF(AD113="","",IF(N(AD113)=0,"",AI113/AD113))</f>
        <v/>
      </c>
      <c r="AK113" s="66" t="str">
        <f aca="false">IF(AD113="","",IF(AD113-AI113&lt;1,0,ROUND(AD113-AI113,2)))</f>
        <v/>
      </c>
      <c r="AL113" s="66" t="str">
        <f aca="false">IF(OR(O113="",AD113=""),"",MAX(0,ROUND(N(AI113)-(AD113-N(AW113)),0)))</f>
        <v/>
      </c>
      <c r="AM113" s="73" t="str">
        <f aca="false">IF(A113="","",IF(O113="","No PO Yet",IF(AI113=0,"Not Paid",IF(N(AJ113)&gt;=0.999,"Fully Paid",IF(N(AG113)+N(AH113)&gt;0,"Partially Paid","Initial / Advance Paid")))))</f>
        <v/>
      </c>
      <c r="AN113" s="61"/>
      <c r="AO113" s="61"/>
      <c r="AP113" s="74" t="str">
        <f aca="false">IF(AK113="","",IF(OR(N(AK113)=0,AO113=""),"",MAX(0,Settings!$B$4-AO113)))</f>
        <v/>
      </c>
      <c r="AQ113" s="73" t="str">
        <f aca="false">IF(AK113="","",IF(N(AK113)&lt;=0,"",IF(AO113="","No Due Date",IF(Settings!$B$4&lt;=AO113,"Not Yet Due",IF(Settings!$B$4-AO113&lt;=30,"1-30 Days",IF(Settings!$B$4-AO113&lt;=60,"31-60 Days",IF(Settings!$B$4-AO113&lt;=90,"61-90 Days","90+ Days")))))))</f>
        <v/>
      </c>
      <c r="AR113" s="61"/>
      <c r="AS113" s="61"/>
      <c r="AT113" s="63"/>
      <c r="AU113" s="72" t="str">
        <f aca="false">IF(Q113="","",IF(N(Q113)=0,"",N(AT113)/Q113))</f>
        <v/>
      </c>
      <c r="AV113" s="75" t="str">
        <f aca="false">IF(OR(A113="",O113="",Q113=""),"",MAX(0,Q113-N(AT113)))</f>
        <v/>
      </c>
      <c r="AW113" s="66" t="str">
        <f aca="false">IF(OR(AV113="",W113=""),"",IF(N(Q113)=0,0,AV113/Q113*AD113))</f>
        <v/>
      </c>
      <c r="AX113" s="76" t="str">
        <f aca="false">IF(A113="","",IF(O113="","No PO Yet",IF(Q113="","Order Qty Missing",IF(N(AT113)&gt;=Q113,IF(N(AT113)&gt;Q113,"All In-house (+"&amp;TEXT(N(AT113)-Q113,"#,##0")&amp;" "&amp;R113&amp;" excess)","All In-house"),IF(AY113&lt;&gt;"","Short Closed - "&amp;TEXT(AV113,"#,##0")&amp;" "&amp;R113&amp;" not received",IF(N(AT113)=0,"Not Started - "&amp;TEXT(AV113,"#,##0")&amp;" "&amp;R113&amp;" pending","Pending "&amp;TEXT(AV113,"#,##0")&amp;" "&amp;R113&amp;" ("&amp;TEXT(AU113,"0%")&amp;" received)"))))))</f>
        <v/>
      </c>
      <c r="AY113" s="61"/>
      <c r="AZ113" s="77" t="str">
        <f aca="false">IF(OR(B113="",J113=""),"",J113-B113)</f>
        <v/>
      </c>
      <c r="BA113" s="77" t="str">
        <f aca="false">IF(OR(J113="",P113=""),"",P113-J113)</f>
        <v/>
      </c>
      <c r="BB113" s="77" t="str">
        <f aca="false">IF(OR(P113="",AY113=""),"",AY113-P113)</f>
        <v/>
      </c>
      <c r="BC113" s="77" t="str">
        <f aca="false">IF(OR(B113="",AY113=""),"",AY113-B113)</f>
        <v/>
      </c>
      <c r="BD113" s="74" t="str">
        <f aca="false">IF(OR(AR113="",O113=""),"",MAX(0,IF(AY113="",Settings!$B$4,AY113)-AR113))</f>
        <v/>
      </c>
      <c r="BE113" s="73" t="str">
        <f aca="false">IF(OR(AY113="",AR113=""),"",IF(AND(AY113&lt;=AR113,N(AU113)&gt;=Settings!$B$6),"OTIF","Not OTIF"))</f>
        <v/>
      </c>
      <c r="BF113" s="60"/>
      <c r="BG113" s="62"/>
      <c r="BH113" s="78"/>
      <c r="BI113" s="76" t="str">
        <f aca="false">IF(A113="","",IF(K113="Rejected","Rejected",IF(K113&lt;&gt;"Approved","Awaiting Approval",IF(O113="","Approved - PO Pending",IF(AY113&lt;&gt;"",IF(N(AJ113)&gt;=0.999,"Closed","In-house Closed - Payment Due"),IF(AS113&lt;&gt;"","Receiving In-house","PO Issued - Awaiting Delivery"))))))</f>
        <v/>
      </c>
      <c r="BJ113" s="76" t="str">
        <f aca="false">IF(A113="","",IF(IF(AND(A113&lt;&gt;"",OR(B113="",C113="",E113="",F113="",H113="")),"PR info missing; ","")&amp;IF(AND(K113="Approved",OR(J113="",I113="")),"Approval ref/date missing; ","")&amp;IF(AND(O113&lt;&gt;"",K113&lt;&gt;"Approved"),"PO without approval; ","")&amp;IF(AND(O113&lt;&gt;"",OR(P113="",M113="",Q113="",S113="",T113="")),"PO details missing; ","")&amp;IF(AND(O113&lt;&gt;"",AR113=""),"Committed date missing; ","")&amp;IF(AND(ISNUMBER(J113),ISNUMBER(B113),N(J113)&lt;N(B113)),"Approval dated before PR; ","")&amp;IF(AND(ISNUMBER(P113),ISNUMBER(J113),N(P113)&lt;N(J113)),"PO dated before approval; ","")&amp;IF(AND(ISNUMBER(AY113),ISNUMBER(AS113),N(AY113)&lt;N(AS113)),"Close before in-house start; ","")&amp;IF(AND(AY113&lt;&gt;"",AS113=""),"In-house start date missing; ","")&amp;IF(AND(AY113&lt;&gt;"",AT113=""),"Qty received missing; ","")&amp;IF(AND(AY113&lt;&gt;"",BF113=""),"QC status missing; ","")&amp;IF(N(AT113)&gt;N(Q113)*1.05,"Received &gt; ordered +5%; ","")&amp;IF(AND(N(AI113)&gt;0,AE113=""),"Payment terms missing; ","")&amp;IF(N(AI113)&gt;N(AD113)+1,"Overpaid vs PO; ","")&amp;IF(AND(N(AK113)&gt;0,AY113&lt;&gt;"",AO113=""),"Payment due date missing; ","")="","OK",IF(AND(A113&lt;&gt;"",OR(B113="",C113="",E113="",F113="",H113="")),"PR info missing; ","")&amp;IF(AND(K113="Approved",OR(J113="",I113="")),"Approval ref/date missing; ","")&amp;IF(AND(O113&lt;&gt;"",K113&lt;&gt;"Approved"),"PO without approval; ","")&amp;IF(AND(O113&lt;&gt;"",OR(P113="",M113="",Q113="",S113="",T113="")),"PO details missing; ","")&amp;IF(AND(O113&lt;&gt;"",AR113=""),"Committed date missing; ","")&amp;IF(AND(ISNUMBER(J113),ISNUMBER(B113),N(J113)&lt;N(B113)),"Approval dated before PR; ","")&amp;IF(AND(ISNUMBER(P113),ISNUMBER(J113),N(P113)&lt;N(J113)),"PO dated before approval; ","")&amp;IF(AND(ISNUMBER(AY113),ISNUMBER(AS113),N(AY113)&lt;N(AS113)),"Close before in-house start; ","")&amp;IF(AND(AY113&lt;&gt;"",AS113=""),"In-house start date missing; ","")&amp;IF(AND(AY113&lt;&gt;"",AT113=""),"Qty received missing; ","")&amp;IF(AND(AY113&lt;&gt;"",BF113=""),"QC status missing; ","")&amp;IF(N(AT113)&gt;N(Q113)*1.05,"Received &gt; ordered +5%; ","")&amp;IF(AND(N(AI113)&gt;0,AE113=""),"Payment terms missing; ","")&amp;IF(N(AI113)&gt;N(AD113)+1,"Overpaid vs PO; ","")&amp;IF(AND(N(AK113)&gt;0,AY113&lt;&gt;"",AO113=""),"Payment due date missing; ","")))</f>
        <v/>
      </c>
      <c r="BK113" s="76" t="str">
        <f aca="false">IF(A113="","",IF(N(AP113)&gt;0,"Pay supplier: "&amp;N(AP113)&amp;" days overdue; ","")&amp;IF(AND(O113&lt;&gt;"",AY113="",N(BD113)&gt;0),"Expedite delivery: "&amp;N(BD113)&amp;" days late; ","")&amp;IF(AND(BI113="Awaiting Approval",ISNUMBER(B113),Settings!$B$4-N(B113)&gt;Settings!$B$19),"Get approval: PR waiting "&amp;(Settings!$B$4-N(B113))&amp;" days; ","")&amp;IF(AND(BI113="Approved - PO Pending",ISNUMBER(J113),Settings!$B$4-N(J113)&gt;Settings!$B$20),"Issue PO: approved "&amp;(Settings!$B$4-N(J113))&amp;" days ago; ","")&amp;IF(AND(OR(BI113="Awaiting Approval",BI113="Approved - PO Pending"),N(AB113)&gt;Settings!$B$7),"Negotiate price: "&amp;TEXT(AB113,"0%")&amp;" above budget; ","")&amp;IF(LEFT(AX113,12)="Short Closed","Short closed: claim balance / credit note"&amp;IF(N(AL113)&gt;0," BDT "&amp;TEXT(AL113,"#,##0"),"")&amp;"; ","")&amp;IF(BF113="Rejected","QC rejected: return / replace; ","")&amp;IF(AND(O113&lt;&gt;"",AY113="",N(AL113)&gt;0,N(BD113)&gt;0),"Advance at risk: BDT "&amp;TEXT(AL113,"#,##0")&amp;" paid, goods late; ","")&amp;IF(AND(BJ113&lt;&gt;"",BJ113&lt;&gt;"OK"),"Fix data entry (see Data Check); ",""))</f>
        <v/>
      </c>
      <c r="BL113" s="73" t="str">
        <f aca="false">IF(BK113="","",IF(OR(N(AP113)&gt;30,AND(AY113="",N(BD113)&gt;15),BF113="Rejected",AND(LEFT(AX113,12)="Short Closed",N(AL113)&gt;0),AND(O113&lt;&gt;"",AY113="",N(AL113)&gt;0,N(BD113)&gt;0)),"High",IF(OR(N(AP113)&gt;0,AND(AY113="",N(BD113)&gt;7),LEFT(AX113,12)="Short Closed",AND(BI113="Awaiting Approval",ISNUMBER(B113),Settings!$B$4-N(B113)&gt;2*Settings!$B$19),AND(BI113="Approved - PO Pending",ISNUMBER(J113),Settings!$B$4-N(J113)&gt;2*Settings!$B$20)),"Medium","Low")))</f>
        <v/>
      </c>
      <c r="BM113" s="77" t="str">
        <f aca="false">IF(BL113="","",IF(BL113="High",1,IF(BL113="Medium",2,3))*10000+ROW())</f>
        <v/>
      </c>
      <c r="BN113" s="62"/>
    </row>
    <row r="114" customFormat="false" ht="18" hidden="false" customHeight="true" outlineLevel="0" collapsed="false">
      <c r="A114" s="60"/>
      <c r="B114" s="61"/>
      <c r="C114" s="62"/>
      <c r="D114" s="62"/>
      <c r="E114" s="62"/>
      <c r="F114" s="62"/>
      <c r="G114" s="62"/>
      <c r="H114" s="60"/>
      <c r="I114" s="60"/>
      <c r="J114" s="61"/>
      <c r="K114" s="60"/>
      <c r="L114" s="60"/>
      <c r="M114" s="62"/>
      <c r="N114" s="60"/>
      <c r="O114" s="60"/>
      <c r="P114" s="61"/>
      <c r="Q114" s="63"/>
      <c r="R114" s="60"/>
      <c r="S114" s="64"/>
      <c r="T114" s="60"/>
      <c r="U114" s="65" t="str">
        <f aca="false">IF(AND(T114="",S114=""),"",IF(T114="",1,IFERROR(INDEX(Settings!$B$12:$B$16,MATCH(T114,Settings!$A$12:$A$16,0)),1)))</f>
        <v/>
      </c>
      <c r="V114" s="64"/>
      <c r="W114" s="66" t="str">
        <f aca="false">IF(OR(Q114="",S114=""),"",Q114*S114*U114)</f>
        <v/>
      </c>
      <c r="X114" s="65" t="str">
        <f aca="false">IF(OR(W114="",N(Q114)=0),"",W114/Q114)</f>
        <v/>
      </c>
      <c r="Y114" s="65" t="str">
        <f aca="false">IF(OR(X114="",P114="",E114=""),"",IF(_xlfn.MAXIFS($P$6:$P$205,$E$6:$E$205,E114,$P$6:$P$205,"&lt;"&amp;P114,$X$6:$X$205,"&gt;0")=0,"",IFERROR(AVERAGEIFS($X$6:$X$205,$E$6:$E$205,E114,$P$6:$P$205,_xlfn.MAXIFS($P$6:$P$205,$E$6:$E$205,E114,$P$6:$P$205,"&lt;"&amp;P114,$X$6:$X$205,"&gt;0"),$X$6:$X$205,"&gt;0"),"")))</f>
        <v/>
      </c>
      <c r="Z114" s="67" t="str">
        <f aca="false">IF(OR(Y114="",X114=""),"",X114/Y114-1)</f>
        <v/>
      </c>
      <c r="AA114" s="68" t="str">
        <f aca="false">IF(OR(W114="",V114=""),"",W114-Q114*V114)</f>
        <v/>
      </c>
      <c r="AB114" s="69" t="str">
        <f aca="false">IF(AA114="","",IF(N(V114)*N(Q114)=0,"",AA114/(Q114*V114)))</f>
        <v/>
      </c>
      <c r="AC114" s="70"/>
      <c r="AD114" s="66" t="str">
        <f aca="false">IF(W114="","",W114*(1+N(AC114)))</f>
        <v/>
      </c>
      <c r="AE114" s="62"/>
      <c r="AF114" s="71"/>
      <c r="AG114" s="71"/>
      <c r="AH114" s="71"/>
      <c r="AI114" s="66" t="str">
        <f aca="false">IF(A114="","",N(AF114)+N(AG114)+N(AH114))</f>
        <v/>
      </c>
      <c r="AJ114" s="72" t="str">
        <f aca="false">IF(AD114="","",IF(N(AD114)=0,"",AI114/AD114))</f>
        <v/>
      </c>
      <c r="AK114" s="66" t="str">
        <f aca="false">IF(AD114="","",IF(AD114-AI114&lt;1,0,ROUND(AD114-AI114,2)))</f>
        <v/>
      </c>
      <c r="AL114" s="66" t="str">
        <f aca="false">IF(OR(O114="",AD114=""),"",MAX(0,ROUND(N(AI114)-(AD114-N(AW114)),0)))</f>
        <v/>
      </c>
      <c r="AM114" s="73" t="str">
        <f aca="false">IF(A114="","",IF(O114="","No PO Yet",IF(AI114=0,"Not Paid",IF(N(AJ114)&gt;=0.999,"Fully Paid",IF(N(AG114)+N(AH114)&gt;0,"Partially Paid","Initial / Advance Paid")))))</f>
        <v/>
      </c>
      <c r="AN114" s="61"/>
      <c r="AO114" s="61"/>
      <c r="AP114" s="74" t="str">
        <f aca="false">IF(AK114="","",IF(OR(N(AK114)=0,AO114=""),"",MAX(0,Settings!$B$4-AO114)))</f>
        <v/>
      </c>
      <c r="AQ114" s="73" t="str">
        <f aca="false">IF(AK114="","",IF(N(AK114)&lt;=0,"",IF(AO114="","No Due Date",IF(Settings!$B$4&lt;=AO114,"Not Yet Due",IF(Settings!$B$4-AO114&lt;=30,"1-30 Days",IF(Settings!$B$4-AO114&lt;=60,"31-60 Days",IF(Settings!$B$4-AO114&lt;=90,"61-90 Days","90+ Days")))))))</f>
        <v/>
      </c>
      <c r="AR114" s="61"/>
      <c r="AS114" s="61"/>
      <c r="AT114" s="63"/>
      <c r="AU114" s="72" t="str">
        <f aca="false">IF(Q114="","",IF(N(Q114)=0,"",N(AT114)/Q114))</f>
        <v/>
      </c>
      <c r="AV114" s="75" t="str">
        <f aca="false">IF(OR(A114="",O114="",Q114=""),"",MAX(0,Q114-N(AT114)))</f>
        <v/>
      </c>
      <c r="AW114" s="66" t="str">
        <f aca="false">IF(OR(AV114="",W114=""),"",IF(N(Q114)=0,0,AV114/Q114*AD114))</f>
        <v/>
      </c>
      <c r="AX114" s="76" t="str">
        <f aca="false">IF(A114="","",IF(O114="","No PO Yet",IF(Q114="","Order Qty Missing",IF(N(AT114)&gt;=Q114,IF(N(AT114)&gt;Q114,"All In-house (+"&amp;TEXT(N(AT114)-Q114,"#,##0")&amp;" "&amp;R114&amp;" excess)","All In-house"),IF(AY114&lt;&gt;"","Short Closed - "&amp;TEXT(AV114,"#,##0")&amp;" "&amp;R114&amp;" not received",IF(N(AT114)=0,"Not Started - "&amp;TEXT(AV114,"#,##0")&amp;" "&amp;R114&amp;" pending","Pending "&amp;TEXT(AV114,"#,##0")&amp;" "&amp;R114&amp;" ("&amp;TEXT(AU114,"0%")&amp;" received)"))))))</f>
        <v/>
      </c>
      <c r="AY114" s="61"/>
      <c r="AZ114" s="77" t="str">
        <f aca="false">IF(OR(B114="",J114=""),"",J114-B114)</f>
        <v/>
      </c>
      <c r="BA114" s="77" t="str">
        <f aca="false">IF(OR(J114="",P114=""),"",P114-J114)</f>
        <v/>
      </c>
      <c r="BB114" s="77" t="str">
        <f aca="false">IF(OR(P114="",AY114=""),"",AY114-P114)</f>
        <v/>
      </c>
      <c r="BC114" s="77" t="str">
        <f aca="false">IF(OR(B114="",AY114=""),"",AY114-B114)</f>
        <v/>
      </c>
      <c r="BD114" s="74" t="str">
        <f aca="false">IF(OR(AR114="",O114=""),"",MAX(0,IF(AY114="",Settings!$B$4,AY114)-AR114))</f>
        <v/>
      </c>
      <c r="BE114" s="73" t="str">
        <f aca="false">IF(OR(AY114="",AR114=""),"",IF(AND(AY114&lt;=AR114,N(AU114)&gt;=Settings!$B$6),"OTIF","Not OTIF"))</f>
        <v/>
      </c>
      <c r="BF114" s="60"/>
      <c r="BG114" s="62"/>
      <c r="BH114" s="78"/>
      <c r="BI114" s="76" t="str">
        <f aca="false">IF(A114="","",IF(K114="Rejected","Rejected",IF(K114&lt;&gt;"Approved","Awaiting Approval",IF(O114="","Approved - PO Pending",IF(AY114&lt;&gt;"",IF(N(AJ114)&gt;=0.999,"Closed","In-house Closed - Payment Due"),IF(AS114&lt;&gt;"","Receiving In-house","PO Issued - Awaiting Delivery"))))))</f>
        <v/>
      </c>
      <c r="BJ114" s="76" t="str">
        <f aca="false">IF(A114="","",IF(IF(AND(A114&lt;&gt;"",OR(B114="",C114="",E114="",F114="",H114="")),"PR info missing; ","")&amp;IF(AND(K114="Approved",OR(J114="",I114="")),"Approval ref/date missing; ","")&amp;IF(AND(O114&lt;&gt;"",K114&lt;&gt;"Approved"),"PO without approval; ","")&amp;IF(AND(O114&lt;&gt;"",OR(P114="",M114="",Q114="",S114="",T114="")),"PO details missing; ","")&amp;IF(AND(O114&lt;&gt;"",AR114=""),"Committed date missing; ","")&amp;IF(AND(ISNUMBER(J114),ISNUMBER(B114),N(J114)&lt;N(B114)),"Approval dated before PR; ","")&amp;IF(AND(ISNUMBER(P114),ISNUMBER(J114),N(P114)&lt;N(J114)),"PO dated before approval; ","")&amp;IF(AND(ISNUMBER(AY114),ISNUMBER(AS114),N(AY114)&lt;N(AS114)),"Close before in-house start; ","")&amp;IF(AND(AY114&lt;&gt;"",AS114=""),"In-house start date missing; ","")&amp;IF(AND(AY114&lt;&gt;"",AT114=""),"Qty received missing; ","")&amp;IF(AND(AY114&lt;&gt;"",BF114=""),"QC status missing; ","")&amp;IF(N(AT114)&gt;N(Q114)*1.05,"Received &gt; ordered +5%; ","")&amp;IF(AND(N(AI114)&gt;0,AE114=""),"Payment terms missing; ","")&amp;IF(N(AI114)&gt;N(AD114)+1,"Overpaid vs PO; ","")&amp;IF(AND(N(AK114)&gt;0,AY114&lt;&gt;"",AO114=""),"Payment due date missing; ","")="","OK",IF(AND(A114&lt;&gt;"",OR(B114="",C114="",E114="",F114="",H114="")),"PR info missing; ","")&amp;IF(AND(K114="Approved",OR(J114="",I114="")),"Approval ref/date missing; ","")&amp;IF(AND(O114&lt;&gt;"",K114&lt;&gt;"Approved"),"PO without approval; ","")&amp;IF(AND(O114&lt;&gt;"",OR(P114="",M114="",Q114="",S114="",T114="")),"PO details missing; ","")&amp;IF(AND(O114&lt;&gt;"",AR114=""),"Committed date missing; ","")&amp;IF(AND(ISNUMBER(J114),ISNUMBER(B114),N(J114)&lt;N(B114)),"Approval dated before PR; ","")&amp;IF(AND(ISNUMBER(P114),ISNUMBER(J114),N(P114)&lt;N(J114)),"PO dated before approval; ","")&amp;IF(AND(ISNUMBER(AY114),ISNUMBER(AS114),N(AY114)&lt;N(AS114)),"Close before in-house start; ","")&amp;IF(AND(AY114&lt;&gt;"",AS114=""),"In-house start date missing; ","")&amp;IF(AND(AY114&lt;&gt;"",AT114=""),"Qty received missing; ","")&amp;IF(AND(AY114&lt;&gt;"",BF114=""),"QC status missing; ","")&amp;IF(N(AT114)&gt;N(Q114)*1.05,"Received &gt; ordered +5%; ","")&amp;IF(AND(N(AI114)&gt;0,AE114=""),"Payment terms missing; ","")&amp;IF(N(AI114)&gt;N(AD114)+1,"Overpaid vs PO; ","")&amp;IF(AND(N(AK114)&gt;0,AY114&lt;&gt;"",AO114=""),"Payment due date missing; ","")))</f>
        <v/>
      </c>
      <c r="BK114" s="76" t="str">
        <f aca="false">IF(A114="","",IF(N(AP114)&gt;0,"Pay supplier: "&amp;N(AP114)&amp;" days overdue; ","")&amp;IF(AND(O114&lt;&gt;"",AY114="",N(BD114)&gt;0),"Expedite delivery: "&amp;N(BD114)&amp;" days late; ","")&amp;IF(AND(BI114="Awaiting Approval",ISNUMBER(B114),Settings!$B$4-N(B114)&gt;Settings!$B$19),"Get approval: PR waiting "&amp;(Settings!$B$4-N(B114))&amp;" days; ","")&amp;IF(AND(BI114="Approved - PO Pending",ISNUMBER(J114),Settings!$B$4-N(J114)&gt;Settings!$B$20),"Issue PO: approved "&amp;(Settings!$B$4-N(J114))&amp;" days ago; ","")&amp;IF(AND(OR(BI114="Awaiting Approval",BI114="Approved - PO Pending"),N(AB114)&gt;Settings!$B$7),"Negotiate price: "&amp;TEXT(AB114,"0%")&amp;" above budget; ","")&amp;IF(LEFT(AX114,12)="Short Closed","Short closed: claim balance / credit note"&amp;IF(N(AL114)&gt;0," BDT "&amp;TEXT(AL114,"#,##0"),"")&amp;"; ","")&amp;IF(BF114="Rejected","QC rejected: return / replace; ","")&amp;IF(AND(O114&lt;&gt;"",AY114="",N(AL114)&gt;0,N(BD114)&gt;0),"Advance at risk: BDT "&amp;TEXT(AL114,"#,##0")&amp;" paid, goods late; ","")&amp;IF(AND(BJ114&lt;&gt;"",BJ114&lt;&gt;"OK"),"Fix data entry (see Data Check); ",""))</f>
        <v/>
      </c>
      <c r="BL114" s="73" t="str">
        <f aca="false">IF(BK114="","",IF(OR(N(AP114)&gt;30,AND(AY114="",N(BD114)&gt;15),BF114="Rejected",AND(LEFT(AX114,12)="Short Closed",N(AL114)&gt;0),AND(O114&lt;&gt;"",AY114="",N(AL114)&gt;0,N(BD114)&gt;0)),"High",IF(OR(N(AP114)&gt;0,AND(AY114="",N(BD114)&gt;7),LEFT(AX114,12)="Short Closed",AND(BI114="Awaiting Approval",ISNUMBER(B114),Settings!$B$4-N(B114)&gt;2*Settings!$B$19),AND(BI114="Approved - PO Pending",ISNUMBER(J114),Settings!$B$4-N(J114)&gt;2*Settings!$B$20)),"Medium","Low")))</f>
        <v/>
      </c>
      <c r="BM114" s="77" t="str">
        <f aca="false">IF(BL114="","",IF(BL114="High",1,IF(BL114="Medium",2,3))*10000+ROW())</f>
        <v/>
      </c>
      <c r="BN114" s="62"/>
    </row>
    <row r="115" customFormat="false" ht="18" hidden="false" customHeight="true" outlineLevel="0" collapsed="false">
      <c r="A115" s="60"/>
      <c r="B115" s="61"/>
      <c r="C115" s="62"/>
      <c r="D115" s="62"/>
      <c r="E115" s="62"/>
      <c r="F115" s="62"/>
      <c r="G115" s="62"/>
      <c r="H115" s="60"/>
      <c r="I115" s="60"/>
      <c r="J115" s="61"/>
      <c r="K115" s="60"/>
      <c r="L115" s="60"/>
      <c r="M115" s="62"/>
      <c r="N115" s="60"/>
      <c r="O115" s="60"/>
      <c r="P115" s="61"/>
      <c r="Q115" s="63"/>
      <c r="R115" s="60"/>
      <c r="S115" s="64"/>
      <c r="T115" s="60"/>
      <c r="U115" s="65" t="str">
        <f aca="false">IF(AND(T115="",S115=""),"",IF(T115="",1,IFERROR(INDEX(Settings!$B$12:$B$16,MATCH(T115,Settings!$A$12:$A$16,0)),1)))</f>
        <v/>
      </c>
      <c r="V115" s="64"/>
      <c r="W115" s="66" t="str">
        <f aca="false">IF(OR(Q115="",S115=""),"",Q115*S115*U115)</f>
        <v/>
      </c>
      <c r="X115" s="65" t="str">
        <f aca="false">IF(OR(W115="",N(Q115)=0),"",W115/Q115)</f>
        <v/>
      </c>
      <c r="Y115" s="65" t="str">
        <f aca="false">IF(OR(X115="",P115="",E115=""),"",IF(_xlfn.MAXIFS($P$6:$P$205,$E$6:$E$205,E115,$P$6:$P$205,"&lt;"&amp;P115,$X$6:$X$205,"&gt;0")=0,"",IFERROR(AVERAGEIFS($X$6:$X$205,$E$6:$E$205,E115,$P$6:$P$205,_xlfn.MAXIFS($P$6:$P$205,$E$6:$E$205,E115,$P$6:$P$205,"&lt;"&amp;P115,$X$6:$X$205,"&gt;0"),$X$6:$X$205,"&gt;0"),"")))</f>
        <v/>
      </c>
      <c r="Z115" s="67" t="str">
        <f aca="false">IF(OR(Y115="",X115=""),"",X115/Y115-1)</f>
        <v/>
      </c>
      <c r="AA115" s="68" t="str">
        <f aca="false">IF(OR(W115="",V115=""),"",W115-Q115*V115)</f>
        <v/>
      </c>
      <c r="AB115" s="69" t="str">
        <f aca="false">IF(AA115="","",IF(N(V115)*N(Q115)=0,"",AA115/(Q115*V115)))</f>
        <v/>
      </c>
      <c r="AC115" s="70"/>
      <c r="AD115" s="66" t="str">
        <f aca="false">IF(W115="","",W115*(1+N(AC115)))</f>
        <v/>
      </c>
      <c r="AE115" s="62"/>
      <c r="AF115" s="71"/>
      <c r="AG115" s="71"/>
      <c r="AH115" s="71"/>
      <c r="AI115" s="66" t="str">
        <f aca="false">IF(A115="","",N(AF115)+N(AG115)+N(AH115))</f>
        <v/>
      </c>
      <c r="AJ115" s="72" t="str">
        <f aca="false">IF(AD115="","",IF(N(AD115)=0,"",AI115/AD115))</f>
        <v/>
      </c>
      <c r="AK115" s="66" t="str">
        <f aca="false">IF(AD115="","",IF(AD115-AI115&lt;1,0,ROUND(AD115-AI115,2)))</f>
        <v/>
      </c>
      <c r="AL115" s="66" t="str">
        <f aca="false">IF(OR(O115="",AD115=""),"",MAX(0,ROUND(N(AI115)-(AD115-N(AW115)),0)))</f>
        <v/>
      </c>
      <c r="AM115" s="73" t="str">
        <f aca="false">IF(A115="","",IF(O115="","No PO Yet",IF(AI115=0,"Not Paid",IF(N(AJ115)&gt;=0.999,"Fully Paid",IF(N(AG115)+N(AH115)&gt;0,"Partially Paid","Initial / Advance Paid")))))</f>
        <v/>
      </c>
      <c r="AN115" s="61"/>
      <c r="AO115" s="61"/>
      <c r="AP115" s="74" t="str">
        <f aca="false">IF(AK115="","",IF(OR(N(AK115)=0,AO115=""),"",MAX(0,Settings!$B$4-AO115)))</f>
        <v/>
      </c>
      <c r="AQ115" s="73" t="str">
        <f aca="false">IF(AK115="","",IF(N(AK115)&lt;=0,"",IF(AO115="","No Due Date",IF(Settings!$B$4&lt;=AO115,"Not Yet Due",IF(Settings!$B$4-AO115&lt;=30,"1-30 Days",IF(Settings!$B$4-AO115&lt;=60,"31-60 Days",IF(Settings!$B$4-AO115&lt;=90,"61-90 Days","90+ Days")))))))</f>
        <v/>
      </c>
      <c r="AR115" s="61"/>
      <c r="AS115" s="61"/>
      <c r="AT115" s="63"/>
      <c r="AU115" s="72" t="str">
        <f aca="false">IF(Q115="","",IF(N(Q115)=0,"",N(AT115)/Q115))</f>
        <v/>
      </c>
      <c r="AV115" s="75" t="str">
        <f aca="false">IF(OR(A115="",O115="",Q115=""),"",MAX(0,Q115-N(AT115)))</f>
        <v/>
      </c>
      <c r="AW115" s="66" t="str">
        <f aca="false">IF(OR(AV115="",W115=""),"",IF(N(Q115)=0,0,AV115/Q115*AD115))</f>
        <v/>
      </c>
      <c r="AX115" s="76" t="str">
        <f aca="false">IF(A115="","",IF(O115="","No PO Yet",IF(Q115="","Order Qty Missing",IF(N(AT115)&gt;=Q115,IF(N(AT115)&gt;Q115,"All In-house (+"&amp;TEXT(N(AT115)-Q115,"#,##0")&amp;" "&amp;R115&amp;" excess)","All In-house"),IF(AY115&lt;&gt;"","Short Closed - "&amp;TEXT(AV115,"#,##0")&amp;" "&amp;R115&amp;" not received",IF(N(AT115)=0,"Not Started - "&amp;TEXT(AV115,"#,##0")&amp;" "&amp;R115&amp;" pending","Pending "&amp;TEXT(AV115,"#,##0")&amp;" "&amp;R115&amp;" ("&amp;TEXT(AU115,"0%")&amp;" received)"))))))</f>
        <v/>
      </c>
      <c r="AY115" s="61"/>
      <c r="AZ115" s="77" t="str">
        <f aca="false">IF(OR(B115="",J115=""),"",J115-B115)</f>
        <v/>
      </c>
      <c r="BA115" s="77" t="str">
        <f aca="false">IF(OR(J115="",P115=""),"",P115-J115)</f>
        <v/>
      </c>
      <c r="BB115" s="77" t="str">
        <f aca="false">IF(OR(P115="",AY115=""),"",AY115-P115)</f>
        <v/>
      </c>
      <c r="BC115" s="77" t="str">
        <f aca="false">IF(OR(B115="",AY115=""),"",AY115-B115)</f>
        <v/>
      </c>
      <c r="BD115" s="74" t="str">
        <f aca="false">IF(OR(AR115="",O115=""),"",MAX(0,IF(AY115="",Settings!$B$4,AY115)-AR115))</f>
        <v/>
      </c>
      <c r="BE115" s="73" t="str">
        <f aca="false">IF(OR(AY115="",AR115=""),"",IF(AND(AY115&lt;=AR115,N(AU115)&gt;=Settings!$B$6),"OTIF","Not OTIF"))</f>
        <v/>
      </c>
      <c r="BF115" s="60"/>
      <c r="BG115" s="62"/>
      <c r="BH115" s="78"/>
      <c r="BI115" s="76" t="str">
        <f aca="false">IF(A115="","",IF(K115="Rejected","Rejected",IF(K115&lt;&gt;"Approved","Awaiting Approval",IF(O115="","Approved - PO Pending",IF(AY115&lt;&gt;"",IF(N(AJ115)&gt;=0.999,"Closed","In-house Closed - Payment Due"),IF(AS115&lt;&gt;"","Receiving In-house","PO Issued - Awaiting Delivery"))))))</f>
        <v/>
      </c>
      <c r="BJ115" s="76" t="str">
        <f aca="false">IF(A115="","",IF(IF(AND(A115&lt;&gt;"",OR(B115="",C115="",E115="",F115="",H115="")),"PR info missing; ","")&amp;IF(AND(K115="Approved",OR(J115="",I115="")),"Approval ref/date missing; ","")&amp;IF(AND(O115&lt;&gt;"",K115&lt;&gt;"Approved"),"PO without approval; ","")&amp;IF(AND(O115&lt;&gt;"",OR(P115="",M115="",Q115="",S115="",T115="")),"PO details missing; ","")&amp;IF(AND(O115&lt;&gt;"",AR115=""),"Committed date missing; ","")&amp;IF(AND(ISNUMBER(J115),ISNUMBER(B115),N(J115)&lt;N(B115)),"Approval dated before PR; ","")&amp;IF(AND(ISNUMBER(P115),ISNUMBER(J115),N(P115)&lt;N(J115)),"PO dated before approval; ","")&amp;IF(AND(ISNUMBER(AY115),ISNUMBER(AS115),N(AY115)&lt;N(AS115)),"Close before in-house start; ","")&amp;IF(AND(AY115&lt;&gt;"",AS115=""),"In-house start date missing; ","")&amp;IF(AND(AY115&lt;&gt;"",AT115=""),"Qty received missing; ","")&amp;IF(AND(AY115&lt;&gt;"",BF115=""),"QC status missing; ","")&amp;IF(N(AT115)&gt;N(Q115)*1.05,"Received &gt; ordered +5%; ","")&amp;IF(AND(N(AI115)&gt;0,AE115=""),"Payment terms missing; ","")&amp;IF(N(AI115)&gt;N(AD115)+1,"Overpaid vs PO; ","")&amp;IF(AND(N(AK115)&gt;0,AY115&lt;&gt;"",AO115=""),"Payment due date missing; ","")="","OK",IF(AND(A115&lt;&gt;"",OR(B115="",C115="",E115="",F115="",H115="")),"PR info missing; ","")&amp;IF(AND(K115="Approved",OR(J115="",I115="")),"Approval ref/date missing; ","")&amp;IF(AND(O115&lt;&gt;"",K115&lt;&gt;"Approved"),"PO without approval; ","")&amp;IF(AND(O115&lt;&gt;"",OR(P115="",M115="",Q115="",S115="",T115="")),"PO details missing; ","")&amp;IF(AND(O115&lt;&gt;"",AR115=""),"Committed date missing; ","")&amp;IF(AND(ISNUMBER(J115),ISNUMBER(B115),N(J115)&lt;N(B115)),"Approval dated before PR; ","")&amp;IF(AND(ISNUMBER(P115),ISNUMBER(J115),N(P115)&lt;N(J115)),"PO dated before approval; ","")&amp;IF(AND(ISNUMBER(AY115),ISNUMBER(AS115),N(AY115)&lt;N(AS115)),"Close before in-house start; ","")&amp;IF(AND(AY115&lt;&gt;"",AS115=""),"In-house start date missing; ","")&amp;IF(AND(AY115&lt;&gt;"",AT115=""),"Qty received missing; ","")&amp;IF(AND(AY115&lt;&gt;"",BF115=""),"QC status missing; ","")&amp;IF(N(AT115)&gt;N(Q115)*1.05,"Received &gt; ordered +5%; ","")&amp;IF(AND(N(AI115)&gt;0,AE115=""),"Payment terms missing; ","")&amp;IF(N(AI115)&gt;N(AD115)+1,"Overpaid vs PO; ","")&amp;IF(AND(N(AK115)&gt;0,AY115&lt;&gt;"",AO115=""),"Payment due date missing; ","")))</f>
        <v/>
      </c>
      <c r="BK115" s="76" t="str">
        <f aca="false">IF(A115="","",IF(N(AP115)&gt;0,"Pay supplier: "&amp;N(AP115)&amp;" days overdue; ","")&amp;IF(AND(O115&lt;&gt;"",AY115="",N(BD115)&gt;0),"Expedite delivery: "&amp;N(BD115)&amp;" days late; ","")&amp;IF(AND(BI115="Awaiting Approval",ISNUMBER(B115),Settings!$B$4-N(B115)&gt;Settings!$B$19),"Get approval: PR waiting "&amp;(Settings!$B$4-N(B115))&amp;" days; ","")&amp;IF(AND(BI115="Approved - PO Pending",ISNUMBER(J115),Settings!$B$4-N(J115)&gt;Settings!$B$20),"Issue PO: approved "&amp;(Settings!$B$4-N(J115))&amp;" days ago; ","")&amp;IF(AND(OR(BI115="Awaiting Approval",BI115="Approved - PO Pending"),N(AB115)&gt;Settings!$B$7),"Negotiate price: "&amp;TEXT(AB115,"0%")&amp;" above budget; ","")&amp;IF(LEFT(AX115,12)="Short Closed","Short closed: claim balance / credit note"&amp;IF(N(AL115)&gt;0," BDT "&amp;TEXT(AL115,"#,##0"),"")&amp;"; ","")&amp;IF(BF115="Rejected","QC rejected: return / replace; ","")&amp;IF(AND(O115&lt;&gt;"",AY115="",N(AL115)&gt;0,N(BD115)&gt;0),"Advance at risk: BDT "&amp;TEXT(AL115,"#,##0")&amp;" paid, goods late; ","")&amp;IF(AND(BJ115&lt;&gt;"",BJ115&lt;&gt;"OK"),"Fix data entry (see Data Check); ",""))</f>
        <v/>
      </c>
      <c r="BL115" s="73" t="str">
        <f aca="false">IF(BK115="","",IF(OR(N(AP115)&gt;30,AND(AY115="",N(BD115)&gt;15),BF115="Rejected",AND(LEFT(AX115,12)="Short Closed",N(AL115)&gt;0),AND(O115&lt;&gt;"",AY115="",N(AL115)&gt;0,N(BD115)&gt;0)),"High",IF(OR(N(AP115)&gt;0,AND(AY115="",N(BD115)&gt;7),LEFT(AX115,12)="Short Closed",AND(BI115="Awaiting Approval",ISNUMBER(B115),Settings!$B$4-N(B115)&gt;2*Settings!$B$19),AND(BI115="Approved - PO Pending",ISNUMBER(J115),Settings!$B$4-N(J115)&gt;2*Settings!$B$20)),"Medium","Low")))</f>
        <v/>
      </c>
      <c r="BM115" s="77" t="str">
        <f aca="false">IF(BL115="","",IF(BL115="High",1,IF(BL115="Medium",2,3))*10000+ROW())</f>
        <v/>
      </c>
      <c r="BN115" s="62"/>
    </row>
    <row r="116" customFormat="false" ht="18" hidden="false" customHeight="true" outlineLevel="0" collapsed="false">
      <c r="A116" s="60"/>
      <c r="B116" s="61"/>
      <c r="C116" s="62"/>
      <c r="D116" s="62"/>
      <c r="E116" s="62"/>
      <c r="F116" s="62"/>
      <c r="G116" s="62"/>
      <c r="H116" s="60"/>
      <c r="I116" s="60"/>
      <c r="J116" s="61"/>
      <c r="K116" s="60"/>
      <c r="L116" s="60"/>
      <c r="M116" s="62"/>
      <c r="N116" s="60"/>
      <c r="O116" s="60"/>
      <c r="P116" s="61"/>
      <c r="Q116" s="63"/>
      <c r="R116" s="60"/>
      <c r="S116" s="64"/>
      <c r="T116" s="60"/>
      <c r="U116" s="65" t="str">
        <f aca="false">IF(AND(T116="",S116=""),"",IF(T116="",1,IFERROR(INDEX(Settings!$B$12:$B$16,MATCH(T116,Settings!$A$12:$A$16,0)),1)))</f>
        <v/>
      </c>
      <c r="V116" s="64"/>
      <c r="W116" s="66" t="str">
        <f aca="false">IF(OR(Q116="",S116=""),"",Q116*S116*U116)</f>
        <v/>
      </c>
      <c r="X116" s="65" t="str">
        <f aca="false">IF(OR(W116="",N(Q116)=0),"",W116/Q116)</f>
        <v/>
      </c>
      <c r="Y116" s="65" t="str">
        <f aca="false">IF(OR(X116="",P116="",E116=""),"",IF(_xlfn.MAXIFS($P$6:$P$205,$E$6:$E$205,E116,$P$6:$P$205,"&lt;"&amp;P116,$X$6:$X$205,"&gt;0")=0,"",IFERROR(AVERAGEIFS($X$6:$X$205,$E$6:$E$205,E116,$P$6:$P$205,_xlfn.MAXIFS($P$6:$P$205,$E$6:$E$205,E116,$P$6:$P$205,"&lt;"&amp;P116,$X$6:$X$205,"&gt;0"),$X$6:$X$205,"&gt;0"),"")))</f>
        <v/>
      </c>
      <c r="Z116" s="67" t="str">
        <f aca="false">IF(OR(Y116="",X116=""),"",X116/Y116-1)</f>
        <v/>
      </c>
      <c r="AA116" s="68" t="str">
        <f aca="false">IF(OR(W116="",V116=""),"",W116-Q116*V116)</f>
        <v/>
      </c>
      <c r="AB116" s="69" t="str">
        <f aca="false">IF(AA116="","",IF(N(V116)*N(Q116)=0,"",AA116/(Q116*V116)))</f>
        <v/>
      </c>
      <c r="AC116" s="70"/>
      <c r="AD116" s="66" t="str">
        <f aca="false">IF(W116="","",W116*(1+N(AC116)))</f>
        <v/>
      </c>
      <c r="AE116" s="62"/>
      <c r="AF116" s="71"/>
      <c r="AG116" s="71"/>
      <c r="AH116" s="71"/>
      <c r="AI116" s="66" t="str">
        <f aca="false">IF(A116="","",N(AF116)+N(AG116)+N(AH116))</f>
        <v/>
      </c>
      <c r="AJ116" s="72" t="str">
        <f aca="false">IF(AD116="","",IF(N(AD116)=0,"",AI116/AD116))</f>
        <v/>
      </c>
      <c r="AK116" s="66" t="str">
        <f aca="false">IF(AD116="","",IF(AD116-AI116&lt;1,0,ROUND(AD116-AI116,2)))</f>
        <v/>
      </c>
      <c r="AL116" s="66" t="str">
        <f aca="false">IF(OR(O116="",AD116=""),"",MAX(0,ROUND(N(AI116)-(AD116-N(AW116)),0)))</f>
        <v/>
      </c>
      <c r="AM116" s="73" t="str">
        <f aca="false">IF(A116="","",IF(O116="","No PO Yet",IF(AI116=0,"Not Paid",IF(N(AJ116)&gt;=0.999,"Fully Paid",IF(N(AG116)+N(AH116)&gt;0,"Partially Paid","Initial / Advance Paid")))))</f>
        <v/>
      </c>
      <c r="AN116" s="61"/>
      <c r="AO116" s="61"/>
      <c r="AP116" s="74" t="str">
        <f aca="false">IF(AK116="","",IF(OR(N(AK116)=0,AO116=""),"",MAX(0,Settings!$B$4-AO116)))</f>
        <v/>
      </c>
      <c r="AQ116" s="73" t="str">
        <f aca="false">IF(AK116="","",IF(N(AK116)&lt;=0,"",IF(AO116="","No Due Date",IF(Settings!$B$4&lt;=AO116,"Not Yet Due",IF(Settings!$B$4-AO116&lt;=30,"1-30 Days",IF(Settings!$B$4-AO116&lt;=60,"31-60 Days",IF(Settings!$B$4-AO116&lt;=90,"61-90 Days","90+ Days")))))))</f>
        <v/>
      </c>
      <c r="AR116" s="61"/>
      <c r="AS116" s="61"/>
      <c r="AT116" s="63"/>
      <c r="AU116" s="72" t="str">
        <f aca="false">IF(Q116="","",IF(N(Q116)=0,"",N(AT116)/Q116))</f>
        <v/>
      </c>
      <c r="AV116" s="75" t="str">
        <f aca="false">IF(OR(A116="",O116="",Q116=""),"",MAX(0,Q116-N(AT116)))</f>
        <v/>
      </c>
      <c r="AW116" s="66" t="str">
        <f aca="false">IF(OR(AV116="",W116=""),"",IF(N(Q116)=0,0,AV116/Q116*AD116))</f>
        <v/>
      </c>
      <c r="AX116" s="76" t="str">
        <f aca="false">IF(A116="","",IF(O116="","No PO Yet",IF(Q116="","Order Qty Missing",IF(N(AT116)&gt;=Q116,IF(N(AT116)&gt;Q116,"All In-house (+"&amp;TEXT(N(AT116)-Q116,"#,##0")&amp;" "&amp;R116&amp;" excess)","All In-house"),IF(AY116&lt;&gt;"","Short Closed - "&amp;TEXT(AV116,"#,##0")&amp;" "&amp;R116&amp;" not received",IF(N(AT116)=0,"Not Started - "&amp;TEXT(AV116,"#,##0")&amp;" "&amp;R116&amp;" pending","Pending "&amp;TEXT(AV116,"#,##0")&amp;" "&amp;R116&amp;" ("&amp;TEXT(AU116,"0%")&amp;" received)"))))))</f>
        <v/>
      </c>
      <c r="AY116" s="61"/>
      <c r="AZ116" s="77" t="str">
        <f aca="false">IF(OR(B116="",J116=""),"",J116-B116)</f>
        <v/>
      </c>
      <c r="BA116" s="77" t="str">
        <f aca="false">IF(OR(J116="",P116=""),"",P116-J116)</f>
        <v/>
      </c>
      <c r="BB116" s="77" t="str">
        <f aca="false">IF(OR(P116="",AY116=""),"",AY116-P116)</f>
        <v/>
      </c>
      <c r="BC116" s="77" t="str">
        <f aca="false">IF(OR(B116="",AY116=""),"",AY116-B116)</f>
        <v/>
      </c>
      <c r="BD116" s="74" t="str">
        <f aca="false">IF(OR(AR116="",O116=""),"",MAX(0,IF(AY116="",Settings!$B$4,AY116)-AR116))</f>
        <v/>
      </c>
      <c r="BE116" s="73" t="str">
        <f aca="false">IF(OR(AY116="",AR116=""),"",IF(AND(AY116&lt;=AR116,N(AU116)&gt;=Settings!$B$6),"OTIF","Not OTIF"))</f>
        <v/>
      </c>
      <c r="BF116" s="60"/>
      <c r="BG116" s="62"/>
      <c r="BH116" s="78"/>
      <c r="BI116" s="76" t="str">
        <f aca="false">IF(A116="","",IF(K116="Rejected","Rejected",IF(K116&lt;&gt;"Approved","Awaiting Approval",IF(O116="","Approved - PO Pending",IF(AY116&lt;&gt;"",IF(N(AJ116)&gt;=0.999,"Closed","In-house Closed - Payment Due"),IF(AS116&lt;&gt;"","Receiving In-house","PO Issued - Awaiting Delivery"))))))</f>
        <v/>
      </c>
      <c r="BJ116" s="76" t="str">
        <f aca="false">IF(A116="","",IF(IF(AND(A116&lt;&gt;"",OR(B116="",C116="",E116="",F116="",H116="")),"PR info missing; ","")&amp;IF(AND(K116="Approved",OR(J116="",I116="")),"Approval ref/date missing; ","")&amp;IF(AND(O116&lt;&gt;"",K116&lt;&gt;"Approved"),"PO without approval; ","")&amp;IF(AND(O116&lt;&gt;"",OR(P116="",M116="",Q116="",S116="",T116="")),"PO details missing; ","")&amp;IF(AND(O116&lt;&gt;"",AR116=""),"Committed date missing; ","")&amp;IF(AND(ISNUMBER(J116),ISNUMBER(B116),N(J116)&lt;N(B116)),"Approval dated before PR; ","")&amp;IF(AND(ISNUMBER(P116),ISNUMBER(J116),N(P116)&lt;N(J116)),"PO dated before approval; ","")&amp;IF(AND(ISNUMBER(AY116),ISNUMBER(AS116),N(AY116)&lt;N(AS116)),"Close before in-house start; ","")&amp;IF(AND(AY116&lt;&gt;"",AS116=""),"In-house start date missing; ","")&amp;IF(AND(AY116&lt;&gt;"",AT116=""),"Qty received missing; ","")&amp;IF(AND(AY116&lt;&gt;"",BF116=""),"QC status missing; ","")&amp;IF(N(AT116)&gt;N(Q116)*1.05,"Received &gt; ordered +5%; ","")&amp;IF(AND(N(AI116)&gt;0,AE116=""),"Payment terms missing; ","")&amp;IF(N(AI116)&gt;N(AD116)+1,"Overpaid vs PO; ","")&amp;IF(AND(N(AK116)&gt;0,AY116&lt;&gt;"",AO116=""),"Payment due date missing; ","")="","OK",IF(AND(A116&lt;&gt;"",OR(B116="",C116="",E116="",F116="",H116="")),"PR info missing; ","")&amp;IF(AND(K116="Approved",OR(J116="",I116="")),"Approval ref/date missing; ","")&amp;IF(AND(O116&lt;&gt;"",K116&lt;&gt;"Approved"),"PO without approval; ","")&amp;IF(AND(O116&lt;&gt;"",OR(P116="",M116="",Q116="",S116="",T116="")),"PO details missing; ","")&amp;IF(AND(O116&lt;&gt;"",AR116=""),"Committed date missing; ","")&amp;IF(AND(ISNUMBER(J116),ISNUMBER(B116),N(J116)&lt;N(B116)),"Approval dated before PR; ","")&amp;IF(AND(ISNUMBER(P116),ISNUMBER(J116),N(P116)&lt;N(J116)),"PO dated before approval; ","")&amp;IF(AND(ISNUMBER(AY116),ISNUMBER(AS116),N(AY116)&lt;N(AS116)),"Close before in-house start; ","")&amp;IF(AND(AY116&lt;&gt;"",AS116=""),"In-house start date missing; ","")&amp;IF(AND(AY116&lt;&gt;"",AT116=""),"Qty received missing; ","")&amp;IF(AND(AY116&lt;&gt;"",BF116=""),"QC status missing; ","")&amp;IF(N(AT116)&gt;N(Q116)*1.05,"Received &gt; ordered +5%; ","")&amp;IF(AND(N(AI116)&gt;0,AE116=""),"Payment terms missing; ","")&amp;IF(N(AI116)&gt;N(AD116)+1,"Overpaid vs PO; ","")&amp;IF(AND(N(AK116)&gt;0,AY116&lt;&gt;"",AO116=""),"Payment due date missing; ","")))</f>
        <v/>
      </c>
      <c r="BK116" s="76" t="str">
        <f aca="false">IF(A116="","",IF(N(AP116)&gt;0,"Pay supplier: "&amp;N(AP116)&amp;" days overdue; ","")&amp;IF(AND(O116&lt;&gt;"",AY116="",N(BD116)&gt;0),"Expedite delivery: "&amp;N(BD116)&amp;" days late; ","")&amp;IF(AND(BI116="Awaiting Approval",ISNUMBER(B116),Settings!$B$4-N(B116)&gt;Settings!$B$19),"Get approval: PR waiting "&amp;(Settings!$B$4-N(B116))&amp;" days; ","")&amp;IF(AND(BI116="Approved - PO Pending",ISNUMBER(J116),Settings!$B$4-N(J116)&gt;Settings!$B$20),"Issue PO: approved "&amp;(Settings!$B$4-N(J116))&amp;" days ago; ","")&amp;IF(AND(OR(BI116="Awaiting Approval",BI116="Approved - PO Pending"),N(AB116)&gt;Settings!$B$7),"Negotiate price: "&amp;TEXT(AB116,"0%")&amp;" above budget; ","")&amp;IF(LEFT(AX116,12)="Short Closed","Short closed: claim balance / credit note"&amp;IF(N(AL116)&gt;0," BDT "&amp;TEXT(AL116,"#,##0"),"")&amp;"; ","")&amp;IF(BF116="Rejected","QC rejected: return / replace; ","")&amp;IF(AND(O116&lt;&gt;"",AY116="",N(AL116)&gt;0,N(BD116)&gt;0),"Advance at risk: BDT "&amp;TEXT(AL116,"#,##0")&amp;" paid, goods late; ","")&amp;IF(AND(BJ116&lt;&gt;"",BJ116&lt;&gt;"OK"),"Fix data entry (see Data Check); ",""))</f>
        <v/>
      </c>
      <c r="BL116" s="73" t="str">
        <f aca="false">IF(BK116="","",IF(OR(N(AP116)&gt;30,AND(AY116="",N(BD116)&gt;15),BF116="Rejected",AND(LEFT(AX116,12)="Short Closed",N(AL116)&gt;0),AND(O116&lt;&gt;"",AY116="",N(AL116)&gt;0,N(BD116)&gt;0)),"High",IF(OR(N(AP116)&gt;0,AND(AY116="",N(BD116)&gt;7),LEFT(AX116,12)="Short Closed",AND(BI116="Awaiting Approval",ISNUMBER(B116),Settings!$B$4-N(B116)&gt;2*Settings!$B$19),AND(BI116="Approved - PO Pending",ISNUMBER(J116),Settings!$B$4-N(J116)&gt;2*Settings!$B$20)),"Medium","Low")))</f>
        <v/>
      </c>
      <c r="BM116" s="77" t="str">
        <f aca="false">IF(BL116="","",IF(BL116="High",1,IF(BL116="Medium",2,3))*10000+ROW())</f>
        <v/>
      </c>
      <c r="BN116" s="62"/>
    </row>
    <row r="117" customFormat="false" ht="18" hidden="false" customHeight="true" outlineLevel="0" collapsed="false">
      <c r="A117" s="60"/>
      <c r="B117" s="61"/>
      <c r="C117" s="62"/>
      <c r="D117" s="62"/>
      <c r="E117" s="62"/>
      <c r="F117" s="62"/>
      <c r="G117" s="62"/>
      <c r="H117" s="60"/>
      <c r="I117" s="60"/>
      <c r="J117" s="61"/>
      <c r="K117" s="60"/>
      <c r="L117" s="60"/>
      <c r="M117" s="62"/>
      <c r="N117" s="60"/>
      <c r="O117" s="60"/>
      <c r="P117" s="61"/>
      <c r="Q117" s="63"/>
      <c r="R117" s="60"/>
      <c r="S117" s="64"/>
      <c r="T117" s="60"/>
      <c r="U117" s="65" t="str">
        <f aca="false">IF(AND(T117="",S117=""),"",IF(T117="",1,IFERROR(INDEX(Settings!$B$12:$B$16,MATCH(T117,Settings!$A$12:$A$16,0)),1)))</f>
        <v/>
      </c>
      <c r="V117" s="64"/>
      <c r="W117" s="66" t="str">
        <f aca="false">IF(OR(Q117="",S117=""),"",Q117*S117*U117)</f>
        <v/>
      </c>
      <c r="X117" s="65" t="str">
        <f aca="false">IF(OR(W117="",N(Q117)=0),"",W117/Q117)</f>
        <v/>
      </c>
      <c r="Y117" s="65" t="str">
        <f aca="false">IF(OR(X117="",P117="",E117=""),"",IF(_xlfn.MAXIFS($P$6:$P$205,$E$6:$E$205,E117,$P$6:$P$205,"&lt;"&amp;P117,$X$6:$X$205,"&gt;0")=0,"",IFERROR(AVERAGEIFS($X$6:$X$205,$E$6:$E$205,E117,$P$6:$P$205,_xlfn.MAXIFS($P$6:$P$205,$E$6:$E$205,E117,$P$6:$P$205,"&lt;"&amp;P117,$X$6:$X$205,"&gt;0"),$X$6:$X$205,"&gt;0"),"")))</f>
        <v/>
      </c>
      <c r="Z117" s="67" t="str">
        <f aca="false">IF(OR(Y117="",X117=""),"",X117/Y117-1)</f>
        <v/>
      </c>
      <c r="AA117" s="68" t="str">
        <f aca="false">IF(OR(W117="",V117=""),"",W117-Q117*V117)</f>
        <v/>
      </c>
      <c r="AB117" s="69" t="str">
        <f aca="false">IF(AA117="","",IF(N(V117)*N(Q117)=0,"",AA117/(Q117*V117)))</f>
        <v/>
      </c>
      <c r="AC117" s="70"/>
      <c r="AD117" s="66" t="str">
        <f aca="false">IF(W117="","",W117*(1+N(AC117)))</f>
        <v/>
      </c>
      <c r="AE117" s="62"/>
      <c r="AF117" s="71"/>
      <c r="AG117" s="71"/>
      <c r="AH117" s="71"/>
      <c r="AI117" s="66" t="str">
        <f aca="false">IF(A117="","",N(AF117)+N(AG117)+N(AH117))</f>
        <v/>
      </c>
      <c r="AJ117" s="72" t="str">
        <f aca="false">IF(AD117="","",IF(N(AD117)=0,"",AI117/AD117))</f>
        <v/>
      </c>
      <c r="AK117" s="66" t="str">
        <f aca="false">IF(AD117="","",IF(AD117-AI117&lt;1,0,ROUND(AD117-AI117,2)))</f>
        <v/>
      </c>
      <c r="AL117" s="66" t="str">
        <f aca="false">IF(OR(O117="",AD117=""),"",MAX(0,ROUND(N(AI117)-(AD117-N(AW117)),0)))</f>
        <v/>
      </c>
      <c r="AM117" s="73" t="str">
        <f aca="false">IF(A117="","",IF(O117="","No PO Yet",IF(AI117=0,"Not Paid",IF(N(AJ117)&gt;=0.999,"Fully Paid",IF(N(AG117)+N(AH117)&gt;0,"Partially Paid","Initial / Advance Paid")))))</f>
        <v/>
      </c>
      <c r="AN117" s="61"/>
      <c r="AO117" s="61"/>
      <c r="AP117" s="74" t="str">
        <f aca="false">IF(AK117="","",IF(OR(N(AK117)=0,AO117=""),"",MAX(0,Settings!$B$4-AO117)))</f>
        <v/>
      </c>
      <c r="AQ117" s="73" t="str">
        <f aca="false">IF(AK117="","",IF(N(AK117)&lt;=0,"",IF(AO117="","No Due Date",IF(Settings!$B$4&lt;=AO117,"Not Yet Due",IF(Settings!$B$4-AO117&lt;=30,"1-30 Days",IF(Settings!$B$4-AO117&lt;=60,"31-60 Days",IF(Settings!$B$4-AO117&lt;=90,"61-90 Days","90+ Days")))))))</f>
        <v/>
      </c>
      <c r="AR117" s="61"/>
      <c r="AS117" s="61"/>
      <c r="AT117" s="63"/>
      <c r="AU117" s="72" t="str">
        <f aca="false">IF(Q117="","",IF(N(Q117)=0,"",N(AT117)/Q117))</f>
        <v/>
      </c>
      <c r="AV117" s="75" t="str">
        <f aca="false">IF(OR(A117="",O117="",Q117=""),"",MAX(0,Q117-N(AT117)))</f>
        <v/>
      </c>
      <c r="AW117" s="66" t="str">
        <f aca="false">IF(OR(AV117="",W117=""),"",IF(N(Q117)=0,0,AV117/Q117*AD117))</f>
        <v/>
      </c>
      <c r="AX117" s="76" t="str">
        <f aca="false">IF(A117="","",IF(O117="","No PO Yet",IF(Q117="","Order Qty Missing",IF(N(AT117)&gt;=Q117,IF(N(AT117)&gt;Q117,"All In-house (+"&amp;TEXT(N(AT117)-Q117,"#,##0")&amp;" "&amp;R117&amp;" excess)","All In-house"),IF(AY117&lt;&gt;"","Short Closed - "&amp;TEXT(AV117,"#,##0")&amp;" "&amp;R117&amp;" not received",IF(N(AT117)=0,"Not Started - "&amp;TEXT(AV117,"#,##0")&amp;" "&amp;R117&amp;" pending","Pending "&amp;TEXT(AV117,"#,##0")&amp;" "&amp;R117&amp;" ("&amp;TEXT(AU117,"0%")&amp;" received)"))))))</f>
        <v/>
      </c>
      <c r="AY117" s="61"/>
      <c r="AZ117" s="77" t="str">
        <f aca="false">IF(OR(B117="",J117=""),"",J117-B117)</f>
        <v/>
      </c>
      <c r="BA117" s="77" t="str">
        <f aca="false">IF(OR(J117="",P117=""),"",P117-J117)</f>
        <v/>
      </c>
      <c r="BB117" s="77" t="str">
        <f aca="false">IF(OR(P117="",AY117=""),"",AY117-P117)</f>
        <v/>
      </c>
      <c r="BC117" s="77" t="str">
        <f aca="false">IF(OR(B117="",AY117=""),"",AY117-B117)</f>
        <v/>
      </c>
      <c r="BD117" s="74" t="str">
        <f aca="false">IF(OR(AR117="",O117=""),"",MAX(0,IF(AY117="",Settings!$B$4,AY117)-AR117))</f>
        <v/>
      </c>
      <c r="BE117" s="73" t="str">
        <f aca="false">IF(OR(AY117="",AR117=""),"",IF(AND(AY117&lt;=AR117,N(AU117)&gt;=Settings!$B$6),"OTIF","Not OTIF"))</f>
        <v/>
      </c>
      <c r="BF117" s="60"/>
      <c r="BG117" s="62"/>
      <c r="BH117" s="78"/>
      <c r="BI117" s="76" t="str">
        <f aca="false">IF(A117="","",IF(K117="Rejected","Rejected",IF(K117&lt;&gt;"Approved","Awaiting Approval",IF(O117="","Approved - PO Pending",IF(AY117&lt;&gt;"",IF(N(AJ117)&gt;=0.999,"Closed","In-house Closed - Payment Due"),IF(AS117&lt;&gt;"","Receiving In-house","PO Issued - Awaiting Delivery"))))))</f>
        <v/>
      </c>
      <c r="BJ117" s="76" t="str">
        <f aca="false">IF(A117="","",IF(IF(AND(A117&lt;&gt;"",OR(B117="",C117="",E117="",F117="",H117="")),"PR info missing; ","")&amp;IF(AND(K117="Approved",OR(J117="",I117="")),"Approval ref/date missing; ","")&amp;IF(AND(O117&lt;&gt;"",K117&lt;&gt;"Approved"),"PO without approval; ","")&amp;IF(AND(O117&lt;&gt;"",OR(P117="",M117="",Q117="",S117="",T117="")),"PO details missing; ","")&amp;IF(AND(O117&lt;&gt;"",AR117=""),"Committed date missing; ","")&amp;IF(AND(ISNUMBER(J117),ISNUMBER(B117),N(J117)&lt;N(B117)),"Approval dated before PR; ","")&amp;IF(AND(ISNUMBER(P117),ISNUMBER(J117),N(P117)&lt;N(J117)),"PO dated before approval; ","")&amp;IF(AND(ISNUMBER(AY117),ISNUMBER(AS117),N(AY117)&lt;N(AS117)),"Close before in-house start; ","")&amp;IF(AND(AY117&lt;&gt;"",AS117=""),"In-house start date missing; ","")&amp;IF(AND(AY117&lt;&gt;"",AT117=""),"Qty received missing; ","")&amp;IF(AND(AY117&lt;&gt;"",BF117=""),"QC status missing; ","")&amp;IF(N(AT117)&gt;N(Q117)*1.05,"Received &gt; ordered +5%; ","")&amp;IF(AND(N(AI117)&gt;0,AE117=""),"Payment terms missing; ","")&amp;IF(N(AI117)&gt;N(AD117)+1,"Overpaid vs PO; ","")&amp;IF(AND(N(AK117)&gt;0,AY117&lt;&gt;"",AO117=""),"Payment due date missing; ","")="","OK",IF(AND(A117&lt;&gt;"",OR(B117="",C117="",E117="",F117="",H117="")),"PR info missing; ","")&amp;IF(AND(K117="Approved",OR(J117="",I117="")),"Approval ref/date missing; ","")&amp;IF(AND(O117&lt;&gt;"",K117&lt;&gt;"Approved"),"PO without approval; ","")&amp;IF(AND(O117&lt;&gt;"",OR(P117="",M117="",Q117="",S117="",T117="")),"PO details missing; ","")&amp;IF(AND(O117&lt;&gt;"",AR117=""),"Committed date missing; ","")&amp;IF(AND(ISNUMBER(J117),ISNUMBER(B117),N(J117)&lt;N(B117)),"Approval dated before PR; ","")&amp;IF(AND(ISNUMBER(P117),ISNUMBER(J117),N(P117)&lt;N(J117)),"PO dated before approval; ","")&amp;IF(AND(ISNUMBER(AY117),ISNUMBER(AS117),N(AY117)&lt;N(AS117)),"Close before in-house start; ","")&amp;IF(AND(AY117&lt;&gt;"",AS117=""),"In-house start date missing; ","")&amp;IF(AND(AY117&lt;&gt;"",AT117=""),"Qty received missing; ","")&amp;IF(AND(AY117&lt;&gt;"",BF117=""),"QC status missing; ","")&amp;IF(N(AT117)&gt;N(Q117)*1.05,"Received &gt; ordered +5%; ","")&amp;IF(AND(N(AI117)&gt;0,AE117=""),"Payment terms missing; ","")&amp;IF(N(AI117)&gt;N(AD117)+1,"Overpaid vs PO; ","")&amp;IF(AND(N(AK117)&gt;0,AY117&lt;&gt;"",AO117=""),"Payment due date missing; ","")))</f>
        <v/>
      </c>
      <c r="BK117" s="76" t="str">
        <f aca="false">IF(A117="","",IF(N(AP117)&gt;0,"Pay supplier: "&amp;N(AP117)&amp;" days overdue; ","")&amp;IF(AND(O117&lt;&gt;"",AY117="",N(BD117)&gt;0),"Expedite delivery: "&amp;N(BD117)&amp;" days late; ","")&amp;IF(AND(BI117="Awaiting Approval",ISNUMBER(B117),Settings!$B$4-N(B117)&gt;Settings!$B$19),"Get approval: PR waiting "&amp;(Settings!$B$4-N(B117))&amp;" days; ","")&amp;IF(AND(BI117="Approved - PO Pending",ISNUMBER(J117),Settings!$B$4-N(J117)&gt;Settings!$B$20),"Issue PO: approved "&amp;(Settings!$B$4-N(J117))&amp;" days ago; ","")&amp;IF(AND(OR(BI117="Awaiting Approval",BI117="Approved - PO Pending"),N(AB117)&gt;Settings!$B$7),"Negotiate price: "&amp;TEXT(AB117,"0%")&amp;" above budget; ","")&amp;IF(LEFT(AX117,12)="Short Closed","Short closed: claim balance / credit note"&amp;IF(N(AL117)&gt;0," BDT "&amp;TEXT(AL117,"#,##0"),"")&amp;"; ","")&amp;IF(BF117="Rejected","QC rejected: return / replace; ","")&amp;IF(AND(O117&lt;&gt;"",AY117="",N(AL117)&gt;0,N(BD117)&gt;0),"Advance at risk: BDT "&amp;TEXT(AL117,"#,##0")&amp;" paid, goods late; ","")&amp;IF(AND(BJ117&lt;&gt;"",BJ117&lt;&gt;"OK"),"Fix data entry (see Data Check); ",""))</f>
        <v/>
      </c>
      <c r="BL117" s="73" t="str">
        <f aca="false">IF(BK117="","",IF(OR(N(AP117)&gt;30,AND(AY117="",N(BD117)&gt;15),BF117="Rejected",AND(LEFT(AX117,12)="Short Closed",N(AL117)&gt;0),AND(O117&lt;&gt;"",AY117="",N(AL117)&gt;0,N(BD117)&gt;0)),"High",IF(OR(N(AP117)&gt;0,AND(AY117="",N(BD117)&gt;7),LEFT(AX117,12)="Short Closed",AND(BI117="Awaiting Approval",ISNUMBER(B117),Settings!$B$4-N(B117)&gt;2*Settings!$B$19),AND(BI117="Approved - PO Pending",ISNUMBER(J117),Settings!$B$4-N(J117)&gt;2*Settings!$B$20)),"Medium","Low")))</f>
        <v/>
      </c>
      <c r="BM117" s="77" t="str">
        <f aca="false">IF(BL117="","",IF(BL117="High",1,IF(BL117="Medium",2,3))*10000+ROW())</f>
        <v/>
      </c>
      <c r="BN117" s="62"/>
    </row>
    <row r="118" customFormat="false" ht="18" hidden="false" customHeight="true" outlineLevel="0" collapsed="false">
      <c r="A118" s="60"/>
      <c r="B118" s="61"/>
      <c r="C118" s="62"/>
      <c r="D118" s="62"/>
      <c r="E118" s="62"/>
      <c r="F118" s="62"/>
      <c r="G118" s="62"/>
      <c r="H118" s="60"/>
      <c r="I118" s="60"/>
      <c r="J118" s="61"/>
      <c r="K118" s="60"/>
      <c r="L118" s="60"/>
      <c r="M118" s="62"/>
      <c r="N118" s="60"/>
      <c r="O118" s="60"/>
      <c r="P118" s="61"/>
      <c r="Q118" s="63"/>
      <c r="R118" s="60"/>
      <c r="S118" s="64"/>
      <c r="T118" s="60"/>
      <c r="U118" s="65" t="str">
        <f aca="false">IF(AND(T118="",S118=""),"",IF(T118="",1,IFERROR(INDEX(Settings!$B$12:$B$16,MATCH(T118,Settings!$A$12:$A$16,0)),1)))</f>
        <v/>
      </c>
      <c r="V118" s="64"/>
      <c r="W118" s="66" t="str">
        <f aca="false">IF(OR(Q118="",S118=""),"",Q118*S118*U118)</f>
        <v/>
      </c>
      <c r="X118" s="65" t="str">
        <f aca="false">IF(OR(W118="",N(Q118)=0),"",W118/Q118)</f>
        <v/>
      </c>
      <c r="Y118" s="65" t="str">
        <f aca="false">IF(OR(X118="",P118="",E118=""),"",IF(_xlfn.MAXIFS($P$6:$P$205,$E$6:$E$205,E118,$P$6:$P$205,"&lt;"&amp;P118,$X$6:$X$205,"&gt;0")=0,"",IFERROR(AVERAGEIFS($X$6:$X$205,$E$6:$E$205,E118,$P$6:$P$205,_xlfn.MAXIFS($P$6:$P$205,$E$6:$E$205,E118,$P$6:$P$205,"&lt;"&amp;P118,$X$6:$X$205,"&gt;0"),$X$6:$X$205,"&gt;0"),"")))</f>
        <v/>
      </c>
      <c r="Z118" s="67" t="str">
        <f aca="false">IF(OR(Y118="",X118=""),"",X118/Y118-1)</f>
        <v/>
      </c>
      <c r="AA118" s="68" t="str">
        <f aca="false">IF(OR(W118="",V118=""),"",W118-Q118*V118)</f>
        <v/>
      </c>
      <c r="AB118" s="69" t="str">
        <f aca="false">IF(AA118="","",IF(N(V118)*N(Q118)=0,"",AA118/(Q118*V118)))</f>
        <v/>
      </c>
      <c r="AC118" s="70"/>
      <c r="AD118" s="66" t="str">
        <f aca="false">IF(W118="","",W118*(1+N(AC118)))</f>
        <v/>
      </c>
      <c r="AE118" s="62"/>
      <c r="AF118" s="71"/>
      <c r="AG118" s="71"/>
      <c r="AH118" s="71"/>
      <c r="AI118" s="66" t="str">
        <f aca="false">IF(A118="","",N(AF118)+N(AG118)+N(AH118))</f>
        <v/>
      </c>
      <c r="AJ118" s="72" t="str">
        <f aca="false">IF(AD118="","",IF(N(AD118)=0,"",AI118/AD118))</f>
        <v/>
      </c>
      <c r="AK118" s="66" t="str">
        <f aca="false">IF(AD118="","",IF(AD118-AI118&lt;1,0,ROUND(AD118-AI118,2)))</f>
        <v/>
      </c>
      <c r="AL118" s="66" t="str">
        <f aca="false">IF(OR(O118="",AD118=""),"",MAX(0,ROUND(N(AI118)-(AD118-N(AW118)),0)))</f>
        <v/>
      </c>
      <c r="AM118" s="73" t="str">
        <f aca="false">IF(A118="","",IF(O118="","No PO Yet",IF(AI118=0,"Not Paid",IF(N(AJ118)&gt;=0.999,"Fully Paid",IF(N(AG118)+N(AH118)&gt;0,"Partially Paid","Initial / Advance Paid")))))</f>
        <v/>
      </c>
      <c r="AN118" s="61"/>
      <c r="AO118" s="61"/>
      <c r="AP118" s="74" t="str">
        <f aca="false">IF(AK118="","",IF(OR(N(AK118)=0,AO118=""),"",MAX(0,Settings!$B$4-AO118)))</f>
        <v/>
      </c>
      <c r="AQ118" s="73" t="str">
        <f aca="false">IF(AK118="","",IF(N(AK118)&lt;=0,"",IF(AO118="","No Due Date",IF(Settings!$B$4&lt;=AO118,"Not Yet Due",IF(Settings!$B$4-AO118&lt;=30,"1-30 Days",IF(Settings!$B$4-AO118&lt;=60,"31-60 Days",IF(Settings!$B$4-AO118&lt;=90,"61-90 Days","90+ Days")))))))</f>
        <v/>
      </c>
      <c r="AR118" s="61"/>
      <c r="AS118" s="61"/>
      <c r="AT118" s="63"/>
      <c r="AU118" s="72" t="str">
        <f aca="false">IF(Q118="","",IF(N(Q118)=0,"",N(AT118)/Q118))</f>
        <v/>
      </c>
      <c r="AV118" s="75" t="str">
        <f aca="false">IF(OR(A118="",O118="",Q118=""),"",MAX(0,Q118-N(AT118)))</f>
        <v/>
      </c>
      <c r="AW118" s="66" t="str">
        <f aca="false">IF(OR(AV118="",W118=""),"",IF(N(Q118)=0,0,AV118/Q118*AD118))</f>
        <v/>
      </c>
      <c r="AX118" s="76" t="str">
        <f aca="false">IF(A118="","",IF(O118="","No PO Yet",IF(Q118="","Order Qty Missing",IF(N(AT118)&gt;=Q118,IF(N(AT118)&gt;Q118,"All In-house (+"&amp;TEXT(N(AT118)-Q118,"#,##0")&amp;" "&amp;R118&amp;" excess)","All In-house"),IF(AY118&lt;&gt;"","Short Closed - "&amp;TEXT(AV118,"#,##0")&amp;" "&amp;R118&amp;" not received",IF(N(AT118)=0,"Not Started - "&amp;TEXT(AV118,"#,##0")&amp;" "&amp;R118&amp;" pending","Pending "&amp;TEXT(AV118,"#,##0")&amp;" "&amp;R118&amp;" ("&amp;TEXT(AU118,"0%")&amp;" received)"))))))</f>
        <v/>
      </c>
      <c r="AY118" s="61"/>
      <c r="AZ118" s="77" t="str">
        <f aca="false">IF(OR(B118="",J118=""),"",J118-B118)</f>
        <v/>
      </c>
      <c r="BA118" s="77" t="str">
        <f aca="false">IF(OR(J118="",P118=""),"",P118-J118)</f>
        <v/>
      </c>
      <c r="BB118" s="77" t="str">
        <f aca="false">IF(OR(P118="",AY118=""),"",AY118-P118)</f>
        <v/>
      </c>
      <c r="BC118" s="77" t="str">
        <f aca="false">IF(OR(B118="",AY118=""),"",AY118-B118)</f>
        <v/>
      </c>
      <c r="BD118" s="74" t="str">
        <f aca="false">IF(OR(AR118="",O118=""),"",MAX(0,IF(AY118="",Settings!$B$4,AY118)-AR118))</f>
        <v/>
      </c>
      <c r="BE118" s="73" t="str">
        <f aca="false">IF(OR(AY118="",AR118=""),"",IF(AND(AY118&lt;=AR118,N(AU118)&gt;=Settings!$B$6),"OTIF","Not OTIF"))</f>
        <v/>
      </c>
      <c r="BF118" s="60"/>
      <c r="BG118" s="62"/>
      <c r="BH118" s="78"/>
      <c r="BI118" s="76" t="str">
        <f aca="false">IF(A118="","",IF(K118="Rejected","Rejected",IF(K118&lt;&gt;"Approved","Awaiting Approval",IF(O118="","Approved - PO Pending",IF(AY118&lt;&gt;"",IF(N(AJ118)&gt;=0.999,"Closed","In-house Closed - Payment Due"),IF(AS118&lt;&gt;"","Receiving In-house","PO Issued - Awaiting Delivery"))))))</f>
        <v/>
      </c>
      <c r="BJ118" s="76" t="str">
        <f aca="false">IF(A118="","",IF(IF(AND(A118&lt;&gt;"",OR(B118="",C118="",E118="",F118="",H118="")),"PR info missing; ","")&amp;IF(AND(K118="Approved",OR(J118="",I118="")),"Approval ref/date missing; ","")&amp;IF(AND(O118&lt;&gt;"",K118&lt;&gt;"Approved"),"PO without approval; ","")&amp;IF(AND(O118&lt;&gt;"",OR(P118="",M118="",Q118="",S118="",T118="")),"PO details missing; ","")&amp;IF(AND(O118&lt;&gt;"",AR118=""),"Committed date missing; ","")&amp;IF(AND(ISNUMBER(J118),ISNUMBER(B118),N(J118)&lt;N(B118)),"Approval dated before PR; ","")&amp;IF(AND(ISNUMBER(P118),ISNUMBER(J118),N(P118)&lt;N(J118)),"PO dated before approval; ","")&amp;IF(AND(ISNUMBER(AY118),ISNUMBER(AS118),N(AY118)&lt;N(AS118)),"Close before in-house start; ","")&amp;IF(AND(AY118&lt;&gt;"",AS118=""),"In-house start date missing; ","")&amp;IF(AND(AY118&lt;&gt;"",AT118=""),"Qty received missing; ","")&amp;IF(AND(AY118&lt;&gt;"",BF118=""),"QC status missing; ","")&amp;IF(N(AT118)&gt;N(Q118)*1.05,"Received &gt; ordered +5%; ","")&amp;IF(AND(N(AI118)&gt;0,AE118=""),"Payment terms missing; ","")&amp;IF(N(AI118)&gt;N(AD118)+1,"Overpaid vs PO; ","")&amp;IF(AND(N(AK118)&gt;0,AY118&lt;&gt;"",AO118=""),"Payment due date missing; ","")="","OK",IF(AND(A118&lt;&gt;"",OR(B118="",C118="",E118="",F118="",H118="")),"PR info missing; ","")&amp;IF(AND(K118="Approved",OR(J118="",I118="")),"Approval ref/date missing; ","")&amp;IF(AND(O118&lt;&gt;"",K118&lt;&gt;"Approved"),"PO without approval; ","")&amp;IF(AND(O118&lt;&gt;"",OR(P118="",M118="",Q118="",S118="",T118="")),"PO details missing; ","")&amp;IF(AND(O118&lt;&gt;"",AR118=""),"Committed date missing; ","")&amp;IF(AND(ISNUMBER(J118),ISNUMBER(B118),N(J118)&lt;N(B118)),"Approval dated before PR; ","")&amp;IF(AND(ISNUMBER(P118),ISNUMBER(J118),N(P118)&lt;N(J118)),"PO dated before approval; ","")&amp;IF(AND(ISNUMBER(AY118),ISNUMBER(AS118),N(AY118)&lt;N(AS118)),"Close before in-house start; ","")&amp;IF(AND(AY118&lt;&gt;"",AS118=""),"In-house start date missing; ","")&amp;IF(AND(AY118&lt;&gt;"",AT118=""),"Qty received missing; ","")&amp;IF(AND(AY118&lt;&gt;"",BF118=""),"QC status missing; ","")&amp;IF(N(AT118)&gt;N(Q118)*1.05,"Received &gt; ordered +5%; ","")&amp;IF(AND(N(AI118)&gt;0,AE118=""),"Payment terms missing; ","")&amp;IF(N(AI118)&gt;N(AD118)+1,"Overpaid vs PO; ","")&amp;IF(AND(N(AK118)&gt;0,AY118&lt;&gt;"",AO118=""),"Payment due date missing; ","")))</f>
        <v/>
      </c>
      <c r="BK118" s="76" t="str">
        <f aca="false">IF(A118="","",IF(N(AP118)&gt;0,"Pay supplier: "&amp;N(AP118)&amp;" days overdue; ","")&amp;IF(AND(O118&lt;&gt;"",AY118="",N(BD118)&gt;0),"Expedite delivery: "&amp;N(BD118)&amp;" days late; ","")&amp;IF(AND(BI118="Awaiting Approval",ISNUMBER(B118),Settings!$B$4-N(B118)&gt;Settings!$B$19),"Get approval: PR waiting "&amp;(Settings!$B$4-N(B118))&amp;" days; ","")&amp;IF(AND(BI118="Approved - PO Pending",ISNUMBER(J118),Settings!$B$4-N(J118)&gt;Settings!$B$20),"Issue PO: approved "&amp;(Settings!$B$4-N(J118))&amp;" days ago; ","")&amp;IF(AND(OR(BI118="Awaiting Approval",BI118="Approved - PO Pending"),N(AB118)&gt;Settings!$B$7),"Negotiate price: "&amp;TEXT(AB118,"0%")&amp;" above budget; ","")&amp;IF(LEFT(AX118,12)="Short Closed","Short closed: claim balance / credit note"&amp;IF(N(AL118)&gt;0," BDT "&amp;TEXT(AL118,"#,##0"),"")&amp;"; ","")&amp;IF(BF118="Rejected","QC rejected: return / replace; ","")&amp;IF(AND(O118&lt;&gt;"",AY118="",N(AL118)&gt;0,N(BD118)&gt;0),"Advance at risk: BDT "&amp;TEXT(AL118,"#,##0")&amp;" paid, goods late; ","")&amp;IF(AND(BJ118&lt;&gt;"",BJ118&lt;&gt;"OK"),"Fix data entry (see Data Check); ",""))</f>
        <v/>
      </c>
      <c r="BL118" s="73" t="str">
        <f aca="false">IF(BK118="","",IF(OR(N(AP118)&gt;30,AND(AY118="",N(BD118)&gt;15),BF118="Rejected",AND(LEFT(AX118,12)="Short Closed",N(AL118)&gt;0),AND(O118&lt;&gt;"",AY118="",N(AL118)&gt;0,N(BD118)&gt;0)),"High",IF(OR(N(AP118)&gt;0,AND(AY118="",N(BD118)&gt;7),LEFT(AX118,12)="Short Closed",AND(BI118="Awaiting Approval",ISNUMBER(B118),Settings!$B$4-N(B118)&gt;2*Settings!$B$19),AND(BI118="Approved - PO Pending",ISNUMBER(J118),Settings!$B$4-N(J118)&gt;2*Settings!$B$20)),"Medium","Low")))</f>
        <v/>
      </c>
      <c r="BM118" s="77" t="str">
        <f aca="false">IF(BL118="","",IF(BL118="High",1,IF(BL118="Medium",2,3))*10000+ROW())</f>
        <v/>
      </c>
      <c r="BN118" s="62"/>
    </row>
    <row r="119" customFormat="false" ht="18" hidden="false" customHeight="true" outlineLevel="0" collapsed="false">
      <c r="A119" s="60"/>
      <c r="B119" s="61"/>
      <c r="C119" s="62"/>
      <c r="D119" s="62"/>
      <c r="E119" s="62"/>
      <c r="F119" s="62"/>
      <c r="G119" s="62"/>
      <c r="H119" s="60"/>
      <c r="I119" s="60"/>
      <c r="J119" s="61"/>
      <c r="K119" s="60"/>
      <c r="L119" s="60"/>
      <c r="M119" s="62"/>
      <c r="N119" s="60"/>
      <c r="O119" s="60"/>
      <c r="P119" s="61"/>
      <c r="Q119" s="63"/>
      <c r="R119" s="60"/>
      <c r="S119" s="64"/>
      <c r="T119" s="60"/>
      <c r="U119" s="65" t="str">
        <f aca="false">IF(AND(T119="",S119=""),"",IF(T119="",1,IFERROR(INDEX(Settings!$B$12:$B$16,MATCH(T119,Settings!$A$12:$A$16,0)),1)))</f>
        <v/>
      </c>
      <c r="V119" s="64"/>
      <c r="W119" s="66" t="str">
        <f aca="false">IF(OR(Q119="",S119=""),"",Q119*S119*U119)</f>
        <v/>
      </c>
      <c r="X119" s="65" t="str">
        <f aca="false">IF(OR(W119="",N(Q119)=0),"",W119/Q119)</f>
        <v/>
      </c>
      <c r="Y119" s="65" t="str">
        <f aca="false">IF(OR(X119="",P119="",E119=""),"",IF(_xlfn.MAXIFS($P$6:$P$205,$E$6:$E$205,E119,$P$6:$P$205,"&lt;"&amp;P119,$X$6:$X$205,"&gt;0")=0,"",IFERROR(AVERAGEIFS($X$6:$X$205,$E$6:$E$205,E119,$P$6:$P$205,_xlfn.MAXIFS($P$6:$P$205,$E$6:$E$205,E119,$P$6:$P$205,"&lt;"&amp;P119,$X$6:$X$205,"&gt;0"),$X$6:$X$205,"&gt;0"),"")))</f>
        <v/>
      </c>
      <c r="Z119" s="67" t="str">
        <f aca="false">IF(OR(Y119="",X119=""),"",X119/Y119-1)</f>
        <v/>
      </c>
      <c r="AA119" s="68" t="str">
        <f aca="false">IF(OR(W119="",V119=""),"",W119-Q119*V119)</f>
        <v/>
      </c>
      <c r="AB119" s="69" t="str">
        <f aca="false">IF(AA119="","",IF(N(V119)*N(Q119)=0,"",AA119/(Q119*V119)))</f>
        <v/>
      </c>
      <c r="AC119" s="70"/>
      <c r="AD119" s="66" t="str">
        <f aca="false">IF(W119="","",W119*(1+N(AC119)))</f>
        <v/>
      </c>
      <c r="AE119" s="62"/>
      <c r="AF119" s="71"/>
      <c r="AG119" s="71"/>
      <c r="AH119" s="71"/>
      <c r="AI119" s="66" t="str">
        <f aca="false">IF(A119="","",N(AF119)+N(AG119)+N(AH119))</f>
        <v/>
      </c>
      <c r="AJ119" s="72" t="str">
        <f aca="false">IF(AD119="","",IF(N(AD119)=0,"",AI119/AD119))</f>
        <v/>
      </c>
      <c r="AK119" s="66" t="str">
        <f aca="false">IF(AD119="","",IF(AD119-AI119&lt;1,0,ROUND(AD119-AI119,2)))</f>
        <v/>
      </c>
      <c r="AL119" s="66" t="str">
        <f aca="false">IF(OR(O119="",AD119=""),"",MAX(0,ROUND(N(AI119)-(AD119-N(AW119)),0)))</f>
        <v/>
      </c>
      <c r="AM119" s="73" t="str">
        <f aca="false">IF(A119="","",IF(O119="","No PO Yet",IF(AI119=0,"Not Paid",IF(N(AJ119)&gt;=0.999,"Fully Paid",IF(N(AG119)+N(AH119)&gt;0,"Partially Paid","Initial / Advance Paid")))))</f>
        <v/>
      </c>
      <c r="AN119" s="61"/>
      <c r="AO119" s="61"/>
      <c r="AP119" s="74" t="str">
        <f aca="false">IF(AK119="","",IF(OR(N(AK119)=0,AO119=""),"",MAX(0,Settings!$B$4-AO119)))</f>
        <v/>
      </c>
      <c r="AQ119" s="73" t="str">
        <f aca="false">IF(AK119="","",IF(N(AK119)&lt;=0,"",IF(AO119="","No Due Date",IF(Settings!$B$4&lt;=AO119,"Not Yet Due",IF(Settings!$B$4-AO119&lt;=30,"1-30 Days",IF(Settings!$B$4-AO119&lt;=60,"31-60 Days",IF(Settings!$B$4-AO119&lt;=90,"61-90 Days","90+ Days")))))))</f>
        <v/>
      </c>
      <c r="AR119" s="61"/>
      <c r="AS119" s="61"/>
      <c r="AT119" s="63"/>
      <c r="AU119" s="72" t="str">
        <f aca="false">IF(Q119="","",IF(N(Q119)=0,"",N(AT119)/Q119))</f>
        <v/>
      </c>
      <c r="AV119" s="75" t="str">
        <f aca="false">IF(OR(A119="",O119="",Q119=""),"",MAX(0,Q119-N(AT119)))</f>
        <v/>
      </c>
      <c r="AW119" s="66" t="str">
        <f aca="false">IF(OR(AV119="",W119=""),"",IF(N(Q119)=0,0,AV119/Q119*AD119))</f>
        <v/>
      </c>
      <c r="AX119" s="76" t="str">
        <f aca="false">IF(A119="","",IF(O119="","No PO Yet",IF(Q119="","Order Qty Missing",IF(N(AT119)&gt;=Q119,IF(N(AT119)&gt;Q119,"All In-house (+"&amp;TEXT(N(AT119)-Q119,"#,##0")&amp;" "&amp;R119&amp;" excess)","All In-house"),IF(AY119&lt;&gt;"","Short Closed - "&amp;TEXT(AV119,"#,##0")&amp;" "&amp;R119&amp;" not received",IF(N(AT119)=0,"Not Started - "&amp;TEXT(AV119,"#,##0")&amp;" "&amp;R119&amp;" pending","Pending "&amp;TEXT(AV119,"#,##0")&amp;" "&amp;R119&amp;" ("&amp;TEXT(AU119,"0%")&amp;" received)"))))))</f>
        <v/>
      </c>
      <c r="AY119" s="61"/>
      <c r="AZ119" s="77" t="str">
        <f aca="false">IF(OR(B119="",J119=""),"",J119-B119)</f>
        <v/>
      </c>
      <c r="BA119" s="77" t="str">
        <f aca="false">IF(OR(J119="",P119=""),"",P119-J119)</f>
        <v/>
      </c>
      <c r="BB119" s="77" t="str">
        <f aca="false">IF(OR(P119="",AY119=""),"",AY119-P119)</f>
        <v/>
      </c>
      <c r="BC119" s="77" t="str">
        <f aca="false">IF(OR(B119="",AY119=""),"",AY119-B119)</f>
        <v/>
      </c>
      <c r="BD119" s="74" t="str">
        <f aca="false">IF(OR(AR119="",O119=""),"",MAX(0,IF(AY119="",Settings!$B$4,AY119)-AR119))</f>
        <v/>
      </c>
      <c r="BE119" s="73" t="str">
        <f aca="false">IF(OR(AY119="",AR119=""),"",IF(AND(AY119&lt;=AR119,N(AU119)&gt;=Settings!$B$6),"OTIF","Not OTIF"))</f>
        <v/>
      </c>
      <c r="BF119" s="60"/>
      <c r="BG119" s="62"/>
      <c r="BH119" s="78"/>
      <c r="BI119" s="76" t="str">
        <f aca="false">IF(A119="","",IF(K119="Rejected","Rejected",IF(K119&lt;&gt;"Approved","Awaiting Approval",IF(O119="","Approved - PO Pending",IF(AY119&lt;&gt;"",IF(N(AJ119)&gt;=0.999,"Closed","In-house Closed - Payment Due"),IF(AS119&lt;&gt;"","Receiving In-house","PO Issued - Awaiting Delivery"))))))</f>
        <v/>
      </c>
      <c r="BJ119" s="76" t="str">
        <f aca="false">IF(A119="","",IF(IF(AND(A119&lt;&gt;"",OR(B119="",C119="",E119="",F119="",H119="")),"PR info missing; ","")&amp;IF(AND(K119="Approved",OR(J119="",I119="")),"Approval ref/date missing; ","")&amp;IF(AND(O119&lt;&gt;"",K119&lt;&gt;"Approved"),"PO without approval; ","")&amp;IF(AND(O119&lt;&gt;"",OR(P119="",M119="",Q119="",S119="",T119="")),"PO details missing; ","")&amp;IF(AND(O119&lt;&gt;"",AR119=""),"Committed date missing; ","")&amp;IF(AND(ISNUMBER(J119),ISNUMBER(B119),N(J119)&lt;N(B119)),"Approval dated before PR; ","")&amp;IF(AND(ISNUMBER(P119),ISNUMBER(J119),N(P119)&lt;N(J119)),"PO dated before approval; ","")&amp;IF(AND(ISNUMBER(AY119),ISNUMBER(AS119),N(AY119)&lt;N(AS119)),"Close before in-house start; ","")&amp;IF(AND(AY119&lt;&gt;"",AS119=""),"In-house start date missing; ","")&amp;IF(AND(AY119&lt;&gt;"",AT119=""),"Qty received missing; ","")&amp;IF(AND(AY119&lt;&gt;"",BF119=""),"QC status missing; ","")&amp;IF(N(AT119)&gt;N(Q119)*1.05,"Received &gt; ordered +5%; ","")&amp;IF(AND(N(AI119)&gt;0,AE119=""),"Payment terms missing; ","")&amp;IF(N(AI119)&gt;N(AD119)+1,"Overpaid vs PO; ","")&amp;IF(AND(N(AK119)&gt;0,AY119&lt;&gt;"",AO119=""),"Payment due date missing; ","")="","OK",IF(AND(A119&lt;&gt;"",OR(B119="",C119="",E119="",F119="",H119="")),"PR info missing; ","")&amp;IF(AND(K119="Approved",OR(J119="",I119="")),"Approval ref/date missing; ","")&amp;IF(AND(O119&lt;&gt;"",K119&lt;&gt;"Approved"),"PO without approval; ","")&amp;IF(AND(O119&lt;&gt;"",OR(P119="",M119="",Q119="",S119="",T119="")),"PO details missing; ","")&amp;IF(AND(O119&lt;&gt;"",AR119=""),"Committed date missing; ","")&amp;IF(AND(ISNUMBER(J119),ISNUMBER(B119),N(J119)&lt;N(B119)),"Approval dated before PR; ","")&amp;IF(AND(ISNUMBER(P119),ISNUMBER(J119),N(P119)&lt;N(J119)),"PO dated before approval; ","")&amp;IF(AND(ISNUMBER(AY119),ISNUMBER(AS119),N(AY119)&lt;N(AS119)),"Close before in-house start; ","")&amp;IF(AND(AY119&lt;&gt;"",AS119=""),"In-house start date missing; ","")&amp;IF(AND(AY119&lt;&gt;"",AT119=""),"Qty received missing; ","")&amp;IF(AND(AY119&lt;&gt;"",BF119=""),"QC status missing; ","")&amp;IF(N(AT119)&gt;N(Q119)*1.05,"Received &gt; ordered +5%; ","")&amp;IF(AND(N(AI119)&gt;0,AE119=""),"Payment terms missing; ","")&amp;IF(N(AI119)&gt;N(AD119)+1,"Overpaid vs PO; ","")&amp;IF(AND(N(AK119)&gt;0,AY119&lt;&gt;"",AO119=""),"Payment due date missing; ","")))</f>
        <v/>
      </c>
      <c r="BK119" s="76" t="str">
        <f aca="false">IF(A119="","",IF(N(AP119)&gt;0,"Pay supplier: "&amp;N(AP119)&amp;" days overdue; ","")&amp;IF(AND(O119&lt;&gt;"",AY119="",N(BD119)&gt;0),"Expedite delivery: "&amp;N(BD119)&amp;" days late; ","")&amp;IF(AND(BI119="Awaiting Approval",ISNUMBER(B119),Settings!$B$4-N(B119)&gt;Settings!$B$19),"Get approval: PR waiting "&amp;(Settings!$B$4-N(B119))&amp;" days; ","")&amp;IF(AND(BI119="Approved - PO Pending",ISNUMBER(J119),Settings!$B$4-N(J119)&gt;Settings!$B$20),"Issue PO: approved "&amp;(Settings!$B$4-N(J119))&amp;" days ago; ","")&amp;IF(AND(OR(BI119="Awaiting Approval",BI119="Approved - PO Pending"),N(AB119)&gt;Settings!$B$7),"Negotiate price: "&amp;TEXT(AB119,"0%")&amp;" above budget; ","")&amp;IF(LEFT(AX119,12)="Short Closed","Short closed: claim balance / credit note"&amp;IF(N(AL119)&gt;0," BDT "&amp;TEXT(AL119,"#,##0"),"")&amp;"; ","")&amp;IF(BF119="Rejected","QC rejected: return / replace; ","")&amp;IF(AND(O119&lt;&gt;"",AY119="",N(AL119)&gt;0,N(BD119)&gt;0),"Advance at risk: BDT "&amp;TEXT(AL119,"#,##0")&amp;" paid, goods late; ","")&amp;IF(AND(BJ119&lt;&gt;"",BJ119&lt;&gt;"OK"),"Fix data entry (see Data Check); ",""))</f>
        <v/>
      </c>
      <c r="BL119" s="73" t="str">
        <f aca="false">IF(BK119="","",IF(OR(N(AP119)&gt;30,AND(AY119="",N(BD119)&gt;15),BF119="Rejected",AND(LEFT(AX119,12)="Short Closed",N(AL119)&gt;0),AND(O119&lt;&gt;"",AY119="",N(AL119)&gt;0,N(BD119)&gt;0)),"High",IF(OR(N(AP119)&gt;0,AND(AY119="",N(BD119)&gt;7),LEFT(AX119,12)="Short Closed",AND(BI119="Awaiting Approval",ISNUMBER(B119),Settings!$B$4-N(B119)&gt;2*Settings!$B$19),AND(BI119="Approved - PO Pending",ISNUMBER(J119),Settings!$B$4-N(J119)&gt;2*Settings!$B$20)),"Medium","Low")))</f>
        <v/>
      </c>
      <c r="BM119" s="77" t="str">
        <f aca="false">IF(BL119="","",IF(BL119="High",1,IF(BL119="Medium",2,3))*10000+ROW())</f>
        <v/>
      </c>
      <c r="BN119" s="62"/>
    </row>
    <row r="120" customFormat="false" ht="18" hidden="false" customHeight="true" outlineLevel="0" collapsed="false">
      <c r="A120" s="60"/>
      <c r="B120" s="61"/>
      <c r="C120" s="62"/>
      <c r="D120" s="62"/>
      <c r="E120" s="62"/>
      <c r="F120" s="62"/>
      <c r="G120" s="62"/>
      <c r="H120" s="60"/>
      <c r="I120" s="60"/>
      <c r="J120" s="61"/>
      <c r="K120" s="60"/>
      <c r="L120" s="60"/>
      <c r="M120" s="62"/>
      <c r="N120" s="60"/>
      <c r="O120" s="60"/>
      <c r="P120" s="61"/>
      <c r="Q120" s="63"/>
      <c r="R120" s="60"/>
      <c r="S120" s="64"/>
      <c r="T120" s="60"/>
      <c r="U120" s="65" t="str">
        <f aca="false">IF(AND(T120="",S120=""),"",IF(T120="",1,IFERROR(INDEX(Settings!$B$12:$B$16,MATCH(T120,Settings!$A$12:$A$16,0)),1)))</f>
        <v/>
      </c>
      <c r="V120" s="64"/>
      <c r="W120" s="66" t="str">
        <f aca="false">IF(OR(Q120="",S120=""),"",Q120*S120*U120)</f>
        <v/>
      </c>
      <c r="X120" s="65" t="str">
        <f aca="false">IF(OR(W120="",N(Q120)=0),"",W120/Q120)</f>
        <v/>
      </c>
      <c r="Y120" s="65" t="str">
        <f aca="false">IF(OR(X120="",P120="",E120=""),"",IF(_xlfn.MAXIFS($P$6:$P$205,$E$6:$E$205,E120,$P$6:$P$205,"&lt;"&amp;P120,$X$6:$X$205,"&gt;0")=0,"",IFERROR(AVERAGEIFS($X$6:$X$205,$E$6:$E$205,E120,$P$6:$P$205,_xlfn.MAXIFS($P$6:$P$205,$E$6:$E$205,E120,$P$6:$P$205,"&lt;"&amp;P120,$X$6:$X$205,"&gt;0"),$X$6:$X$205,"&gt;0"),"")))</f>
        <v/>
      </c>
      <c r="Z120" s="67" t="str">
        <f aca="false">IF(OR(Y120="",X120=""),"",X120/Y120-1)</f>
        <v/>
      </c>
      <c r="AA120" s="68" t="str">
        <f aca="false">IF(OR(W120="",V120=""),"",W120-Q120*V120)</f>
        <v/>
      </c>
      <c r="AB120" s="69" t="str">
        <f aca="false">IF(AA120="","",IF(N(V120)*N(Q120)=0,"",AA120/(Q120*V120)))</f>
        <v/>
      </c>
      <c r="AC120" s="70"/>
      <c r="AD120" s="66" t="str">
        <f aca="false">IF(W120="","",W120*(1+N(AC120)))</f>
        <v/>
      </c>
      <c r="AE120" s="62"/>
      <c r="AF120" s="71"/>
      <c r="AG120" s="71"/>
      <c r="AH120" s="71"/>
      <c r="AI120" s="66" t="str">
        <f aca="false">IF(A120="","",N(AF120)+N(AG120)+N(AH120))</f>
        <v/>
      </c>
      <c r="AJ120" s="72" t="str">
        <f aca="false">IF(AD120="","",IF(N(AD120)=0,"",AI120/AD120))</f>
        <v/>
      </c>
      <c r="AK120" s="66" t="str">
        <f aca="false">IF(AD120="","",IF(AD120-AI120&lt;1,0,ROUND(AD120-AI120,2)))</f>
        <v/>
      </c>
      <c r="AL120" s="66" t="str">
        <f aca="false">IF(OR(O120="",AD120=""),"",MAX(0,ROUND(N(AI120)-(AD120-N(AW120)),0)))</f>
        <v/>
      </c>
      <c r="AM120" s="73" t="str">
        <f aca="false">IF(A120="","",IF(O120="","No PO Yet",IF(AI120=0,"Not Paid",IF(N(AJ120)&gt;=0.999,"Fully Paid",IF(N(AG120)+N(AH120)&gt;0,"Partially Paid","Initial / Advance Paid")))))</f>
        <v/>
      </c>
      <c r="AN120" s="61"/>
      <c r="AO120" s="61"/>
      <c r="AP120" s="74" t="str">
        <f aca="false">IF(AK120="","",IF(OR(N(AK120)=0,AO120=""),"",MAX(0,Settings!$B$4-AO120)))</f>
        <v/>
      </c>
      <c r="AQ120" s="73" t="str">
        <f aca="false">IF(AK120="","",IF(N(AK120)&lt;=0,"",IF(AO120="","No Due Date",IF(Settings!$B$4&lt;=AO120,"Not Yet Due",IF(Settings!$B$4-AO120&lt;=30,"1-30 Days",IF(Settings!$B$4-AO120&lt;=60,"31-60 Days",IF(Settings!$B$4-AO120&lt;=90,"61-90 Days","90+ Days")))))))</f>
        <v/>
      </c>
      <c r="AR120" s="61"/>
      <c r="AS120" s="61"/>
      <c r="AT120" s="63"/>
      <c r="AU120" s="72" t="str">
        <f aca="false">IF(Q120="","",IF(N(Q120)=0,"",N(AT120)/Q120))</f>
        <v/>
      </c>
      <c r="AV120" s="75" t="str">
        <f aca="false">IF(OR(A120="",O120="",Q120=""),"",MAX(0,Q120-N(AT120)))</f>
        <v/>
      </c>
      <c r="AW120" s="66" t="str">
        <f aca="false">IF(OR(AV120="",W120=""),"",IF(N(Q120)=0,0,AV120/Q120*AD120))</f>
        <v/>
      </c>
      <c r="AX120" s="76" t="str">
        <f aca="false">IF(A120="","",IF(O120="","No PO Yet",IF(Q120="","Order Qty Missing",IF(N(AT120)&gt;=Q120,IF(N(AT120)&gt;Q120,"All In-house (+"&amp;TEXT(N(AT120)-Q120,"#,##0")&amp;" "&amp;R120&amp;" excess)","All In-house"),IF(AY120&lt;&gt;"","Short Closed - "&amp;TEXT(AV120,"#,##0")&amp;" "&amp;R120&amp;" not received",IF(N(AT120)=0,"Not Started - "&amp;TEXT(AV120,"#,##0")&amp;" "&amp;R120&amp;" pending","Pending "&amp;TEXT(AV120,"#,##0")&amp;" "&amp;R120&amp;" ("&amp;TEXT(AU120,"0%")&amp;" received)"))))))</f>
        <v/>
      </c>
      <c r="AY120" s="61"/>
      <c r="AZ120" s="77" t="str">
        <f aca="false">IF(OR(B120="",J120=""),"",J120-B120)</f>
        <v/>
      </c>
      <c r="BA120" s="77" t="str">
        <f aca="false">IF(OR(J120="",P120=""),"",P120-J120)</f>
        <v/>
      </c>
      <c r="BB120" s="77" t="str">
        <f aca="false">IF(OR(P120="",AY120=""),"",AY120-P120)</f>
        <v/>
      </c>
      <c r="BC120" s="77" t="str">
        <f aca="false">IF(OR(B120="",AY120=""),"",AY120-B120)</f>
        <v/>
      </c>
      <c r="BD120" s="74" t="str">
        <f aca="false">IF(OR(AR120="",O120=""),"",MAX(0,IF(AY120="",Settings!$B$4,AY120)-AR120))</f>
        <v/>
      </c>
      <c r="BE120" s="73" t="str">
        <f aca="false">IF(OR(AY120="",AR120=""),"",IF(AND(AY120&lt;=AR120,N(AU120)&gt;=Settings!$B$6),"OTIF","Not OTIF"))</f>
        <v/>
      </c>
      <c r="BF120" s="60"/>
      <c r="BG120" s="62"/>
      <c r="BH120" s="78"/>
      <c r="BI120" s="76" t="str">
        <f aca="false">IF(A120="","",IF(K120="Rejected","Rejected",IF(K120&lt;&gt;"Approved","Awaiting Approval",IF(O120="","Approved - PO Pending",IF(AY120&lt;&gt;"",IF(N(AJ120)&gt;=0.999,"Closed","In-house Closed - Payment Due"),IF(AS120&lt;&gt;"","Receiving In-house","PO Issued - Awaiting Delivery"))))))</f>
        <v/>
      </c>
      <c r="BJ120" s="76" t="str">
        <f aca="false">IF(A120="","",IF(IF(AND(A120&lt;&gt;"",OR(B120="",C120="",E120="",F120="",H120="")),"PR info missing; ","")&amp;IF(AND(K120="Approved",OR(J120="",I120="")),"Approval ref/date missing; ","")&amp;IF(AND(O120&lt;&gt;"",K120&lt;&gt;"Approved"),"PO without approval; ","")&amp;IF(AND(O120&lt;&gt;"",OR(P120="",M120="",Q120="",S120="",T120="")),"PO details missing; ","")&amp;IF(AND(O120&lt;&gt;"",AR120=""),"Committed date missing; ","")&amp;IF(AND(ISNUMBER(J120),ISNUMBER(B120),N(J120)&lt;N(B120)),"Approval dated before PR; ","")&amp;IF(AND(ISNUMBER(P120),ISNUMBER(J120),N(P120)&lt;N(J120)),"PO dated before approval; ","")&amp;IF(AND(ISNUMBER(AY120),ISNUMBER(AS120),N(AY120)&lt;N(AS120)),"Close before in-house start; ","")&amp;IF(AND(AY120&lt;&gt;"",AS120=""),"In-house start date missing; ","")&amp;IF(AND(AY120&lt;&gt;"",AT120=""),"Qty received missing; ","")&amp;IF(AND(AY120&lt;&gt;"",BF120=""),"QC status missing; ","")&amp;IF(N(AT120)&gt;N(Q120)*1.05,"Received &gt; ordered +5%; ","")&amp;IF(AND(N(AI120)&gt;0,AE120=""),"Payment terms missing; ","")&amp;IF(N(AI120)&gt;N(AD120)+1,"Overpaid vs PO; ","")&amp;IF(AND(N(AK120)&gt;0,AY120&lt;&gt;"",AO120=""),"Payment due date missing; ","")="","OK",IF(AND(A120&lt;&gt;"",OR(B120="",C120="",E120="",F120="",H120="")),"PR info missing; ","")&amp;IF(AND(K120="Approved",OR(J120="",I120="")),"Approval ref/date missing; ","")&amp;IF(AND(O120&lt;&gt;"",K120&lt;&gt;"Approved"),"PO without approval; ","")&amp;IF(AND(O120&lt;&gt;"",OR(P120="",M120="",Q120="",S120="",T120="")),"PO details missing; ","")&amp;IF(AND(O120&lt;&gt;"",AR120=""),"Committed date missing; ","")&amp;IF(AND(ISNUMBER(J120),ISNUMBER(B120),N(J120)&lt;N(B120)),"Approval dated before PR; ","")&amp;IF(AND(ISNUMBER(P120),ISNUMBER(J120),N(P120)&lt;N(J120)),"PO dated before approval; ","")&amp;IF(AND(ISNUMBER(AY120),ISNUMBER(AS120),N(AY120)&lt;N(AS120)),"Close before in-house start; ","")&amp;IF(AND(AY120&lt;&gt;"",AS120=""),"In-house start date missing; ","")&amp;IF(AND(AY120&lt;&gt;"",AT120=""),"Qty received missing; ","")&amp;IF(AND(AY120&lt;&gt;"",BF120=""),"QC status missing; ","")&amp;IF(N(AT120)&gt;N(Q120)*1.05,"Received &gt; ordered +5%; ","")&amp;IF(AND(N(AI120)&gt;0,AE120=""),"Payment terms missing; ","")&amp;IF(N(AI120)&gt;N(AD120)+1,"Overpaid vs PO; ","")&amp;IF(AND(N(AK120)&gt;0,AY120&lt;&gt;"",AO120=""),"Payment due date missing; ","")))</f>
        <v/>
      </c>
      <c r="BK120" s="76" t="str">
        <f aca="false">IF(A120="","",IF(N(AP120)&gt;0,"Pay supplier: "&amp;N(AP120)&amp;" days overdue; ","")&amp;IF(AND(O120&lt;&gt;"",AY120="",N(BD120)&gt;0),"Expedite delivery: "&amp;N(BD120)&amp;" days late; ","")&amp;IF(AND(BI120="Awaiting Approval",ISNUMBER(B120),Settings!$B$4-N(B120)&gt;Settings!$B$19),"Get approval: PR waiting "&amp;(Settings!$B$4-N(B120))&amp;" days; ","")&amp;IF(AND(BI120="Approved - PO Pending",ISNUMBER(J120),Settings!$B$4-N(J120)&gt;Settings!$B$20),"Issue PO: approved "&amp;(Settings!$B$4-N(J120))&amp;" days ago; ","")&amp;IF(AND(OR(BI120="Awaiting Approval",BI120="Approved - PO Pending"),N(AB120)&gt;Settings!$B$7),"Negotiate price: "&amp;TEXT(AB120,"0%")&amp;" above budget; ","")&amp;IF(LEFT(AX120,12)="Short Closed","Short closed: claim balance / credit note"&amp;IF(N(AL120)&gt;0," BDT "&amp;TEXT(AL120,"#,##0"),"")&amp;"; ","")&amp;IF(BF120="Rejected","QC rejected: return / replace; ","")&amp;IF(AND(O120&lt;&gt;"",AY120="",N(AL120)&gt;0,N(BD120)&gt;0),"Advance at risk: BDT "&amp;TEXT(AL120,"#,##0")&amp;" paid, goods late; ","")&amp;IF(AND(BJ120&lt;&gt;"",BJ120&lt;&gt;"OK"),"Fix data entry (see Data Check); ",""))</f>
        <v/>
      </c>
      <c r="BL120" s="73" t="str">
        <f aca="false">IF(BK120="","",IF(OR(N(AP120)&gt;30,AND(AY120="",N(BD120)&gt;15),BF120="Rejected",AND(LEFT(AX120,12)="Short Closed",N(AL120)&gt;0),AND(O120&lt;&gt;"",AY120="",N(AL120)&gt;0,N(BD120)&gt;0)),"High",IF(OR(N(AP120)&gt;0,AND(AY120="",N(BD120)&gt;7),LEFT(AX120,12)="Short Closed",AND(BI120="Awaiting Approval",ISNUMBER(B120),Settings!$B$4-N(B120)&gt;2*Settings!$B$19),AND(BI120="Approved - PO Pending",ISNUMBER(J120),Settings!$B$4-N(J120)&gt;2*Settings!$B$20)),"Medium","Low")))</f>
        <v/>
      </c>
      <c r="BM120" s="77" t="str">
        <f aca="false">IF(BL120="","",IF(BL120="High",1,IF(BL120="Medium",2,3))*10000+ROW())</f>
        <v/>
      </c>
      <c r="BN120" s="62"/>
    </row>
    <row r="121" customFormat="false" ht="18" hidden="false" customHeight="true" outlineLevel="0" collapsed="false">
      <c r="A121" s="60"/>
      <c r="B121" s="61"/>
      <c r="C121" s="62"/>
      <c r="D121" s="62"/>
      <c r="E121" s="62"/>
      <c r="F121" s="62"/>
      <c r="G121" s="62"/>
      <c r="H121" s="60"/>
      <c r="I121" s="60"/>
      <c r="J121" s="61"/>
      <c r="K121" s="60"/>
      <c r="L121" s="60"/>
      <c r="M121" s="62"/>
      <c r="N121" s="60"/>
      <c r="O121" s="60"/>
      <c r="P121" s="61"/>
      <c r="Q121" s="63"/>
      <c r="R121" s="60"/>
      <c r="S121" s="64"/>
      <c r="T121" s="60"/>
      <c r="U121" s="65" t="str">
        <f aca="false">IF(AND(T121="",S121=""),"",IF(T121="",1,IFERROR(INDEX(Settings!$B$12:$B$16,MATCH(T121,Settings!$A$12:$A$16,0)),1)))</f>
        <v/>
      </c>
      <c r="V121" s="64"/>
      <c r="W121" s="66" t="str">
        <f aca="false">IF(OR(Q121="",S121=""),"",Q121*S121*U121)</f>
        <v/>
      </c>
      <c r="X121" s="65" t="str">
        <f aca="false">IF(OR(W121="",N(Q121)=0),"",W121/Q121)</f>
        <v/>
      </c>
      <c r="Y121" s="65" t="str">
        <f aca="false">IF(OR(X121="",P121="",E121=""),"",IF(_xlfn.MAXIFS($P$6:$P$205,$E$6:$E$205,E121,$P$6:$P$205,"&lt;"&amp;P121,$X$6:$X$205,"&gt;0")=0,"",IFERROR(AVERAGEIFS($X$6:$X$205,$E$6:$E$205,E121,$P$6:$P$205,_xlfn.MAXIFS($P$6:$P$205,$E$6:$E$205,E121,$P$6:$P$205,"&lt;"&amp;P121,$X$6:$X$205,"&gt;0"),$X$6:$X$205,"&gt;0"),"")))</f>
        <v/>
      </c>
      <c r="Z121" s="67" t="str">
        <f aca="false">IF(OR(Y121="",X121=""),"",X121/Y121-1)</f>
        <v/>
      </c>
      <c r="AA121" s="68" t="str">
        <f aca="false">IF(OR(W121="",V121=""),"",W121-Q121*V121)</f>
        <v/>
      </c>
      <c r="AB121" s="69" t="str">
        <f aca="false">IF(AA121="","",IF(N(V121)*N(Q121)=0,"",AA121/(Q121*V121)))</f>
        <v/>
      </c>
      <c r="AC121" s="70"/>
      <c r="AD121" s="66" t="str">
        <f aca="false">IF(W121="","",W121*(1+N(AC121)))</f>
        <v/>
      </c>
      <c r="AE121" s="62"/>
      <c r="AF121" s="71"/>
      <c r="AG121" s="71"/>
      <c r="AH121" s="71"/>
      <c r="AI121" s="66" t="str">
        <f aca="false">IF(A121="","",N(AF121)+N(AG121)+N(AH121))</f>
        <v/>
      </c>
      <c r="AJ121" s="72" t="str">
        <f aca="false">IF(AD121="","",IF(N(AD121)=0,"",AI121/AD121))</f>
        <v/>
      </c>
      <c r="AK121" s="66" t="str">
        <f aca="false">IF(AD121="","",IF(AD121-AI121&lt;1,0,ROUND(AD121-AI121,2)))</f>
        <v/>
      </c>
      <c r="AL121" s="66" t="str">
        <f aca="false">IF(OR(O121="",AD121=""),"",MAX(0,ROUND(N(AI121)-(AD121-N(AW121)),0)))</f>
        <v/>
      </c>
      <c r="AM121" s="73" t="str">
        <f aca="false">IF(A121="","",IF(O121="","No PO Yet",IF(AI121=0,"Not Paid",IF(N(AJ121)&gt;=0.999,"Fully Paid",IF(N(AG121)+N(AH121)&gt;0,"Partially Paid","Initial / Advance Paid")))))</f>
        <v/>
      </c>
      <c r="AN121" s="61"/>
      <c r="AO121" s="61"/>
      <c r="AP121" s="74" t="str">
        <f aca="false">IF(AK121="","",IF(OR(N(AK121)=0,AO121=""),"",MAX(0,Settings!$B$4-AO121)))</f>
        <v/>
      </c>
      <c r="AQ121" s="73" t="str">
        <f aca="false">IF(AK121="","",IF(N(AK121)&lt;=0,"",IF(AO121="","No Due Date",IF(Settings!$B$4&lt;=AO121,"Not Yet Due",IF(Settings!$B$4-AO121&lt;=30,"1-30 Days",IF(Settings!$B$4-AO121&lt;=60,"31-60 Days",IF(Settings!$B$4-AO121&lt;=90,"61-90 Days","90+ Days")))))))</f>
        <v/>
      </c>
      <c r="AR121" s="61"/>
      <c r="AS121" s="61"/>
      <c r="AT121" s="63"/>
      <c r="AU121" s="72" t="str">
        <f aca="false">IF(Q121="","",IF(N(Q121)=0,"",N(AT121)/Q121))</f>
        <v/>
      </c>
      <c r="AV121" s="75" t="str">
        <f aca="false">IF(OR(A121="",O121="",Q121=""),"",MAX(0,Q121-N(AT121)))</f>
        <v/>
      </c>
      <c r="AW121" s="66" t="str">
        <f aca="false">IF(OR(AV121="",W121=""),"",IF(N(Q121)=0,0,AV121/Q121*AD121))</f>
        <v/>
      </c>
      <c r="AX121" s="76" t="str">
        <f aca="false">IF(A121="","",IF(O121="","No PO Yet",IF(Q121="","Order Qty Missing",IF(N(AT121)&gt;=Q121,IF(N(AT121)&gt;Q121,"All In-house (+"&amp;TEXT(N(AT121)-Q121,"#,##0")&amp;" "&amp;R121&amp;" excess)","All In-house"),IF(AY121&lt;&gt;"","Short Closed - "&amp;TEXT(AV121,"#,##0")&amp;" "&amp;R121&amp;" not received",IF(N(AT121)=0,"Not Started - "&amp;TEXT(AV121,"#,##0")&amp;" "&amp;R121&amp;" pending","Pending "&amp;TEXT(AV121,"#,##0")&amp;" "&amp;R121&amp;" ("&amp;TEXT(AU121,"0%")&amp;" received)"))))))</f>
        <v/>
      </c>
      <c r="AY121" s="61"/>
      <c r="AZ121" s="77" t="str">
        <f aca="false">IF(OR(B121="",J121=""),"",J121-B121)</f>
        <v/>
      </c>
      <c r="BA121" s="77" t="str">
        <f aca="false">IF(OR(J121="",P121=""),"",P121-J121)</f>
        <v/>
      </c>
      <c r="BB121" s="77" t="str">
        <f aca="false">IF(OR(P121="",AY121=""),"",AY121-P121)</f>
        <v/>
      </c>
      <c r="BC121" s="77" t="str">
        <f aca="false">IF(OR(B121="",AY121=""),"",AY121-B121)</f>
        <v/>
      </c>
      <c r="BD121" s="74" t="str">
        <f aca="false">IF(OR(AR121="",O121=""),"",MAX(0,IF(AY121="",Settings!$B$4,AY121)-AR121))</f>
        <v/>
      </c>
      <c r="BE121" s="73" t="str">
        <f aca="false">IF(OR(AY121="",AR121=""),"",IF(AND(AY121&lt;=AR121,N(AU121)&gt;=Settings!$B$6),"OTIF","Not OTIF"))</f>
        <v/>
      </c>
      <c r="BF121" s="60"/>
      <c r="BG121" s="62"/>
      <c r="BH121" s="78"/>
      <c r="BI121" s="76" t="str">
        <f aca="false">IF(A121="","",IF(K121="Rejected","Rejected",IF(K121&lt;&gt;"Approved","Awaiting Approval",IF(O121="","Approved - PO Pending",IF(AY121&lt;&gt;"",IF(N(AJ121)&gt;=0.999,"Closed","In-house Closed - Payment Due"),IF(AS121&lt;&gt;"","Receiving In-house","PO Issued - Awaiting Delivery"))))))</f>
        <v/>
      </c>
      <c r="BJ121" s="76" t="str">
        <f aca="false">IF(A121="","",IF(IF(AND(A121&lt;&gt;"",OR(B121="",C121="",E121="",F121="",H121="")),"PR info missing; ","")&amp;IF(AND(K121="Approved",OR(J121="",I121="")),"Approval ref/date missing; ","")&amp;IF(AND(O121&lt;&gt;"",K121&lt;&gt;"Approved"),"PO without approval; ","")&amp;IF(AND(O121&lt;&gt;"",OR(P121="",M121="",Q121="",S121="",T121="")),"PO details missing; ","")&amp;IF(AND(O121&lt;&gt;"",AR121=""),"Committed date missing; ","")&amp;IF(AND(ISNUMBER(J121),ISNUMBER(B121),N(J121)&lt;N(B121)),"Approval dated before PR; ","")&amp;IF(AND(ISNUMBER(P121),ISNUMBER(J121),N(P121)&lt;N(J121)),"PO dated before approval; ","")&amp;IF(AND(ISNUMBER(AY121),ISNUMBER(AS121),N(AY121)&lt;N(AS121)),"Close before in-house start; ","")&amp;IF(AND(AY121&lt;&gt;"",AS121=""),"In-house start date missing; ","")&amp;IF(AND(AY121&lt;&gt;"",AT121=""),"Qty received missing; ","")&amp;IF(AND(AY121&lt;&gt;"",BF121=""),"QC status missing; ","")&amp;IF(N(AT121)&gt;N(Q121)*1.05,"Received &gt; ordered +5%; ","")&amp;IF(AND(N(AI121)&gt;0,AE121=""),"Payment terms missing; ","")&amp;IF(N(AI121)&gt;N(AD121)+1,"Overpaid vs PO; ","")&amp;IF(AND(N(AK121)&gt;0,AY121&lt;&gt;"",AO121=""),"Payment due date missing; ","")="","OK",IF(AND(A121&lt;&gt;"",OR(B121="",C121="",E121="",F121="",H121="")),"PR info missing; ","")&amp;IF(AND(K121="Approved",OR(J121="",I121="")),"Approval ref/date missing; ","")&amp;IF(AND(O121&lt;&gt;"",K121&lt;&gt;"Approved"),"PO without approval; ","")&amp;IF(AND(O121&lt;&gt;"",OR(P121="",M121="",Q121="",S121="",T121="")),"PO details missing; ","")&amp;IF(AND(O121&lt;&gt;"",AR121=""),"Committed date missing; ","")&amp;IF(AND(ISNUMBER(J121),ISNUMBER(B121),N(J121)&lt;N(B121)),"Approval dated before PR; ","")&amp;IF(AND(ISNUMBER(P121),ISNUMBER(J121),N(P121)&lt;N(J121)),"PO dated before approval; ","")&amp;IF(AND(ISNUMBER(AY121),ISNUMBER(AS121),N(AY121)&lt;N(AS121)),"Close before in-house start; ","")&amp;IF(AND(AY121&lt;&gt;"",AS121=""),"In-house start date missing; ","")&amp;IF(AND(AY121&lt;&gt;"",AT121=""),"Qty received missing; ","")&amp;IF(AND(AY121&lt;&gt;"",BF121=""),"QC status missing; ","")&amp;IF(N(AT121)&gt;N(Q121)*1.05,"Received &gt; ordered +5%; ","")&amp;IF(AND(N(AI121)&gt;0,AE121=""),"Payment terms missing; ","")&amp;IF(N(AI121)&gt;N(AD121)+1,"Overpaid vs PO; ","")&amp;IF(AND(N(AK121)&gt;0,AY121&lt;&gt;"",AO121=""),"Payment due date missing; ","")))</f>
        <v/>
      </c>
      <c r="BK121" s="76" t="str">
        <f aca="false">IF(A121="","",IF(N(AP121)&gt;0,"Pay supplier: "&amp;N(AP121)&amp;" days overdue; ","")&amp;IF(AND(O121&lt;&gt;"",AY121="",N(BD121)&gt;0),"Expedite delivery: "&amp;N(BD121)&amp;" days late; ","")&amp;IF(AND(BI121="Awaiting Approval",ISNUMBER(B121),Settings!$B$4-N(B121)&gt;Settings!$B$19),"Get approval: PR waiting "&amp;(Settings!$B$4-N(B121))&amp;" days; ","")&amp;IF(AND(BI121="Approved - PO Pending",ISNUMBER(J121),Settings!$B$4-N(J121)&gt;Settings!$B$20),"Issue PO: approved "&amp;(Settings!$B$4-N(J121))&amp;" days ago; ","")&amp;IF(AND(OR(BI121="Awaiting Approval",BI121="Approved - PO Pending"),N(AB121)&gt;Settings!$B$7),"Negotiate price: "&amp;TEXT(AB121,"0%")&amp;" above budget; ","")&amp;IF(LEFT(AX121,12)="Short Closed","Short closed: claim balance / credit note"&amp;IF(N(AL121)&gt;0," BDT "&amp;TEXT(AL121,"#,##0"),"")&amp;"; ","")&amp;IF(BF121="Rejected","QC rejected: return / replace; ","")&amp;IF(AND(O121&lt;&gt;"",AY121="",N(AL121)&gt;0,N(BD121)&gt;0),"Advance at risk: BDT "&amp;TEXT(AL121,"#,##0")&amp;" paid, goods late; ","")&amp;IF(AND(BJ121&lt;&gt;"",BJ121&lt;&gt;"OK"),"Fix data entry (see Data Check); ",""))</f>
        <v/>
      </c>
      <c r="BL121" s="73" t="str">
        <f aca="false">IF(BK121="","",IF(OR(N(AP121)&gt;30,AND(AY121="",N(BD121)&gt;15),BF121="Rejected",AND(LEFT(AX121,12)="Short Closed",N(AL121)&gt;0),AND(O121&lt;&gt;"",AY121="",N(AL121)&gt;0,N(BD121)&gt;0)),"High",IF(OR(N(AP121)&gt;0,AND(AY121="",N(BD121)&gt;7),LEFT(AX121,12)="Short Closed",AND(BI121="Awaiting Approval",ISNUMBER(B121),Settings!$B$4-N(B121)&gt;2*Settings!$B$19),AND(BI121="Approved - PO Pending",ISNUMBER(J121),Settings!$B$4-N(J121)&gt;2*Settings!$B$20)),"Medium","Low")))</f>
        <v/>
      </c>
      <c r="BM121" s="77" t="str">
        <f aca="false">IF(BL121="","",IF(BL121="High",1,IF(BL121="Medium",2,3))*10000+ROW())</f>
        <v/>
      </c>
      <c r="BN121" s="62"/>
    </row>
    <row r="122" customFormat="false" ht="18" hidden="false" customHeight="true" outlineLevel="0" collapsed="false">
      <c r="A122" s="60"/>
      <c r="B122" s="61"/>
      <c r="C122" s="62"/>
      <c r="D122" s="62"/>
      <c r="E122" s="62"/>
      <c r="F122" s="62"/>
      <c r="G122" s="62"/>
      <c r="H122" s="60"/>
      <c r="I122" s="60"/>
      <c r="J122" s="61"/>
      <c r="K122" s="60"/>
      <c r="L122" s="60"/>
      <c r="M122" s="62"/>
      <c r="N122" s="60"/>
      <c r="O122" s="60"/>
      <c r="P122" s="61"/>
      <c r="Q122" s="63"/>
      <c r="R122" s="60"/>
      <c r="S122" s="64"/>
      <c r="T122" s="60"/>
      <c r="U122" s="65" t="str">
        <f aca="false">IF(AND(T122="",S122=""),"",IF(T122="",1,IFERROR(INDEX(Settings!$B$12:$B$16,MATCH(T122,Settings!$A$12:$A$16,0)),1)))</f>
        <v/>
      </c>
      <c r="V122" s="64"/>
      <c r="W122" s="66" t="str">
        <f aca="false">IF(OR(Q122="",S122=""),"",Q122*S122*U122)</f>
        <v/>
      </c>
      <c r="X122" s="65" t="str">
        <f aca="false">IF(OR(W122="",N(Q122)=0),"",W122/Q122)</f>
        <v/>
      </c>
      <c r="Y122" s="65" t="str">
        <f aca="false">IF(OR(X122="",P122="",E122=""),"",IF(_xlfn.MAXIFS($P$6:$P$205,$E$6:$E$205,E122,$P$6:$P$205,"&lt;"&amp;P122,$X$6:$X$205,"&gt;0")=0,"",IFERROR(AVERAGEIFS($X$6:$X$205,$E$6:$E$205,E122,$P$6:$P$205,_xlfn.MAXIFS($P$6:$P$205,$E$6:$E$205,E122,$P$6:$P$205,"&lt;"&amp;P122,$X$6:$X$205,"&gt;0"),$X$6:$X$205,"&gt;0"),"")))</f>
        <v/>
      </c>
      <c r="Z122" s="67" t="str">
        <f aca="false">IF(OR(Y122="",X122=""),"",X122/Y122-1)</f>
        <v/>
      </c>
      <c r="AA122" s="68" t="str">
        <f aca="false">IF(OR(W122="",V122=""),"",W122-Q122*V122)</f>
        <v/>
      </c>
      <c r="AB122" s="69" t="str">
        <f aca="false">IF(AA122="","",IF(N(V122)*N(Q122)=0,"",AA122/(Q122*V122)))</f>
        <v/>
      </c>
      <c r="AC122" s="70"/>
      <c r="AD122" s="66" t="str">
        <f aca="false">IF(W122="","",W122*(1+N(AC122)))</f>
        <v/>
      </c>
      <c r="AE122" s="62"/>
      <c r="AF122" s="71"/>
      <c r="AG122" s="71"/>
      <c r="AH122" s="71"/>
      <c r="AI122" s="66" t="str">
        <f aca="false">IF(A122="","",N(AF122)+N(AG122)+N(AH122))</f>
        <v/>
      </c>
      <c r="AJ122" s="72" t="str">
        <f aca="false">IF(AD122="","",IF(N(AD122)=0,"",AI122/AD122))</f>
        <v/>
      </c>
      <c r="AK122" s="66" t="str">
        <f aca="false">IF(AD122="","",IF(AD122-AI122&lt;1,0,ROUND(AD122-AI122,2)))</f>
        <v/>
      </c>
      <c r="AL122" s="66" t="str">
        <f aca="false">IF(OR(O122="",AD122=""),"",MAX(0,ROUND(N(AI122)-(AD122-N(AW122)),0)))</f>
        <v/>
      </c>
      <c r="AM122" s="73" t="str">
        <f aca="false">IF(A122="","",IF(O122="","No PO Yet",IF(AI122=0,"Not Paid",IF(N(AJ122)&gt;=0.999,"Fully Paid",IF(N(AG122)+N(AH122)&gt;0,"Partially Paid","Initial / Advance Paid")))))</f>
        <v/>
      </c>
      <c r="AN122" s="61"/>
      <c r="AO122" s="61"/>
      <c r="AP122" s="74" t="str">
        <f aca="false">IF(AK122="","",IF(OR(N(AK122)=0,AO122=""),"",MAX(0,Settings!$B$4-AO122)))</f>
        <v/>
      </c>
      <c r="AQ122" s="73" t="str">
        <f aca="false">IF(AK122="","",IF(N(AK122)&lt;=0,"",IF(AO122="","No Due Date",IF(Settings!$B$4&lt;=AO122,"Not Yet Due",IF(Settings!$B$4-AO122&lt;=30,"1-30 Days",IF(Settings!$B$4-AO122&lt;=60,"31-60 Days",IF(Settings!$B$4-AO122&lt;=90,"61-90 Days","90+ Days")))))))</f>
        <v/>
      </c>
      <c r="AR122" s="61"/>
      <c r="AS122" s="61"/>
      <c r="AT122" s="63"/>
      <c r="AU122" s="72" t="str">
        <f aca="false">IF(Q122="","",IF(N(Q122)=0,"",N(AT122)/Q122))</f>
        <v/>
      </c>
      <c r="AV122" s="75" t="str">
        <f aca="false">IF(OR(A122="",O122="",Q122=""),"",MAX(0,Q122-N(AT122)))</f>
        <v/>
      </c>
      <c r="AW122" s="66" t="str">
        <f aca="false">IF(OR(AV122="",W122=""),"",IF(N(Q122)=0,0,AV122/Q122*AD122))</f>
        <v/>
      </c>
      <c r="AX122" s="76" t="str">
        <f aca="false">IF(A122="","",IF(O122="","No PO Yet",IF(Q122="","Order Qty Missing",IF(N(AT122)&gt;=Q122,IF(N(AT122)&gt;Q122,"All In-house (+"&amp;TEXT(N(AT122)-Q122,"#,##0")&amp;" "&amp;R122&amp;" excess)","All In-house"),IF(AY122&lt;&gt;"","Short Closed - "&amp;TEXT(AV122,"#,##0")&amp;" "&amp;R122&amp;" not received",IF(N(AT122)=0,"Not Started - "&amp;TEXT(AV122,"#,##0")&amp;" "&amp;R122&amp;" pending","Pending "&amp;TEXT(AV122,"#,##0")&amp;" "&amp;R122&amp;" ("&amp;TEXT(AU122,"0%")&amp;" received)"))))))</f>
        <v/>
      </c>
      <c r="AY122" s="61"/>
      <c r="AZ122" s="77" t="str">
        <f aca="false">IF(OR(B122="",J122=""),"",J122-B122)</f>
        <v/>
      </c>
      <c r="BA122" s="77" t="str">
        <f aca="false">IF(OR(J122="",P122=""),"",P122-J122)</f>
        <v/>
      </c>
      <c r="BB122" s="77" t="str">
        <f aca="false">IF(OR(P122="",AY122=""),"",AY122-P122)</f>
        <v/>
      </c>
      <c r="BC122" s="77" t="str">
        <f aca="false">IF(OR(B122="",AY122=""),"",AY122-B122)</f>
        <v/>
      </c>
      <c r="BD122" s="74" t="str">
        <f aca="false">IF(OR(AR122="",O122=""),"",MAX(0,IF(AY122="",Settings!$B$4,AY122)-AR122))</f>
        <v/>
      </c>
      <c r="BE122" s="73" t="str">
        <f aca="false">IF(OR(AY122="",AR122=""),"",IF(AND(AY122&lt;=AR122,N(AU122)&gt;=Settings!$B$6),"OTIF","Not OTIF"))</f>
        <v/>
      </c>
      <c r="BF122" s="60"/>
      <c r="BG122" s="62"/>
      <c r="BH122" s="78"/>
      <c r="BI122" s="76" t="str">
        <f aca="false">IF(A122="","",IF(K122="Rejected","Rejected",IF(K122&lt;&gt;"Approved","Awaiting Approval",IF(O122="","Approved - PO Pending",IF(AY122&lt;&gt;"",IF(N(AJ122)&gt;=0.999,"Closed","In-house Closed - Payment Due"),IF(AS122&lt;&gt;"","Receiving In-house","PO Issued - Awaiting Delivery"))))))</f>
        <v/>
      </c>
      <c r="BJ122" s="76" t="str">
        <f aca="false">IF(A122="","",IF(IF(AND(A122&lt;&gt;"",OR(B122="",C122="",E122="",F122="",H122="")),"PR info missing; ","")&amp;IF(AND(K122="Approved",OR(J122="",I122="")),"Approval ref/date missing; ","")&amp;IF(AND(O122&lt;&gt;"",K122&lt;&gt;"Approved"),"PO without approval; ","")&amp;IF(AND(O122&lt;&gt;"",OR(P122="",M122="",Q122="",S122="",T122="")),"PO details missing; ","")&amp;IF(AND(O122&lt;&gt;"",AR122=""),"Committed date missing; ","")&amp;IF(AND(ISNUMBER(J122),ISNUMBER(B122),N(J122)&lt;N(B122)),"Approval dated before PR; ","")&amp;IF(AND(ISNUMBER(P122),ISNUMBER(J122),N(P122)&lt;N(J122)),"PO dated before approval; ","")&amp;IF(AND(ISNUMBER(AY122),ISNUMBER(AS122),N(AY122)&lt;N(AS122)),"Close before in-house start; ","")&amp;IF(AND(AY122&lt;&gt;"",AS122=""),"In-house start date missing; ","")&amp;IF(AND(AY122&lt;&gt;"",AT122=""),"Qty received missing; ","")&amp;IF(AND(AY122&lt;&gt;"",BF122=""),"QC status missing; ","")&amp;IF(N(AT122)&gt;N(Q122)*1.05,"Received &gt; ordered +5%; ","")&amp;IF(AND(N(AI122)&gt;0,AE122=""),"Payment terms missing; ","")&amp;IF(N(AI122)&gt;N(AD122)+1,"Overpaid vs PO; ","")&amp;IF(AND(N(AK122)&gt;0,AY122&lt;&gt;"",AO122=""),"Payment due date missing; ","")="","OK",IF(AND(A122&lt;&gt;"",OR(B122="",C122="",E122="",F122="",H122="")),"PR info missing; ","")&amp;IF(AND(K122="Approved",OR(J122="",I122="")),"Approval ref/date missing; ","")&amp;IF(AND(O122&lt;&gt;"",K122&lt;&gt;"Approved"),"PO without approval; ","")&amp;IF(AND(O122&lt;&gt;"",OR(P122="",M122="",Q122="",S122="",T122="")),"PO details missing; ","")&amp;IF(AND(O122&lt;&gt;"",AR122=""),"Committed date missing; ","")&amp;IF(AND(ISNUMBER(J122),ISNUMBER(B122),N(J122)&lt;N(B122)),"Approval dated before PR; ","")&amp;IF(AND(ISNUMBER(P122),ISNUMBER(J122),N(P122)&lt;N(J122)),"PO dated before approval; ","")&amp;IF(AND(ISNUMBER(AY122),ISNUMBER(AS122),N(AY122)&lt;N(AS122)),"Close before in-house start; ","")&amp;IF(AND(AY122&lt;&gt;"",AS122=""),"In-house start date missing; ","")&amp;IF(AND(AY122&lt;&gt;"",AT122=""),"Qty received missing; ","")&amp;IF(AND(AY122&lt;&gt;"",BF122=""),"QC status missing; ","")&amp;IF(N(AT122)&gt;N(Q122)*1.05,"Received &gt; ordered +5%; ","")&amp;IF(AND(N(AI122)&gt;0,AE122=""),"Payment terms missing; ","")&amp;IF(N(AI122)&gt;N(AD122)+1,"Overpaid vs PO; ","")&amp;IF(AND(N(AK122)&gt;0,AY122&lt;&gt;"",AO122=""),"Payment due date missing; ","")))</f>
        <v/>
      </c>
      <c r="BK122" s="76" t="str">
        <f aca="false">IF(A122="","",IF(N(AP122)&gt;0,"Pay supplier: "&amp;N(AP122)&amp;" days overdue; ","")&amp;IF(AND(O122&lt;&gt;"",AY122="",N(BD122)&gt;0),"Expedite delivery: "&amp;N(BD122)&amp;" days late; ","")&amp;IF(AND(BI122="Awaiting Approval",ISNUMBER(B122),Settings!$B$4-N(B122)&gt;Settings!$B$19),"Get approval: PR waiting "&amp;(Settings!$B$4-N(B122))&amp;" days; ","")&amp;IF(AND(BI122="Approved - PO Pending",ISNUMBER(J122),Settings!$B$4-N(J122)&gt;Settings!$B$20),"Issue PO: approved "&amp;(Settings!$B$4-N(J122))&amp;" days ago; ","")&amp;IF(AND(OR(BI122="Awaiting Approval",BI122="Approved - PO Pending"),N(AB122)&gt;Settings!$B$7),"Negotiate price: "&amp;TEXT(AB122,"0%")&amp;" above budget; ","")&amp;IF(LEFT(AX122,12)="Short Closed","Short closed: claim balance / credit note"&amp;IF(N(AL122)&gt;0," BDT "&amp;TEXT(AL122,"#,##0"),"")&amp;"; ","")&amp;IF(BF122="Rejected","QC rejected: return / replace; ","")&amp;IF(AND(O122&lt;&gt;"",AY122="",N(AL122)&gt;0,N(BD122)&gt;0),"Advance at risk: BDT "&amp;TEXT(AL122,"#,##0")&amp;" paid, goods late; ","")&amp;IF(AND(BJ122&lt;&gt;"",BJ122&lt;&gt;"OK"),"Fix data entry (see Data Check); ",""))</f>
        <v/>
      </c>
      <c r="BL122" s="73" t="str">
        <f aca="false">IF(BK122="","",IF(OR(N(AP122)&gt;30,AND(AY122="",N(BD122)&gt;15),BF122="Rejected",AND(LEFT(AX122,12)="Short Closed",N(AL122)&gt;0),AND(O122&lt;&gt;"",AY122="",N(AL122)&gt;0,N(BD122)&gt;0)),"High",IF(OR(N(AP122)&gt;0,AND(AY122="",N(BD122)&gt;7),LEFT(AX122,12)="Short Closed",AND(BI122="Awaiting Approval",ISNUMBER(B122),Settings!$B$4-N(B122)&gt;2*Settings!$B$19),AND(BI122="Approved - PO Pending",ISNUMBER(J122),Settings!$B$4-N(J122)&gt;2*Settings!$B$20)),"Medium","Low")))</f>
        <v/>
      </c>
      <c r="BM122" s="77" t="str">
        <f aca="false">IF(BL122="","",IF(BL122="High",1,IF(BL122="Medium",2,3))*10000+ROW())</f>
        <v/>
      </c>
      <c r="BN122" s="62"/>
    </row>
    <row r="123" customFormat="false" ht="18" hidden="false" customHeight="true" outlineLevel="0" collapsed="false">
      <c r="A123" s="60"/>
      <c r="B123" s="61"/>
      <c r="C123" s="62"/>
      <c r="D123" s="62"/>
      <c r="E123" s="62"/>
      <c r="F123" s="62"/>
      <c r="G123" s="62"/>
      <c r="H123" s="60"/>
      <c r="I123" s="60"/>
      <c r="J123" s="61"/>
      <c r="K123" s="60"/>
      <c r="L123" s="60"/>
      <c r="M123" s="62"/>
      <c r="N123" s="60"/>
      <c r="O123" s="60"/>
      <c r="P123" s="61"/>
      <c r="Q123" s="63"/>
      <c r="R123" s="60"/>
      <c r="S123" s="64"/>
      <c r="T123" s="60"/>
      <c r="U123" s="65" t="str">
        <f aca="false">IF(AND(T123="",S123=""),"",IF(T123="",1,IFERROR(INDEX(Settings!$B$12:$B$16,MATCH(T123,Settings!$A$12:$A$16,0)),1)))</f>
        <v/>
      </c>
      <c r="V123" s="64"/>
      <c r="W123" s="66" t="str">
        <f aca="false">IF(OR(Q123="",S123=""),"",Q123*S123*U123)</f>
        <v/>
      </c>
      <c r="X123" s="65" t="str">
        <f aca="false">IF(OR(W123="",N(Q123)=0),"",W123/Q123)</f>
        <v/>
      </c>
      <c r="Y123" s="65" t="str">
        <f aca="false">IF(OR(X123="",P123="",E123=""),"",IF(_xlfn.MAXIFS($P$6:$P$205,$E$6:$E$205,E123,$P$6:$P$205,"&lt;"&amp;P123,$X$6:$X$205,"&gt;0")=0,"",IFERROR(AVERAGEIFS($X$6:$X$205,$E$6:$E$205,E123,$P$6:$P$205,_xlfn.MAXIFS($P$6:$P$205,$E$6:$E$205,E123,$P$6:$P$205,"&lt;"&amp;P123,$X$6:$X$205,"&gt;0"),$X$6:$X$205,"&gt;0"),"")))</f>
        <v/>
      </c>
      <c r="Z123" s="67" t="str">
        <f aca="false">IF(OR(Y123="",X123=""),"",X123/Y123-1)</f>
        <v/>
      </c>
      <c r="AA123" s="68" t="str">
        <f aca="false">IF(OR(W123="",V123=""),"",W123-Q123*V123)</f>
        <v/>
      </c>
      <c r="AB123" s="69" t="str">
        <f aca="false">IF(AA123="","",IF(N(V123)*N(Q123)=0,"",AA123/(Q123*V123)))</f>
        <v/>
      </c>
      <c r="AC123" s="70"/>
      <c r="AD123" s="66" t="str">
        <f aca="false">IF(W123="","",W123*(1+N(AC123)))</f>
        <v/>
      </c>
      <c r="AE123" s="62"/>
      <c r="AF123" s="71"/>
      <c r="AG123" s="71"/>
      <c r="AH123" s="71"/>
      <c r="AI123" s="66" t="str">
        <f aca="false">IF(A123="","",N(AF123)+N(AG123)+N(AH123))</f>
        <v/>
      </c>
      <c r="AJ123" s="72" t="str">
        <f aca="false">IF(AD123="","",IF(N(AD123)=0,"",AI123/AD123))</f>
        <v/>
      </c>
      <c r="AK123" s="66" t="str">
        <f aca="false">IF(AD123="","",IF(AD123-AI123&lt;1,0,ROUND(AD123-AI123,2)))</f>
        <v/>
      </c>
      <c r="AL123" s="66" t="str">
        <f aca="false">IF(OR(O123="",AD123=""),"",MAX(0,ROUND(N(AI123)-(AD123-N(AW123)),0)))</f>
        <v/>
      </c>
      <c r="AM123" s="73" t="str">
        <f aca="false">IF(A123="","",IF(O123="","No PO Yet",IF(AI123=0,"Not Paid",IF(N(AJ123)&gt;=0.999,"Fully Paid",IF(N(AG123)+N(AH123)&gt;0,"Partially Paid","Initial / Advance Paid")))))</f>
        <v/>
      </c>
      <c r="AN123" s="61"/>
      <c r="AO123" s="61"/>
      <c r="AP123" s="74" t="str">
        <f aca="false">IF(AK123="","",IF(OR(N(AK123)=0,AO123=""),"",MAX(0,Settings!$B$4-AO123)))</f>
        <v/>
      </c>
      <c r="AQ123" s="73" t="str">
        <f aca="false">IF(AK123="","",IF(N(AK123)&lt;=0,"",IF(AO123="","No Due Date",IF(Settings!$B$4&lt;=AO123,"Not Yet Due",IF(Settings!$B$4-AO123&lt;=30,"1-30 Days",IF(Settings!$B$4-AO123&lt;=60,"31-60 Days",IF(Settings!$B$4-AO123&lt;=90,"61-90 Days","90+ Days")))))))</f>
        <v/>
      </c>
      <c r="AR123" s="61"/>
      <c r="AS123" s="61"/>
      <c r="AT123" s="63"/>
      <c r="AU123" s="72" t="str">
        <f aca="false">IF(Q123="","",IF(N(Q123)=0,"",N(AT123)/Q123))</f>
        <v/>
      </c>
      <c r="AV123" s="75" t="str">
        <f aca="false">IF(OR(A123="",O123="",Q123=""),"",MAX(0,Q123-N(AT123)))</f>
        <v/>
      </c>
      <c r="AW123" s="66" t="str">
        <f aca="false">IF(OR(AV123="",W123=""),"",IF(N(Q123)=0,0,AV123/Q123*AD123))</f>
        <v/>
      </c>
      <c r="AX123" s="76" t="str">
        <f aca="false">IF(A123="","",IF(O123="","No PO Yet",IF(Q123="","Order Qty Missing",IF(N(AT123)&gt;=Q123,IF(N(AT123)&gt;Q123,"All In-house (+"&amp;TEXT(N(AT123)-Q123,"#,##0")&amp;" "&amp;R123&amp;" excess)","All In-house"),IF(AY123&lt;&gt;"","Short Closed - "&amp;TEXT(AV123,"#,##0")&amp;" "&amp;R123&amp;" not received",IF(N(AT123)=0,"Not Started - "&amp;TEXT(AV123,"#,##0")&amp;" "&amp;R123&amp;" pending","Pending "&amp;TEXT(AV123,"#,##0")&amp;" "&amp;R123&amp;" ("&amp;TEXT(AU123,"0%")&amp;" received)"))))))</f>
        <v/>
      </c>
      <c r="AY123" s="61"/>
      <c r="AZ123" s="77" t="str">
        <f aca="false">IF(OR(B123="",J123=""),"",J123-B123)</f>
        <v/>
      </c>
      <c r="BA123" s="77" t="str">
        <f aca="false">IF(OR(J123="",P123=""),"",P123-J123)</f>
        <v/>
      </c>
      <c r="BB123" s="77" t="str">
        <f aca="false">IF(OR(P123="",AY123=""),"",AY123-P123)</f>
        <v/>
      </c>
      <c r="BC123" s="77" t="str">
        <f aca="false">IF(OR(B123="",AY123=""),"",AY123-B123)</f>
        <v/>
      </c>
      <c r="BD123" s="74" t="str">
        <f aca="false">IF(OR(AR123="",O123=""),"",MAX(0,IF(AY123="",Settings!$B$4,AY123)-AR123))</f>
        <v/>
      </c>
      <c r="BE123" s="73" t="str">
        <f aca="false">IF(OR(AY123="",AR123=""),"",IF(AND(AY123&lt;=AR123,N(AU123)&gt;=Settings!$B$6),"OTIF","Not OTIF"))</f>
        <v/>
      </c>
      <c r="BF123" s="60"/>
      <c r="BG123" s="62"/>
      <c r="BH123" s="78"/>
      <c r="BI123" s="76" t="str">
        <f aca="false">IF(A123="","",IF(K123="Rejected","Rejected",IF(K123&lt;&gt;"Approved","Awaiting Approval",IF(O123="","Approved - PO Pending",IF(AY123&lt;&gt;"",IF(N(AJ123)&gt;=0.999,"Closed","In-house Closed - Payment Due"),IF(AS123&lt;&gt;"","Receiving In-house","PO Issued - Awaiting Delivery"))))))</f>
        <v/>
      </c>
      <c r="BJ123" s="76" t="str">
        <f aca="false">IF(A123="","",IF(IF(AND(A123&lt;&gt;"",OR(B123="",C123="",E123="",F123="",H123="")),"PR info missing; ","")&amp;IF(AND(K123="Approved",OR(J123="",I123="")),"Approval ref/date missing; ","")&amp;IF(AND(O123&lt;&gt;"",K123&lt;&gt;"Approved"),"PO without approval; ","")&amp;IF(AND(O123&lt;&gt;"",OR(P123="",M123="",Q123="",S123="",T123="")),"PO details missing; ","")&amp;IF(AND(O123&lt;&gt;"",AR123=""),"Committed date missing; ","")&amp;IF(AND(ISNUMBER(J123),ISNUMBER(B123),N(J123)&lt;N(B123)),"Approval dated before PR; ","")&amp;IF(AND(ISNUMBER(P123),ISNUMBER(J123),N(P123)&lt;N(J123)),"PO dated before approval; ","")&amp;IF(AND(ISNUMBER(AY123),ISNUMBER(AS123),N(AY123)&lt;N(AS123)),"Close before in-house start; ","")&amp;IF(AND(AY123&lt;&gt;"",AS123=""),"In-house start date missing; ","")&amp;IF(AND(AY123&lt;&gt;"",AT123=""),"Qty received missing; ","")&amp;IF(AND(AY123&lt;&gt;"",BF123=""),"QC status missing; ","")&amp;IF(N(AT123)&gt;N(Q123)*1.05,"Received &gt; ordered +5%; ","")&amp;IF(AND(N(AI123)&gt;0,AE123=""),"Payment terms missing; ","")&amp;IF(N(AI123)&gt;N(AD123)+1,"Overpaid vs PO; ","")&amp;IF(AND(N(AK123)&gt;0,AY123&lt;&gt;"",AO123=""),"Payment due date missing; ","")="","OK",IF(AND(A123&lt;&gt;"",OR(B123="",C123="",E123="",F123="",H123="")),"PR info missing; ","")&amp;IF(AND(K123="Approved",OR(J123="",I123="")),"Approval ref/date missing; ","")&amp;IF(AND(O123&lt;&gt;"",K123&lt;&gt;"Approved"),"PO without approval; ","")&amp;IF(AND(O123&lt;&gt;"",OR(P123="",M123="",Q123="",S123="",T123="")),"PO details missing; ","")&amp;IF(AND(O123&lt;&gt;"",AR123=""),"Committed date missing; ","")&amp;IF(AND(ISNUMBER(J123),ISNUMBER(B123),N(J123)&lt;N(B123)),"Approval dated before PR; ","")&amp;IF(AND(ISNUMBER(P123),ISNUMBER(J123),N(P123)&lt;N(J123)),"PO dated before approval; ","")&amp;IF(AND(ISNUMBER(AY123),ISNUMBER(AS123),N(AY123)&lt;N(AS123)),"Close before in-house start; ","")&amp;IF(AND(AY123&lt;&gt;"",AS123=""),"In-house start date missing; ","")&amp;IF(AND(AY123&lt;&gt;"",AT123=""),"Qty received missing; ","")&amp;IF(AND(AY123&lt;&gt;"",BF123=""),"QC status missing; ","")&amp;IF(N(AT123)&gt;N(Q123)*1.05,"Received &gt; ordered +5%; ","")&amp;IF(AND(N(AI123)&gt;0,AE123=""),"Payment terms missing; ","")&amp;IF(N(AI123)&gt;N(AD123)+1,"Overpaid vs PO; ","")&amp;IF(AND(N(AK123)&gt;0,AY123&lt;&gt;"",AO123=""),"Payment due date missing; ","")))</f>
        <v/>
      </c>
      <c r="BK123" s="76" t="str">
        <f aca="false">IF(A123="","",IF(N(AP123)&gt;0,"Pay supplier: "&amp;N(AP123)&amp;" days overdue; ","")&amp;IF(AND(O123&lt;&gt;"",AY123="",N(BD123)&gt;0),"Expedite delivery: "&amp;N(BD123)&amp;" days late; ","")&amp;IF(AND(BI123="Awaiting Approval",ISNUMBER(B123),Settings!$B$4-N(B123)&gt;Settings!$B$19),"Get approval: PR waiting "&amp;(Settings!$B$4-N(B123))&amp;" days; ","")&amp;IF(AND(BI123="Approved - PO Pending",ISNUMBER(J123),Settings!$B$4-N(J123)&gt;Settings!$B$20),"Issue PO: approved "&amp;(Settings!$B$4-N(J123))&amp;" days ago; ","")&amp;IF(AND(OR(BI123="Awaiting Approval",BI123="Approved - PO Pending"),N(AB123)&gt;Settings!$B$7),"Negotiate price: "&amp;TEXT(AB123,"0%")&amp;" above budget; ","")&amp;IF(LEFT(AX123,12)="Short Closed","Short closed: claim balance / credit note"&amp;IF(N(AL123)&gt;0," BDT "&amp;TEXT(AL123,"#,##0"),"")&amp;"; ","")&amp;IF(BF123="Rejected","QC rejected: return / replace; ","")&amp;IF(AND(O123&lt;&gt;"",AY123="",N(AL123)&gt;0,N(BD123)&gt;0),"Advance at risk: BDT "&amp;TEXT(AL123,"#,##0")&amp;" paid, goods late; ","")&amp;IF(AND(BJ123&lt;&gt;"",BJ123&lt;&gt;"OK"),"Fix data entry (see Data Check); ",""))</f>
        <v/>
      </c>
      <c r="BL123" s="73" t="str">
        <f aca="false">IF(BK123="","",IF(OR(N(AP123)&gt;30,AND(AY123="",N(BD123)&gt;15),BF123="Rejected",AND(LEFT(AX123,12)="Short Closed",N(AL123)&gt;0),AND(O123&lt;&gt;"",AY123="",N(AL123)&gt;0,N(BD123)&gt;0)),"High",IF(OR(N(AP123)&gt;0,AND(AY123="",N(BD123)&gt;7),LEFT(AX123,12)="Short Closed",AND(BI123="Awaiting Approval",ISNUMBER(B123),Settings!$B$4-N(B123)&gt;2*Settings!$B$19),AND(BI123="Approved - PO Pending",ISNUMBER(J123),Settings!$B$4-N(J123)&gt;2*Settings!$B$20)),"Medium","Low")))</f>
        <v/>
      </c>
      <c r="BM123" s="77" t="str">
        <f aca="false">IF(BL123="","",IF(BL123="High",1,IF(BL123="Medium",2,3))*10000+ROW())</f>
        <v/>
      </c>
      <c r="BN123" s="62"/>
    </row>
    <row r="124" customFormat="false" ht="18" hidden="false" customHeight="true" outlineLevel="0" collapsed="false">
      <c r="A124" s="60"/>
      <c r="B124" s="61"/>
      <c r="C124" s="62"/>
      <c r="D124" s="62"/>
      <c r="E124" s="62"/>
      <c r="F124" s="62"/>
      <c r="G124" s="62"/>
      <c r="H124" s="60"/>
      <c r="I124" s="60"/>
      <c r="J124" s="61"/>
      <c r="K124" s="60"/>
      <c r="L124" s="60"/>
      <c r="M124" s="62"/>
      <c r="N124" s="60"/>
      <c r="O124" s="60"/>
      <c r="P124" s="61"/>
      <c r="Q124" s="63"/>
      <c r="R124" s="60"/>
      <c r="S124" s="64"/>
      <c r="T124" s="60"/>
      <c r="U124" s="65" t="str">
        <f aca="false">IF(AND(T124="",S124=""),"",IF(T124="",1,IFERROR(INDEX(Settings!$B$12:$B$16,MATCH(T124,Settings!$A$12:$A$16,0)),1)))</f>
        <v/>
      </c>
      <c r="V124" s="64"/>
      <c r="W124" s="66" t="str">
        <f aca="false">IF(OR(Q124="",S124=""),"",Q124*S124*U124)</f>
        <v/>
      </c>
      <c r="X124" s="65" t="str">
        <f aca="false">IF(OR(W124="",N(Q124)=0),"",W124/Q124)</f>
        <v/>
      </c>
      <c r="Y124" s="65" t="str">
        <f aca="false">IF(OR(X124="",P124="",E124=""),"",IF(_xlfn.MAXIFS($P$6:$P$205,$E$6:$E$205,E124,$P$6:$P$205,"&lt;"&amp;P124,$X$6:$X$205,"&gt;0")=0,"",IFERROR(AVERAGEIFS($X$6:$X$205,$E$6:$E$205,E124,$P$6:$P$205,_xlfn.MAXIFS($P$6:$P$205,$E$6:$E$205,E124,$P$6:$P$205,"&lt;"&amp;P124,$X$6:$X$205,"&gt;0"),$X$6:$X$205,"&gt;0"),"")))</f>
        <v/>
      </c>
      <c r="Z124" s="67" t="str">
        <f aca="false">IF(OR(Y124="",X124=""),"",X124/Y124-1)</f>
        <v/>
      </c>
      <c r="AA124" s="68" t="str">
        <f aca="false">IF(OR(W124="",V124=""),"",W124-Q124*V124)</f>
        <v/>
      </c>
      <c r="AB124" s="69" t="str">
        <f aca="false">IF(AA124="","",IF(N(V124)*N(Q124)=0,"",AA124/(Q124*V124)))</f>
        <v/>
      </c>
      <c r="AC124" s="70"/>
      <c r="AD124" s="66" t="str">
        <f aca="false">IF(W124="","",W124*(1+N(AC124)))</f>
        <v/>
      </c>
      <c r="AE124" s="62"/>
      <c r="AF124" s="71"/>
      <c r="AG124" s="71"/>
      <c r="AH124" s="71"/>
      <c r="AI124" s="66" t="str">
        <f aca="false">IF(A124="","",N(AF124)+N(AG124)+N(AH124))</f>
        <v/>
      </c>
      <c r="AJ124" s="72" t="str">
        <f aca="false">IF(AD124="","",IF(N(AD124)=0,"",AI124/AD124))</f>
        <v/>
      </c>
      <c r="AK124" s="66" t="str">
        <f aca="false">IF(AD124="","",IF(AD124-AI124&lt;1,0,ROUND(AD124-AI124,2)))</f>
        <v/>
      </c>
      <c r="AL124" s="66" t="str">
        <f aca="false">IF(OR(O124="",AD124=""),"",MAX(0,ROUND(N(AI124)-(AD124-N(AW124)),0)))</f>
        <v/>
      </c>
      <c r="AM124" s="73" t="str">
        <f aca="false">IF(A124="","",IF(O124="","No PO Yet",IF(AI124=0,"Not Paid",IF(N(AJ124)&gt;=0.999,"Fully Paid",IF(N(AG124)+N(AH124)&gt;0,"Partially Paid","Initial / Advance Paid")))))</f>
        <v/>
      </c>
      <c r="AN124" s="61"/>
      <c r="AO124" s="61"/>
      <c r="AP124" s="74" t="str">
        <f aca="false">IF(AK124="","",IF(OR(N(AK124)=0,AO124=""),"",MAX(0,Settings!$B$4-AO124)))</f>
        <v/>
      </c>
      <c r="AQ124" s="73" t="str">
        <f aca="false">IF(AK124="","",IF(N(AK124)&lt;=0,"",IF(AO124="","No Due Date",IF(Settings!$B$4&lt;=AO124,"Not Yet Due",IF(Settings!$B$4-AO124&lt;=30,"1-30 Days",IF(Settings!$B$4-AO124&lt;=60,"31-60 Days",IF(Settings!$B$4-AO124&lt;=90,"61-90 Days","90+ Days")))))))</f>
        <v/>
      </c>
      <c r="AR124" s="61"/>
      <c r="AS124" s="61"/>
      <c r="AT124" s="63"/>
      <c r="AU124" s="72" t="str">
        <f aca="false">IF(Q124="","",IF(N(Q124)=0,"",N(AT124)/Q124))</f>
        <v/>
      </c>
      <c r="AV124" s="75" t="str">
        <f aca="false">IF(OR(A124="",O124="",Q124=""),"",MAX(0,Q124-N(AT124)))</f>
        <v/>
      </c>
      <c r="AW124" s="66" t="str">
        <f aca="false">IF(OR(AV124="",W124=""),"",IF(N(Q124)=0,0,AV124/Q124*AD124))</f>
        <v/>
      </c>
      <c r="AX124" s="76" t="str">
        <f aca="false">IF(A124="","",IF(O124="","No PO Yet",IF(Q124="","Order Qty Missing",IF(N(AT124)&gt;=Q124,IF(N(AT124)&gt;Q124,"All In-house (+"&amp;TEXT(N(AT124)-Q124,"#,##0")&amp;" "&amp;R124&amp;" excess)","All In-house"),IF(AY124&lt;&gt;"","Short Closed - "&amp;TEXT(AV124,"#,##0")&amp;" "&amp;R124&amp;" not received",IF(N(AT124)=0,"Not Started - "&amp;TEXT(AV124,"#,##0")&amp;" "&amp;R124&amp;" pending","Pending "&amp;TEXT(AV124,"#,##0")&amp;" "&amp;R124&amp;" ("&amp;TEXT(AU124,"0%")&amp;" received)"))))))</f>
        <v/>
      </c>
      <c r="AY124" s="61"/>
      <c r="AZ124" s="77" t="str">
        <f aca="false">IF(OR(B124="",J124=""),"",J124-B124)</f>
        <v/>
      </c>
      <c r="BA124" s="77" t="str">
        <f aca="false">IF(OR(J124="",P124=""),"",P124-J124)</f>
        <v/>
      </c>
      <c r="BB124" s="77" t="str">
        <f aca="false">IF(OR(P124="",AY124=""),"",AY124-P124)</f>
        <v/>
      </c>
      <c r="BC124" s="77" t="str">
        <f aca="false">IF(OR(B124="",AY124=""),"",AY124-B124)</f>
        <v/>
      </c>
      <c r="BD124" s="74" t="str">
        <f aca="false">IF(OR(AR124="",O124=""),"",MAX(0,IF(AY124="",Settings!$B$4,AY124)-AR124))</f>
        <v/>
      </c>
      <c r="BE124" s="73" t="str">
        <f aca="false">IF(OR(AY124="",AR124=""),"",IF(AND(AY124&lt;=AR124,N(AU124)&gt;=Settings!$B$6),"OTIF","Not OTIF"))</f>
        <v/>
      </c>
      <c r="BF124" s="60"/>
      <c r="BG124" s="62"/>
      <c r="BH124" s="78"/>
      <c r="BI124" s="76" t="str">
        <f aca="false">IF(A124="","",IF(K124="Rejected","Rejected",IF(K124&lt;&gt;"Approved","Awaiting Approval",IF(O124="","Approved - PO Pending",IF(AY124&lt;&gt;"",IF(N(AJ124)&gt;=0.999,"Closed","In-house Closed - Payment Due"),IF(AS124&lt;&gt;"","Receiving In-house","PO Issued - Awaiting Delivery"))))))</f>
        <v/>
      </c>
      <c r="BJ124" s="76" t="str">
        <f aca="false">IF(A124="","",IF(IF(AND(A124&lt;&gt;"",OR(B124="",C124="",E124="",F124="",H124="")),"PR info missing; ","")&amp;IF(AND(K124="Approved",OR(J124="",I124="")),"Approval ref/date missing; ","")&amp;IF(AND(O124&lt;&gt;"",K124&lt;&gt;"Approved"),"PO without approval; ","")&amp;IF(AND(O124&lt;&gt;"",OR(P124="",M124="",Q124="",S124="",T124="")),"PO details missing; ","")&amp;IF(AND(O124&lt;&gt;"",AR124=""),"Committed date missing; ","")&amp;IF(AND(ISNUMBER(J124),ISNUMBER(B124),N(J124)&lt;N(B124)),"Approval dated before PR; ","")&amp;IF(AND(ISNUMBER(P124),ISNUMBER(J124),N(P124)&lt;N(J124)),"PO dated before approval; ","")&amp;IF(AND(ISNUMBER(AY124),ISNUMBER(AS124),N(AY124)&lt;N(AS124)),"Close before in-house start; ","")&amp;IF(AND(AY124&lt;&gt;"",AS124=""),"In-house start date missing; ","")&amp;IF(AND(AY124&lt;&gt;"",AT124=""),"Qty received missing; ","")&amp;IF(AND(AY124&lt;&gt;"",BF124=""),"QC status missing; ","")&amp;IF(N(AT124)&gt;N(Q124)*1.05,"Received &gt; ordered +5%; ","")&amp;IF(AND(N(AI124)&gt;0,AE124=""),"Payment terms missing; ","")&amp;IF(N(AI124)&gt;N(AD124)+1,"Overpaid vs PO; ","")&amp;IF(AND(N(AK124)&gt;0,AY124&lt;&gt;"",AO124=""),"Payment due date missing; ","")="","OK",IF(AND(A124&lt;&gt;"",OR(B124="",C124="",E124="",F124="",H124="")),"PR info missing; ","")&amp;IF(AND(K124="Approved",OR(J124="",I124="")),"Approval ref/date missing; ","")&amp;IF(AND(O124&lt;&gt;"",K124&lt;&gt;"Approved"),"PO without approval; ","")&amp;IF(AND(O124&lt;&gt;"",OR(P124="",M124="",Q124="",S124="",T124="")),"PO details missing; ","")&amp;IF(AND(O124&lt;&gt;"",AR124=""),"Committed date missing; ","")&amp;IF(AND(ISNUMBER(J124),ISNUMBER(B124),N(J124)&lt;N(B124)),"Approval dated before PR; ","")&amp;IF(AND(ISNUMBER(P124),ISNUMBER(J124),N(P124)&lt;N(J124)),"PO dated before approval; ","")&amp;IF(AND(ISNUMBER(AY124),ISNUMBER(AS124),N(AY124)&lt;N(AS124)),"Close before in-house start; ","")&amp;IF(AND(AY124&lt;&gt;"",AS124=""),"In-house start date missing; ","")&amp;IF(AND(AY124&lt;&gt;"",AT124=""),"Qty received missing; ","")&amp;IF(AND(AY124&lt;&gt;"",BF124=""),"QC status missing; ","")&amp;IF(N(AT124)&gt;N(Q124)*1.05,"Received &gt; ordered +5%; ","")&amp;IF(AND(N(AI124)&gt;0,AE124=""),"Payment terms missing; ","")&amp;IF(N(AI124)&gt;N(AD124)+1,"Overpaid vs PO; ","")&amp;IF(AND(N(AK124)&gt;0,AY124&lt;&gt;"",AO124=""),"Payment due date missing; ","")))</f>
        <v/>
      </c>
      <c r="BK124" s="76" t="str">
        <f aca="false">IF(A124="","",IF(N(AP124)&gt;0,"Pay supplier: "&amp;N(AP124)&amp;" days overdue; ","")&amp;IF(AND(O124&lt;&gt;"",AY124="",N(BD124)&gt;0),"Expedite delivery: "&amp;N(BD124)&amp;" days late; ","")&amp;IF(AND(BI124="Awaiting Approval",ISNUMBER(B124),Settings!$B$4-N(B124)&gt;Settings!$B$19),"Get approval: PR waiting "&amp;(Settings!$B$4-N(B124))&amp;" days; ","")&amp;IF(AND(BI124="Approved - PO Pending",ISNUMBER(J124),Settings!$B$4-N(J124)&gt;Settings!$B$20),"Issue PO: approved "&amp;(Settings!$B$4-N(J124))&amp;" days ago; ","")&amp;IF(AND(OR(BI124="Awaiting Approval",BI124="Approved - PO Pending"),N(AB124)&gt;Settings!$B$7),"Negotiate price: "&amp;TEXT(AB124,"0%")&amp;" above budget; ","")&amp;IF(LEFT(AX124,12)="Short Closed","Short closed: claim balance / credit note"&amp;IF(N(AL124)&gt;0," BDT "&amp;TEXT(AL124,"#,##0"),"")&amp;"; ","")&amp;IF(BF124="Rejected","QC rejected: return / replace; ","")&amp;IF(AND(O124&lt;&gt;"",AY124="",N(AL124)&gt;0,N(BD124)&gt;0),"Advance at risk: BDT "&amp;TEXT(AL124,"#,##0")&amp;" paid, goods late; ","")&amp;IF(AND(BJ124&lt;&gt;"",BJ124&lt;&gt;"OK"),"Fix data entry (see Data Check); ",""))</f>
        <v/>
      </c>
      <c r="BL124" s="73" t="str">
        <f aca="false">IF(BK124="","",IF(OR(N(AP124)&gt;30,AND(AY124="",N(BD124)&gt;15),BF124="Rejected",AND(LEFT(AX124,12)="Short Closed",N(AL124)&gt;0),AND(O124&lt;&gt;"",AY124="",N(AL124)&gt;0,N(BD124)&gt;0)),"High",IF(OR(N(AP124)&gt;0,AND(AY124="",N(BD124)&gt;7),LEFT(AX124,12)="Short Closed",AND(BI124="Awaiting Approval",ISNUMBER(B124),Settings!$B$4-N(B124)&gt;2*Settings!$B$19),AND(BI124="Approved - PO Pending",ISNUMBER(J124),Settings!$B$4-N(J124)&gt;2*Settings!$B$20)),"Medium","Low")))</f>
        <v/>
      </c>
      <c r="BM124" s="77" t="str">
        <f aca="false">IF(BL124="","",IF(BL124="High",1,IF(BL124="Medium",2,3))*10000+ROW())</f>
        <v/>
      </c>
      <c r="BN124" s="62"/>
    </row>
    <row r="125" customFormat="false" ht="18" hidden="false" customHeight="true" outlineLevel="0" collapsed="false">
      <c r="A125" s="60"/>
      <c r="B125" s="61"/>
      <c r="C125" s="62"/>
      <c r="D125" s="62"/>
      <c r="E125" s="62"/>
      <c r="F125" s="62"/>
      <c r="G125" s="62"/>
      <c r="H125" s="60"/>
      <c r="I125" s="60"/>
      <c r="J125" s="61"/>
      <c r="K125" s="60"/>
      <c r="L125" s="60"/>
      <c r="M125" s="62"/>
      <c r="N125" s="60"/>
      <c r="O125" s="60"/>
      <c r="P125" s="61"/>
      <c r="Q125" s="63"/>
      <c r="R125" s="60"/>
      <c r="S125" s="64"/>
      <c r="T125" s="60"/>
      <c r="U125" s="65" t="str">
        <f aca="false">IF(AND(T125="",S125=""),"",IF(T125="",1,IFERROR(INDEX(Settings!$B$12:$B$16,MATCH(T125,Settings!$A$12:$A$16,0)),1)))</f>
        <v/>
      </c>
      <c r="V125" s="64"/>
      <c r="W125" s="66" t="str">
        <f aca="false">IF(OR(Q125="",S125=""),"",Q125*S125*U125)</f>
        <v/>
      </c>
      <c r="X125" s="65" t="str">
        <f aca="false">IF(OR(W125="",N(Q125)=0),"",W125/Q125)</f>
        <v/>
      </c>
      <c r="Y125" s="65" t="str">
        <f aca="false">IF(OR(X125="",P125="",E125=""),"",IF(_xlfn.MAXIFS($P$6:$P$205,$E$6:$E$205,E125,$P$6:$P$205,"&lt;"&amp;P125,$X$6:$X$205,"&gt;0")=0,"",IFERROR(AVERAGEIFS($X$6:$X$205,$E$6:$E$205,E125,$P$6:$P$205,_xlfn.MAXIFS($P$6:$P$205,$E$6:$E$205,E125,$P$6:$P$205,"&lt;"&amp;P125,$X$6:$X$205,"&gt;0"),$X$6:$X$205,"&gt;0"),"")))</f>
        <v/>
      </c>
      <c r="Z125" s="67" t="str">
        <f aca="false">IF(OR(Y125="",X125=""),"",X125/Y125-1)</f>
        <v/>
      </c>
      <c r="AA125" s="68" t="str">
        <f aca="false">IF(OR(W125="",V125=""),"",W125-Q125*V125)</f>
        <v/>
      </c>
      <c r="AB125" s="69" t="str">
        <f aca="false">IF(AA125="","",IF(N(V125)*N(Q125)=0,"",AA125/(Q125*V125)))</f>
        <v/>
      </c>
      <c r="AC125" s="70"/>
      <c r="AD125" s="66" t="str">
        <f aca="false">IF(W125="","",W125*(1+N(AC125)))</f>
        <v/>
      </c>
      <c r="AE125" s="62"/>
      <c r="AF125" s="71"/>
      <c r="AG125" s="71"/>
      <c r="AH125" s="71"/>
      <c r="AI125" s="66" t="str">
        <f aca="false">IF(A125="","",N(AF125)+N(AG125)+N(AH125))</f>
        <v/>
      </c>
      <c r="AJ125" s="72" t="str">
        <f aca="false">IF(AD125="","",IF(N(AD125)=0,"",AI125/AD125))</f>
        <v/>
      </c>
      <c r="AK125" s="66" t="str">
        <f aca="false">IF(AD125="","",IF(AD125-AI125&lt;1,0,ROUND(AD125-AI125,2)))</f>
        <v/>
      </c>
      <c r="AL125" s="66" t="str">
        <f aca="false">IF(OR(O125="",AD125=""),"",MAX(0,ROUND(N(AI125)-(AD125-N(AW125)),0)))</f>
        <v/>
      </c>
      <c r="AM125" s="73" t="str">
        <f aca="false">IF(A125="","",IF(O125="","No PO Yet",IF(AI125=0,"Not Paid",IF(N(AJ125)&gt;=0.999,"Fully Paid",IF(N(AG125)+N(AH125)&gt;0,"Partially Paid","Initial / Advance Paid")))))</f>
        <v/>
      </c>
      <c r="AN125" s="61"/>
      <c r="AO125" s="61"/>
      <c r="AP125" s="74" t="str">
        <f aca="false">IF(AK125="","",IF(OR(N(AK125)=0,AO125=""),"",MAX(0,Settings!$B$4-AO125)))</f>
        <v/>
      </c>
      <c r="AQ125" s="73" t="str">
        <f aca="false">IF(AK125="","",IF(N(AK125)&lt;=0,"",IF(AO125="","No Due Date",IF(Settings!$B$4&lt;=AO125,"Not Yet Due",IF(Settings!$B$4-AO125&lt;=30,"1-30 Days",IF(Settings!$B$4-AO125&lt;=60,"31-60 Days",IF(Settings!$B$4-AO125&lt;=90,"61-90 Days","90+ Days")))))))</f>
        <v/>
      </c>
      <c r="AR125" s="61"/>
      <c r="AS125" s="61"/>
      <c r="AT125" s="63"/>
      <c r="AU125" s="72" t="str">
        <f aca="false">IF(Q125="","",IF(N(Q125)=0,"",N(AT125)/Q125))</f>
        <v/>
      </c>
      <c r="AV125" s="75" t="str">
        <f aca="false">IF(OR(A125="",O125="",Q125=""),"",MAX(0,Q125-N(AT125)))</f>
        <v/>
      </c>
      <c r="AW125" s="66" t="str">
        <f aca="false">IF(OR(AV125="",W125=""),"",IF(N(Q125)=0,0,AV125/Q125*AD125))</f>
        <v/>
      </c>
      <c r="AX125" s="76" t="str">
        <f aca="false">IF(A125="","",IF(O125="","No PO Yet",IF(Q125="","Order Qty Missing",IF(N(AT125)&gt;=Q125,IF(N(AT125)&gt;Q125,"All In-house (+"&amp;TEXT(N(AT125)-Q125,"#,##0")&amp;" "&amp;R125&amp;" excess)","All In-house"),IF(AY125&lt;&gt;"","Short Closed - "&amp;TEXT(AV125,"#,##0")&amp;" "&amp;R125&amp;" not received",IF(N(AT125)=0,"Not Started - "&amp;TEXT(AV125,"#,##0")&amp;" "&amp;R125&amp;" pending","Pending "&amp;TEXT(AV125,"#,##0")&amp;" "&amp;R125&amp;" ("&amp;TEXT(AU125,"0%")&amp;" received)"))))))</f>
        <v/>
      </c>
      <c r="AY125" s="61"/>
      <c r="AZ125" s="77" t="str">
        <f aca="false">IF(OR(B125="",J125=""),"",J125-B125)</f>
        <v/>
      </c>
      <c r="BA125" s="77" t="str">
        <f aca="false">IF(OR(J125="",P125=""),"",P125-J125)</f>
        <v/>
      </c>
      <c r="BB125" s="77" t="str">
        <f aca="false">IF(OR(P125="",AY125=""),"",AY125-P125)</f>
        <v/>
      </c>
      <c r="BC125" s="77" t="str">
        <f aca="false">IF(OR(B125="",AY125=""),"",AY125-B125)</f>
        <v/>
      </c>
      <c r="BD125" s="74" t="str">
        <f aca="false">IF(OR(AR125="",O125=""),"",MAX(0,IF(AY125="",Settings!$B$4,AY125)-AR125))</f>
        <v/>
      </c>
      <c r="BE125" s="73" t="str">
        <f aca="false">IF(OR(AY125="",AR125=""),"",IF(AND(AY125&lt;=AR125,N(AU125)&gt;=Settings!$B$6),"OTIF","Not OTIF"))</f>
        <v/>
      </c>
      <c r="BF125" s="60"/>
      <c r="BG125" s="62"/>
      <c r="BH125" s="78"/>
      <c r="BI125" s="76" t="str">
        <f aca="false">IF(A125="","",IF(K125="Rejected","Rejected",IF(K125&lt;&gt;"Approved","Awaiting Approval",IF(O125="","Approved - PO Pending",IF(AY125&lt;&gt;"",IF(N(AJ125)&gt;=0.999,"Closed","In-house Closed - Payment Due"),IF(AS125&lt;&gt;"","Receiving In-house","PO Issued - Awaiting Delivery"))))))</f>
        <v/>
      </c>
      <c r="BJ125" s="76" t="str">
        <f aca="false">IF(A125="","",IF(IF(AND(A125&lt;&gt;"",OR(B125="",C125="",E125="",F125="",H125="")),"PR info missing; ","")&amp;IF(AND(K125="Approved",OR(J125="",I125="")),"Approval ref/date missing; ","")&amp;IF(AND(O125&lt;&gt;"",K125&lt;&gt;"Approved"),"PO without approval; ","")&amp;IF(AND(O125&lt;&gt;"",OR(P125="",M125="",Q125="",S125="",T125="")),"PO details missing; ","")&amp;IF(AND(O125&lt;&gt;"",AR125=""),"Committed date missing; ","")&amp;IF(AND(ISNUMBER(J125),ISNUMBER(B125),N(J125)&lt;N(B125)),"Approval dated before PR; ","")&amp;IF(AND(ISNUMBER(P125),ISNUMBER(J125),N(P125)&lt;N(J125)),"PO dated before approval; ","")&amp;IF(AND(ISNUMBER(AY125),ISNUMBER(AS125),N(AY125)&lt;N(AS125)),"Close before in-house start; ","")&amp;IF(AND(AY125&lt;&gt;"",AS125=""),"In-house start date missing; ","")&amp;IF(AND(AY125&lt;&gt;"",AT125=""),"Qty received missing; ","")&amp;IF(AND(AY125&lt;&gt;"",BF125=""),"QC status missing; ","")&amp;IF(N(AT125)&gt;N(Q125)*1.05,"Received &gt; ordered +5%; ","")&amp;IF(AND(N(AI125)&gt;0,AE125=""),"Payment terms missing; ","")&amp;IF(N(AI125)&gt;N(AD125)+1,"Overpaid vs PO; ","")&amp;IF(AND(N(AK125)&gt;0,AY125&lt;&gt;"",AO125=""),"Payment due date missing; ","")="","OK",IF(AND(A125&lt;&gt;"",OR(B125="",C125="",E125="",F125="",H125="")),"PR info missing; ","")&amp;IF(AND(K125="Approved",OR(J125="",I125="")),"Approval ref/date missing; ","")&amp;IF(AND(O125&lt;&gt;"",K125&lt;&gt;"Approved"),"PO without approval; ","")&amp;IF(AND(O125&lt;&gt;"",OR(P125="",M125="",Q125="",S125="",T125="")),"PO details missing; ","")&amp;IF(AND(O125&lt;&gt;"",AR125=""),"Committed date missing; ","")&amp;IF(AND(ISNUMBER(J125),ISNUMBER(B125),N(J125)&lt;N(B125)),"Approval dated before PR; ","")&amp;IF(AND(ISNUMBER(P125),ISNUMBER(J125),N(P125)&lt;N(J125)),"PO dated before approval; ","")&amp;IF(AND(ISNUMBER(AY125),ISNUMBER(AS125),N(AY125)&lt;N(AS125)),"Close before in-house start; ","")&amp;IF(AND(AY125&lt;&gt;"",AS125=""),"In-house start date missing; ","")&amp;IF(AND(AY125&lt;&gt;"",AT125=""),"Qty received missing; ","")&amp;IF(AND(AY125&lt;&gt;"",BF125=""),"QC status missing; ","")&amp;IF(N(AT125)&gt;N(Q125)*1.05,"Received &gt; ordered +5%; ","")&amp;IF(AND(N(AI125)&gt;0,AE125=""),"Payment terms missing; ","")&amp;IF(N(AI125)&gt;N(AD125)+1,"Overpaid vs PO; ","")&amp;IF(AND(N(AK125)&gt;0,AY125&lt;&gt;"",AO125=""),"Payment due date missing; ","")))</f>
        <v/>
      </c>
      <c r="BK125" s="76" t="str">
        <f aca="false">IF(A125="","",IF(N(AP125)&gt;0,"Pay supplier: "&amp;N(AP125)&amp;" days overdue; ","")&amp;IF(AND(O125&lt;&gt;"",AY125="",N(BD125)&gt;0),"Expedite delivery: "&amp;N(BD125)&amp;" days late; ","")&amp;IF(AND(BI125="Awaiting Approval",ISNUMBER(B125),Settings!$B$4-N(B125)&gt;Settings!$B$19),"Get approval: PR waiting "&amp;(Settings!$B$4-N(B125))&amp;" days; ","")&amp;IF(AND(BI125="Approved - PO Pending",ISNUMBER(J125),Settings!$B$4-N(J125)&gt;Settings!$B$20),"Issue PO: approved "&amp;(Settings!$B$4-N(J125))&amp;" days ago; ","")&amp;IF(AND(OR(BI125="Awaiting Approval",BI125="Approved - PO Pending"),N(AB125)&gt;Settings!$B$7),"Negotiate price: "&amp;TEXT(AB125,"0%")&amp;" above budget; ","")&amp;IF(LEFT(AX125,12)="Short Closed","Short closed: claim balance / credit note"&amp;IF(N(AL125)&gt;0," BDT "&amp;TEXT(AL125,"#,##0"),"")&amp;"; ","")&amp;IF(BF125="Rejected","QC rejected: return / replace; ","")&amp;IF(AND(O125&lt;&gt;"",AY125="",N(AL125)&gt;0,N(BD125)&gt;0),"Advance at risk: BDT "&amp;TEXT(AL125,"#,##0")&amp;" paid, goods late; ","")&amp;IF(AND(BJ125&lt;&gt;"",BJ125&lt;&gt;"OK"),"Fix data entry (see Data Check); ",""))</f>
        <v/>
      </c>
      <c r="BL125" s="73" t="str">
        <f aca="false">IF(BK125="","",IF(OR(N(AP125)&gt;30,AND(AY125="",N(BD125)&gt;15),BF125="Rejected",AND(LEFT(AX125,12)="Short Closed",N(AL125)&gt;0),AND(O125&lt;&gt;"",AY125="",N(AL125)&gt;0,N(BD125)&gt;0)),"High",IF(OR(N(AP125)&gt;0,AND(AY125="",N(BD125)&gt;7),LEFT(AX125,12)="Short Closed",AND(BI125="Awaiting Approval",ISNUMBER(B125),Settings!$B$4-N(B125)&gt;2*Settings!$B$19),AND(BI125="Approved - PO Pending",ISNUMBER(J125),Settings!$B$4-N(J125)&gt;2*Settings!$B$20)),"Medium","Low")))</f>
        <v/>
      </c>
      <c r="BM125" s="77" t="str">
        <f aca="false">IF(BL125="","",IF(BL125="High",1,IF(BL125="Medium",2,3))*10000+ROW())</f>
        <v/>
      </c>
      <c r="BN125" s="62"/>
    </row>
    <row r="126" customFormat="false" ht="18" hidden="false" customHeight="true" outlineLevel="0" collapsed="false">
      <c r="A126" s="60"/>
      <c r="B126" s="61"/>
      <c r="C126" s="62"/>
      <c r="D126" s="62"/>
      <c r="E126" s="62"/>
      <c r="F126" s="62"/>
      <c r="G126" s="62"/>
      <c r="H126" s="60"/>
      <c r="I126" s="60"/>
      <c r="J126" s="61"/>
      <c r="K126" s="60"/>
      <c r="L126" s="60"/>
      <c r="M126" s="62"/>
      <c r="N126" s="60"/>
      <c r="O126" s="60"/>
      <c r="P126" s="61"/>
      <c r="Q126" s="63"/>
      <c r="R126" s="60"/>
      <c r="S126" s="64"/>
      <c r="T126" s="60"/>
      <c r="U126" s="65" t="str">
        <f aca="false">IF(AND(T126="",S126=""),"",IF(T126="",1,IFERROR(INDEX(Settings!$B$12:$B$16,MATCH(T126,Settings!$A$12:$A$16,0)),1)))</f>
        <v/>
      </c>
      <c r="V126" s="64"/>
      <c r="W126" s="66" t="str">
        <f aca="false">IF(OR(Q126="",S126=""),"",Q126*S126*U126)</f>
        <v/>
      </c>
      <c r="X126" s="65" t="str">
        <f aca="false">IF(OR(W126="",N(Q126)=0),"",W126/Q126)</f>
        <v/>
      </c>
      <c r="Y126" s="65" t="str">
        <f aca="false">IF(OR(X126="",P126="",E126=""),"",IF(_xlfn.MAXIFS($P$6:$P$205,$E$6:$E$205,E126,$P$6:$P$205,"&lt;"&amp;P126,$X$6:$X$205,"&gt;0")=0,"",IFERROR(AVERAGEIFS($X$6:$X$205,$E$6:$E$205,E126,$P$6:$P$205,_xlfn.MAXIFS($P$6:$P$205,$E$6:$E$205,E126,$P$6:$P$205,"&lt;"&amp;P126,$X$6:$X$205,"&gt;0"),$X$6:$X$205,"&gt;0"),"")))</f>
        <v/>
      </c>
      <c r="Z126" s="67" t="str">
        <f aca="false">IF(OR(Y126="",X126=""),"",X126/Y126-1)</f>
        <v/>
      </c>
      <c r="AA126" s="68" t="str">
        <f aca="false">IF(OR(W126="",V126=""),"",W126-Q126*V126)</f>
        <v/>
      </c>
      <c r="AB126" s="69" t="str">
        <f aca="false">IF(AA126="","",IF(N(V126)*N(Q126)=0,"",AA126/(Q126*V126)))</f>
        <v/>
      </c>
      <c r="AC126" s="70"/>
      <c r="AD126" s="66" t="str">
        <f aca="false">IF(W126="","",W126*(1+N(AC126)))</f>
        <v/>
      </c>
      <c r="AE126" s="62"/>
      <c r="AF126" s="71"/>
      <c r="AG126" s="71"/>
      <c r="AH126" s="71"/>
      <c r="AI126" s="66" t="str">
        <f aca="false">IF(A126="","",N(AF126)+N(AG126)+N(AH126))</f>
        <v/>
      </c>
      <c r="AJ126" s="72" t="str">
        <f aca="false">IF(AD126="","",IF(N(AD126)=0,"",AI126/AD126))</f>
        <v/>
      </c>
      <c r="AK126" s="66" t="str">
        <f aca="false">IF(AD126="","",IF(AD126-AI126&lt;1,0,ROUND(AD126-AI126,2)))</f>
        <v/>
      </c>
      <c r="AL126" s="66" t="str">
        <f aca="false">IF(OR(O126="",AD126=""),"",MAX(0,ROUND(N(AI126)-(AD126-N(AW126)),0)))</f>
        <v/>
      </c>
      <c r="AM126" s="73" t="str">
        <f aca="false">IF(A126="","",IF(O126="","No PO Yet",IF(AI126=0,"Not Paid",IF(N(AJ126)&gt;=0.999,"Fully Paid",IF(N(AG126)+N(AH126)&gt;0,"Partially Paid","Initial / Advance Paid")))))</f>
        <v/>
      </c>
      <c r="AN126" s="61"/>
      <c r="AO126" s="61"/>
      <c r="AP126" s="74" t="str">
        <f aca="false">IF(AK126="","",IF(OR(N(AK126)=0,AO126=""),"",MAX(0,Settings!$B$4-AO126)))</f>
        <v/>
      </c>
      <c r="AQ126" s="73" t="str">
        <f aca="false">IF(AK126="","",IF(N(AK126)&lt;=0,"",IF(AO126="","No Due Date",IF(Settings!$B$4&lt;=AO126,"Not Yet Due",IF(Settings!$B$4-AO126&lt;=30,"1-30 Days",IF(Settings!$B$4-AO126&lt;=60,"31-60 Days",IF(Settings!$B$4-AO126&lt;=90,"61-90 Days","90+ Days")))))))</f>
        <v/>
      </c>
      <c r="AR126" s="61"/>
      <c r="AS126" s="61"/>
      <c r="AT126" s="63"/>
      <c r="AU126" s="72" t="str">
        <f aca="false">IF(Q126="","",IF(N(Q126)=0,"",N(AT126)/Q126))</f>
        <v/>
      </c>
      <c r="AV126" s="75" t="str">
        <f aca="false">IF(OR(A126="",O126="",Q126=""),"",MAX(0,Q126-N(AT126)))</f>
        <v/>
      </c>
      <c r="AW126" s="66" t="str">
        <f aca="false">IF(OR(AV126="",W126=""),"",IF(N(Q126)=0,0,AV126/Q126*AD126))</f>
        <v/>
      </c>
      <c r="AX126" s="76" t="str">
        <f aca="false">IF(A126="","",IF(O126="","No PO Yet",IF(Q126="","Order Qty Missing",IF(N(AT126)&gt;=Q126,IF(N(AT126)&gt;Q126,"All In-house (+"&amp;TEXT(N(AT126)-Q126,"#,##0")&amp;" "&amp;R126&amp;" excess)","All In-house"),IF(AY126&lt;&gt;"","Short Closed - "&amp;TEXT(AV126,"#,##0")&amp;" "&amp;R126&amp;" not received",IF(N(AT126)=0,"Not Started - "&amp;TEXT(AV126,"#,##0")&amp;" "&amp;R126&amp;" pending","Pending "&amp;TEXT(AV126,"#,##0")&amp;" "&amp;R126&amp;" ("&amp;TEXT(AU126,"0%")&amp;" received)"))))))</f>
        <v/>
      </c>
      <c r="AY126" s="61"/>
      <c r="AZ126" s="77" t="str">
        <f aca="false">IF(OR(B126="",J126=""),"",J126-B126)</f>
        <v/>
      </c>
      <c r="BA126" s="77" t="str">
        <f aca="false">IF(OR(J126="",P126=""),"",P126-J126)</f>
        <v/>
      </c>
      <c r="BB126" s="77" t="str">
        <f aca="false">IF(OR(P126="",AY126=""),"",AY126-P126)</f>
        <v/>
      </c>
      <c r="BC126" s="77" t="str">
        <f aca="false">IF(OR(B126="",AY126=""),"",AY126-B126)</f>
        <v/>
      </c>
      <c r="BD126" s="74" t="str">
        <f aca="false">IF(OR(AR126="",O126=""),"",MAX(0,IF(AY126="",Settings!$B$4,AY126)-AR126))</f>
        <v/>
      </c>
      <c r="BE126" s="73" t="str">
        <f aca="false">IF(OR(AY126="",AR126=""),"",IF(AND(AY126&lt;=AR126,N(AU126)&gt;=Settings!$B$6),"OTIF","Not OTIF"))</f>
        <v/>
      </c>
      <c r="BF126" s="60"/>
      <c r="BG126" s="62"/>
      <c r="BH126" s="78"/>
      <c r="BI126" s="76" t="str">
        <f aca="false">IF(A126="","",IF(K126="Rejected","Rejected",IF(K126&lt;&gt;"Approved","Awaiting Approval",IF(O126="","Approved - PO Pending",IF(AY126&lt;&gt;"",IF(N(AJ126)&gt;=0.999,"Closed","In-house Closed - Payment Due"),IF(AS126&lt;&gt;"","Receiving In-house","PO Issued - Awaiting Delivery"))))))</f>
        <v/>
      </c>
      <c r="BJ126" s="76" t="str">
        <f aca="false">IF(A126="","",IF(IF(AND(A126&lt;&gt;"",OR(B126="",C126="",E126="",F126="",H126="")),"PR info missing; ","")&amp;IF(AND(K126="Approved",OR(J126="",I126="")),"Approval ref/date missing; ","")&amp;IF(AND(O126&lt;&gt;"",K126&lt;&gt;"Approved"),"PO without approval; ","")&amp;IF(AND(O126&lt;&gt;"",OR(P126="",M126="",Q126="",S126="",T126="")),"PO details missing; ","")&amp;IF(AND(O126&lt;&gt;"",AR126=""),"Committed date missing; ","")&amp;IF(AND(ISNUMBER(J126),ISNUMBER(B126),N(J126)&lt;N(B126)),"Approval dated before PR; ","")&amp;IF(AND(ISNUMBER(P126),ISNUMBER(J126),N(P126)&lt;N(J126)),"PO dated before approval; ","")&amp;IF(AND(ISNUMBER(AY126),ISNUMBER(AS126),N(AY126)&lt;N(AS126)),"Close before in-house start; ","")&amp;IF(AND(AY126&lt;&gt;"",AS126=""),"In-house start date missing; ","")&amp;IF(AND(AY126&lt;&gt;"",AT126=""),"Qty received missing; ","")&amp;IF(AND(AY126&lt;&gt;"",BF126=""),"QC status missing; ","")&amp;IF(N(AT126)&gt;N(Q126)*1.05,"Received &gt; ordered +5%; ","")&amp;IF(AND(N(AI126)&gt;0,AE126=""),"Payment terms missing; ","")&amp;IF(N(AI126)&gt;N(AD126)+1,"Overpaid vs PO; ","")&amp;IF(AND(N(AK126)&gt;0,AY126&lt;&gt;"",AO126=""),"Payment due date missing; ","")="","OK",IF(AND(A126&lt;&gt;"",OR(B126="",C126="",E126="",F126="",H126="")),"PR info missing; ","")&amp;IF(AND(K126="Approved",OR(J126="",I126="")),"Approval ref/date missing; ","")&amp;IF(AND(O126&lt;&gt;"",K126&lt;&gt;"Approved"),"PO without approval; ","")&amp;IF(AND(O126&lt;&gt;"",OR(P126="",M126="",Q126="",S126="",T126="")),"PO details missing; ","")&amp;IF(AND(O126&lt;&gt;"",AR126=""),"Committed date missing; ","")&amp;IF(AND(ISNUMBER(J126),ISNUMBER(B126),N(J126)&lt;N(B126)),"Approval dated before PR; ","")&amp;IF(AND(ISNUMBER(P126),ISNUMBER(J126),N(P126)&lt;N(J126)),"PO dated before approval; ","")&amp;IF(AND(ISNUMBER(AY126),ISNUMBER(AS126),N(AY126)&lt;N(AS126)),"Close before in-house start; ","")&amp;IF(AND(AY126&lt;&gt;"",AS126=""),"In-house start date missing; ","")&amp;IF(AND(AY126&lt;&gt;"",AT126=""),"Qty received missing; ","")&amp;IF(AND(AY126&lt;&gt;"",BF126=""),"QC status missing; ","")&amp;IF(N(AT126)&gt;N(Q126)*1.05,"Received &gt; ordered +5%; ","")&amp;IF(AND(N(AI126)&gt;0,AE126=""),"Payment terms missing; ","")&amp;IF(N(AI126)&gt;N(AD126)+1,"Overpaid vs PO; ","")&amp;IF(AND(N(AK126)&gt;0,AY126&lt;&gt;"",AO126=""),"Payment due date missing; ","")))</f>
        <v/>
      </c>
      <c r="BK126" s="76" t="str">
        <f aca="false">IF(A126="","",IF(N(AP126)&gt;0,"Pay supplier: "&amp;N(AP126)&amp;" days overdue; ","")&amp;IF(AND(O126&lt;&gt;"",AY126="",N(BD126)&gt;0),"Expedite delivery: "&amp;N(BD126)&amp;" days late; ","")&amp;IF(AND(BI126="Awaiting Approval",ISNUMBER(B126),Settings!$B$4-N(B126)&gt;Settings!$B$19),"Get approval: PR waiting "&amp;(Settings!$B$4-N(B126))&amp;" days; ","")&amp;IF(AND(BI126="Approved - PO Pending",ISNUMBER(J126),Settings!$B$4-N(J126)&gt;Settings!$B$20),"Issue PO: approved "&amp;(Settings!$B$4-N(J126))&amp;" days ago; ","")&amp;IF(AND(OR(BI126="Awaiting Approval",BI126="Approved - PO Pending"),N(AB126)&gt;Settings!$B$7),"Negotiate price: "&amp;TEXT(AB126,"0%")&amp;" above budget; ","")&amp;IF(LEFT(AX126,12)="Short Closed","Short closed: claim balance / credit note"&amp;IF(N(AL126)&gt;0," BDT "&amp;TEXT(AL126,"#,##0"),"")&amp;"; ","")&amp;IF(BF126="Rejected","QC rejected: return / replace; ","")&amp;IF(AND(O126&lt;&gt;"",AY126="",N(AL126)&gt;0,N(BD126)&gt;0),"Advance at risk: BDT "&amp;TEXT(AL126,"#,##0")&amp;" paid, goods late; ","")&amp;IF(AND(BJ126&lt;&gt;"",BJ126&lt;&gt;"OK"),"Fix data entry (see Data Check); ",""))</f>
        <v/>
      </c>
      <c r="BL126" s="73" t="str">
        <f aca="false">IF(BK126="","",IF(OR(N(AP126)&gt;30,AND(AY126="",N(BD126)&gt;15),BF126="Rejected",AND(LEFT(AX126,12)="Short Closed",N(AL126)&gt;0),AND(O126&lt;&gt;"",AY126="",N(AL126)&gt;0,N(BD126)&gt;0)),"High",IF(OR(N(AP126)&gt;0,AND(AY126="",N(BD126)&gt;7),LEFT(AX126,12)="Short Closed",AND(BI126="Awaiting Approval",ISNUMBER(B126),Settings!$B$4-N(B126)&gt;2*Settings!$B$19),AND(BI126="Approved - PO Pending",ISNUMBER(J126),Settings!$B$4-N(J126)&gt;2*Settings!$B$20)),"Medium","Low")))</f>
        <v/>
      </c>
      <c r="BM126" s="77" t="str">
        <f aca="false">IF(BL126="","",IF(BL126="High",1,IF(BL126="Medium",2,3))*10000+ROW())</f>
        <v/>
      </c>
      <c r="BN126" s="62"/>
    </row>
    <row r="127" customFormat="false" ht="18" hidden="false" customHeight="true" outlineLevel="0" collapsed="false">
      <c r="A127" s="60"/>
      <c r="B127" s="61"/>
      <c r="C127" s="62"/>
      <c r="D127" s="62"/>
      <c r="E127" s="62"/>
      <c r="F127" s="62"/>
      <c r="G127" s="62"/>
      <c r="H127" s="60"/>
      <c r="I127" s="60"/>
      <c r="J127" s="61"/>
      <c r="K127" s="60"/>
      <c r="L127" s="60"/>
      <c r="M127" s="62"/>
      <c r="N127" s="60"/>
      <c r="O127" s="60"/>
      <c r="P127" s="61"/>
      <c r="Q127" s="63"/>
      <c r="R127" s="60"/>
      <c r="S127" s="64"/>
      <c r="T127" s="60"/>
      <c r="U127" s="65" t="str">
        <f aca="false">IF(AND(T127="",S127=""),"",IF(T127="",1,IFERROR(INDEX(Settings!$B$12:$B$16,MATCH(T127,Settings!$A$12:$A$16,0)),1)))</f>
        <v/>
      </c>
      <c r="V127" s="64"/>
      <c r="W127" s="66" t="str">
        <f aca="false">IF(OR(Q127="",S127=""),"",Q127*S127*U127)</f>
        <v/>
      </c>
      <c r="X127" s="65" t="str">
        <f aca="false">IF(OR(W127="",N(Q127)=0),"",W127/Q127)</f>
        <v/>
      </c>
      <c r="Y127" s="65" t="str">
        <f aca="false">IF(OR(X127="",P127="",E127=""),"",IF(_xlfn.MAXIFS($P$6:$P$205,$E$6:$E$205,E127,$P$6:$P$205,"&lt;"&amp;P127,$X$6:$X$205,"&gt;0")=0,"",IFERROR(AVERAGEIFS($X$6:$X$205,$E$6:$E$205,E127,$P$6:$P$205,_xlfn.MAXIFS($P$6:$P$205,$E$6:$E$205,E127,$P$6:$P$205,"&lt;"&amp;P127,$X$6:$X$205,"&gt;0"),$X$6:$X$205,"&gt;0"),"")))</f>
        <v/>
      </c>
      <c r="Z127" s="67" t="str">
        <f aca="false">IF(OR(Y127="",X127=""),"",X127/Y127-1)</f>
        <v/>
      </c>
      <c r="AA127" s="68" t="str">
        <f aca="false">IF(OR(W127="",V127=""),"",W127-Q127*V127)</f>
        <v/>
      </c>
      <c r="AB127" s="69" t="str">
        <f aca="false">IF(AA127="","",IF(N(V127)*N(Q127)=0,"",AA127/(Q127*V127)))</f>
        <v/>
      </c>
      <c r="AC127" s="70"/>
      <c r="AD127" s="66" t="str">
        <f aca="false">IF(W127="","",W127*(1+N(AC127)))</f>
        <v/>
      </c>
      <c r="AE127" s="62"/>
      <c r="AF127" s="71"/>
      <c r="AG127" s="71"/>
      <c r="AH127" s="71"/>
      <c r="AI127" s="66" t="str">
        <f aca="false">IF(A127="","",N(AF127)+N(AG127)+N(AH127))</f>
        <v/>
      </c>
      <c r="AJ127" s="72" t="str">
        <f aca="false">IF(AD127="","",IF(N(AD127)=0,"",AI127/AD127))</f>
        <v/>
      </c>
      <c r="AK127" s="66" t="str">
        <f aca="false">IF(AD127="","",IF(AD127-AI127&lt;1,0,ROUND(AD127-AI127,2)))</f>
        <v/>
      </c>
      <c r="AL127" s="66" t="str">
        <f aca="false">IF(OR(O127="",AD127=""),"",MAX(0,ROUND(N(AI127)-(AD127-N(AW127)),0)))</f>
        <v/>
      </c>
      <c r="AM127" s="73" t="str">
        <f aca="false">IF(A127="","",IF(O127="","No PO Yet",IF(AI127=0,"Not Paid",IF(N(AJ127)&gt;=0.999,"Fully Paid",IF(N(AG127)+N(AH127)&gt;0,"Partially Paid","Initial / Advance Paid")))))</f>
        <v/>
      </c>
      <c r="AN127" s="61"/>
      <c r="AO127" s="61"/>
      <c r="AP127" s="74" t="str">
        <f aca="false">IF(AK127="","",IF(OR(N(AK127)=0,AO127=""),"",MAX(0,Settings!$B$4-AO127)))</f>
        <v/>
      </c>
      <c r="AQ127" s="73" t="str">
        <f aca="false">IF(AK127="","",IF(N(AK127)&lt;=0,"",IF(AO127="","No Due Date",IF(Settings!$B$4&lt;=AO127,"Not Yet Due",IF(Settings!$B$4-AO127&lt;=30,"1-30 Days",IF(Settings!$B$4-AO127&lt;=60,"31-60 Days",IF(Settings!$B$4-AO127&lt;=90,"61-90 Days","90+ Days")))))))</f>
        <v/>
      </c>
      <c r="AR127" s="61"/>
      <c r="AS127" s="61"/>
      <c r="AT127" s="63"/>
      <c r="AU127" s="72" t="str">
        <f aca="false">IF(Q127="","",IF(N(Q127)=0,"",N(AT127)/Q127))</f>
        <v/>
      </c>
      <c r="AV127" s="75" t="str">
        <f aca="false">IF(OR(A127="",O127="",Q127=""),"",MAX(0,Q127-N(AT127)))</f>
        <v/>
      </c>
      <c r="AW127" s="66" t="str">
        <f aca="false">IF(OR(AV127="",W127=""),"",IF(N(Q127)=0,0,AV127/Q127*AD127))</f>
        <v/>
      </c>
      <c r="AX127" s="76" t="str">
        <f aca="false">IF(A127="","",IF(O127="","No PO Yet",IF(Q127="","Order Qty Missing",IF(N(AT127)&gt;=Q127,IF(N(AT127)&gt;Q127,"All In-house (+"&amp;TEXT(N(AT127)-Q127,"#,##0")&amp;" "&amp;R127&amp;" excess)","All In-house"),IF(AY127&lt;&gt;"","Short Closed - "&amp;TEXT(AV127,"#,##0")&amp;" "&amp;R127&amp;" not received",IF(N(AT127)=0,"Not Started - "&amp;TEXT(AV127,"#,##0")&amp;" "&amp;R127&amp;" pending","Pending "&amp;TEXT(AV127,"#,##0")&amp;" "&amp;R127&amp;" ("&amp;TEXT(AU127,"0%")&amp;" received)"))))))</f>
        <v/>
      </c>
      <c r="AY127" s="61"/>
      <c r="AZ127" s="77" t="str">
        <f aca="false">IF(OR(B127="",J127=""),"",J127-B127)</f>
        <v/>
      </c>
      <c r="BA127" s="77" t="str">
        <f aca="false">IF(OR(J127="",P127=""),"",P127-J127)</f>
        <v/>
      </c>
      <c r="BB127" s="77" t="str">
        <f aca="false">IF(OR(P127="",AY127=""),"",AY127-P127)</f>
        <v/>
      </c>
      <c r="BC127" s="77" t="str">
        <f aca="false">IF(OR(B127="",AY127=""),"",AY127-B127)</f>
        <v/>
      </c>
      <c r="BD127" s="74" t="str">
        <f aca="false">IF(OR(AR127="",O127=""),"",MAX(0,IF(AY127="",Settings!$B$4,AY127)-AR127))</f>
        <v/>
      </c>
      <c r="BE127" s="73" t="str">
        <f aca="false">IF(OR(AY127="",AR127=""),"",IF(AND(AY127&lt;=AR127,N(AU127)&gt;=Settings!$B$6),"OTIF","Not OTIF"))</f>
        <v/>
      </c>
      <c r="BF127" s="60"/>
      <c r="BG127" s="62"/>
      <c r="BH127" s="78"/>
      <c r="BI127" s="76" t="str">
        <f aca="false">IF(A127="","",IF(K127="Rejected","Rejected",IF(K127&lt;&gt;"Approved","Awaiting Approval",IF(O127="","Approved - PO Pending",IF(AY127&lt;&gt;"",IF(N(AJ127)&gt;=0.999,"Closed","In-house Closed - Payment Due"),IF(AS127&lt;&gt;"","Receiving In-house","PO Issued - Awaiting Delivery"))))))</f>
        <v/>
      </c>
      <c r="BJ127" s="76" t="str">
        <f aca="false">IF(A127="","",IF(IF(AND(A127&lt;&gt;"",OR(B127="",C127="",E127="",F127="",H127="")),"PR info missing; ","")&amp;IF(AND(K127="Approved",OR(J127="",I127="")),"Approval ref/date missing; ","")&amp;IF(AND(O127&lt;&gt;"",K127&lt;&gt;"Approved"),"PO without approval; ","")&amp;IF(AND(O127&lt;&gt;"",OR(P127="",M127="",Q127="",S127="",T127="")),"PO details missing; ","")&amp;IF(AND(O127&lt;&gt;"",AR127=""),"Committed date missing; ","")&amp;IF(AND(ISNUMBER(J127),ISNUMBER(B127),N(J127)&lt;N(B127)),"Approval dated before PR; ","")&amp;IF(AND(ISNUMBER(P127),ISNUMBER(J127),N(P127)&lt;N(J127)),"PO dated before approval; ","")&amp;IF(AND(ISNUMBER(AY127),ISNUMBER(AS127),N(AY127)&lt;N(AS127)),"Close before in-house start; ","")&amp;IF(AND(AY127&lt;&gt;"",AS127=""),"In-house start date missing; ","")&amp;IF(AND(AY127&lt;&gt;"",AT127=""),"Qty received missing; ","")&amp;IF(AND(AY127&lt;&gt;"",BF127=""),"QC status missing; ","")&amp;IF(N(AT127)&gt;N(Q127)*1.05,"Received &gt; ordered +5%; ","")&amp;IF(AND(N(AI127)&gt;0,AE127=""),"Payment terms missing; ","")&amp;IF(N(AI127)&gt;N(AD127)+1,"Overpaid vs PO; ","")&amp;IF(AND(N(AK127)&gt;0,AY127&lt;&gt;"",AO127=""),"Payment due date missing; ","")="","OK",IF(AND(A127&lt;&gt;"",OR(B127="",C127="",E127="",F127="",H127="")),"PR info missing; ","")&amp;IF(AND(K127="Approved",OR(J127="",I127="")),"Approval ref/date missing; ","")&amp;IF(AND(O127&lt;&gt;"",K127&lt;&gt;"Approved"),"PO without approval; ","")&amp;IF(AND(O127&lt;&gt;"",OR(P127="",M127="",Q127="",S127="",T127="")),"PO details missing; ","")&amp;IF(AND(O127&lt;&gt;"",AR127=""),"Committed date missing; ","")&amp;IF(AND(ISNUMBER(J127),ISNUMBER(B127),N(J127)&lt;N(B127)),"Approval dated before PR; ","")&amp;IF(AND(ISNUMBER(P127),ISNUMBER(J127),N(P127)&lt;N(J127)),"PO dated before approval; ","")&amp;IF(AND(ISNUMBER(AY127),ISNUMBER(AS127),N(AY127)&lt;N(AS127)),"Close before in-house start; ","")&amp;IF(AND(AY127&lt;&gt;"",AS127=""),"In-house start date missing; ","")&amp;IF(AND(AY127&lt;&gt;"",AT127=""),"Qty received missing; ","")&amp;IF(AND(AY127&lt;&gt;"",BF127=""),"QC status missing; ","")&amp;IF(N(AT127)&gt;N(Q127)*1.05,"Received &gt; ordered +5%; ","")&amp;IF(AND(N(AI127)&gt;0,AE127=""),"Payment terms missing; ","")&amp;IF(N(AI127)&gt;N(AD127)+1,"Overpaid vs PO; ","")&amp;IF(AND(N(AK127)&gt;0,AY127&lt;&gt;"",AO127=""),"Payment due date missing; ","")))</f>
        <v/>
      </c>
      <c r="BK127" s="76" t="str">
        <f aca="false">IF(A127="","",IF(N(AP127)&gt;0,"Pay supplier: "&amp;N(AP127)&amp;" days overdue; ","")&amp;IF(AND(O127&lt;&gt;"",AY127="",N(BD127)&gt;0),"Expedite delivery: "&amp;N(BD127)&amp;" days late; ","")&amp;IF(AND(BI127="Awaiting Approval",ISNUMBER(B127),Settings!$B$4-N(B127)&gt;Settings!$B$19),"Get approval: PR waiting "&amp;(Settings!$B$4-N(B127))&amp;" days; ","")&amp;IF(AND(BI127="Approved - PO Pending",ISNUMBER(J127),Settings!$B$4-N(J127)&gt;Settings!$B$20),"Issue PO: approved "&amp;(Settings!$B$4-N(J127))&amp;" days ago; ","")&amp;IF(AND(OR(BI127="Awaiting Approval",BI127="Approved - PO Pending"),N(AB127)&gt;Settings!$B$7),"Negotiate price: "&amp;TEXT(AB127,"0%")&amp;" above budget; ","")&amp;IF(LEFT(AX127,12)="Short Closed","Short closed: claim balance / credit note"&amp;IF(N(AL127)&gt;0," BDT "&amp;TEXT(AL127,"#,##0"),"")&amp;"; ","")&amp;IF(BF127="Rejected","QC rejected: return / replace; ","")&amp;IF(AND(O127&lt;&gt;"",AY127="",N(AL127)&gt;0,N(BD127)&gt;0),"Advance at risk: BDT "&amp;TEXT(AL127,"#,##0")&amp;" paid, goods late; ","")&amp;IF(AND(BJ127&lt;&gt;"",BJ127&lt;&gt;"OK"),"Fix data entry (see Data Check); ",""))</f>
        <v/>
      </c>
      <c r="BL127" s="73" t="str">
        <f aca="false">IF(BK127="","",IF(OR(N(AP127)&gt;30,AND(AY127="",N(BD127)&gt;15),BF127="Rejected",AND(LEFT(AX127,12)="Short Closed",N(AL127)&gt;0),AND(O127&lt;&gt;"",AY127="",N(AL127)&gt;0,N(BD127)&gt;0)),"High",IF(OR(N(AP127)&gt;0,AND(AY127="",N(BD127)&gt;7),LEFT(AX127,12)="Short Closed",AND(BI127="Awaiting Approval",ISNUMBER(B127),Settings!$B$4-N(B127)&gt;2*Settings!$B$19),AND(BI127="Approved - PO Pending",ISNUMBER(J127),Settings!$B$4-N(J127)&gt;2*Settings!$B$20)),"Medium","Low")))</f>
        <v/>
      </c>
      <c r="BM127" s="77" t="str">
        <f aca="false">IF(BL127="","",IF(BL127="High",1,IF(BL127="Medium",2,3))*10000+ROW())</f>
        <v/>
      </c>
      <c r="BN127" s="62"/>
    </row>
    <row r="128" customFormat="false" ht="18" hidden="false" customHeight="true" outlineLevel="0" collapsed="false">
      <c r="A128" s="60"/>
      <c r="B128" s="61"/>
      <c r="C128" s="62"/>
      <c r="D128" s="62"/>
      <c r="E128" s="62"/>
      <c r="F128" s="62"/>
      <c r="G128" s="62"/>
      <c r="H128" s="60"/>
      <c r="I128" s="60"/>
      <c r="J128" s="61"/>
      <c r="K128" s="60"/>
      <c r="L128" s="60"/>
      <c r="M128" s="62"/>
      <c r="N128" s="60"/>
      <c r="O128" s="60"/>
      <c r="P128" s="61"/>
      <c r="Q128" s="63"/>
      <c r="R128" s="60"/>
      <c r="S128" s="64"/>
      <c r="T128" s="60"/>
      <c r="U128" s="65" t="str">
        <f aca="false">IF(AND(T128="",S128=""),"",IF(T128="",1,IFERROR(INDEX(Settings!$B$12:$B$16,MATCH(T128,Settings!$A$12:$A$16,0)),1)))</f>
        <v/>
      </c>
      <c r="V128" s="64"/>
      <c r="W128" s="66" t="str">
        <f aca="false">IF(OR(Q128="",S128=""),"",Q128*S128*U128)</f>
        <v/>
      </c>
      <c r="X128" s="65" t="str">
        <f aca="false">IF(OR(W128="",N(Q128)=0),"",W128/Q128)</f>
        <v/>
      </c>
      <c r="Y128" s="65" t="str">
        <f aca="false">IF(OR(X128="",P128="",E128=""),"",IF(_xlfn.MAXIFS($P$6:$P$205,$E$6:$E$205,E128,$P$6:$P$205,"&lt;"&amp;P128,$X$6:$X$205,"&gt;0")=0,"",IFERROR(AVERAGEIFS($X$6:$X$205,$E$6:$E$205,E128,$P$6:$P$205,_xlfn.MAXIFS($P$6:$P$205,$E$6:$E$205,E128,$P$6:$P$205,"&lt;"&amp;P128,$X$6:$X$205,"&gt;0"),$X$6:$X$205,"&gt;0"),"")))</f>
        <v/>
      </c>
      <c r="Z128" s="67" t="str">
        <f aca="false">IF(OR(Y128="",X128=""),"",X128/Y128-1)</f>
        <v/>
      </c>
      <c r="AA128" s="68" t="str">
        <f aca="false">IF(OR(W128="",V128=""),"",W128-Q128*V128)</f>
        <v/>
      </c>
      <c r="AB128" s="69" t="str">
        <f aca="false">IF(AA128="","",IF(N(V128)*N(Q128)=0,"",AA128/(Q128*V128)))</f>
        <v/>
      </c>
      <c r="AC128" s="70"/>
      <c r="AD128" s="66" t="str">
        <f aca="false">IF(W128="","",W128*(1+N(AC128)))</f>
        <v/>
      </c>
      <c r="AE128" s="62"/>
      <c r="AF128" s="71"/>
      <c r="AG128" s="71"/>
      <c r="AH128" s="71"/>
      <c r="AI128" s="66" t="str">
        <f aca="false">IF(A128="","",N(AF128)+N(AG128)+N(AH128))</f>
        <v/>
      </c>
      <c r="AJ128" s="72" t="str">
        <f aca="false">IF(AD128="","",IF(N(AD128)=0,"",AI128/AD128))</f>
        <v/>
      </c>
      <c r="AK128" s="66" t="str">
        <f aca="false">IF(AD128="","",IF(AD128-AI128&lt;1,0,ROUND(AD128-AI128,2)))</f>
        <v/>
      </c>
      <c r="AL128" s="66" t="str">
        <f aca="false">IF(OR(O128="",AD128=""),"",MAX(0,ROUND(N(AI128)-(AD128-N(AW128)),0)))</f>
        <v/>
      </c>
      <c r="AM128" s="73" t="str">
        <f aca="false">IF(A128="","",IF(O128="","No PO Yet",IF(AI128=0,"Not Paid",IF(N(AJ128)&gt;=0.999,"Fully Paid",IF(N(AG128)+N(AH128)&gt;0,"Partially Paid","Initial / Advance Paid")))))</f>
        <v/>
      </c>
      <c r="AN128" s="61"/>
      <c r="AO128" s="61"/>
      <c r="AP128" s="74" t="str">
        <f aca="false">IF(AK128="","",IF(OR(N(AK128)=0,AO128=""),"",MAX(0,Settings!$B$4-AO128)))</f>
        <v/>
      </c>
      <c r="AQ128" s="73" t="str">
        <f aca="false">IF(AK128="","",IF(N(AK128)&lt;=0,"",IF(AO128="","No Due Date",IF(Settings!$B$4&lt;=AO128,"Not Yet Due",IF(Settings!$B$4-AO128&lt;=30,"1-30 Days",IF(Settings!$B$4-AO128&lt;=60,"31-60 Days",IF(Settings!$B$4-AO128&lt;=90,"61-90 Days","90+ Days")))))))</f>
        <v/>
      </c>
      <c r="AR128" s="61"/>
      <c r="AS128" s="61"/>
      <c r="AT128" s="63"/>
      <c r="AU128" s="72" t="str">
        <f aca="false">IF(Q128="","",IF(N(Q128)=0,"",N(AT128)/Q128))</f>
        <v/>
      </c>
      <c r="AV128" s="75" t="str">
        <f aca="false">IF(OR(A128="",O128="",Q128=""),"",MAX(0,Q128-N(AT128)))</f>
        <v/>
      </c>
      <c r="AW128" s="66" t="str">
        <f aca="false">IF(OR(AV128="",W128=""),"",IF(N(Q128)=0,0,AV128/Q128*AD128))</f>
        <v/>
      </c>
      <c r="AX128" s="76" t="str">
        <f aca="false">IF(A128="","",IF(O128="","No PO Yet",IF(Q128="","Order Qty Missing",IF(N(AT128)&gt;=Q128,IF(N(AT128)&gt;Q128,"All In-house (+"&amp;TEXT(N(AT128)-Q128,"#,##0")&amp;" "&amp;R128&amp;" excess)","All In-house"),IF(AY128&lt;&gt;"","Short Closed - "&amp;TEXT(AV128,"#,##0")&amp;" "&amp;R128&amp;" not received",IF(N(AT128)=0,"Not Started - "&amp;TEXT(AV128,"#,##0")&amp;" "&amp;R128&amp;" pending","Pending "&amp;TEXT(AV128,"#,##0")&amp;" "&amp;R128&amp;" ("&amp;TEXT(AU128,"0%")&amp;" received)"))))))</f>
        <v/>
      </c>
      <c r="AY128" s="61"/>
      <c r="AZ128" s="77" t="str">
        <f aca="false">IF(OR(B128="",J128=""),"",J128-B128)</f>
        <v/>
      </c>
      <c r="BA128" s="77" t="str">
        <f aca="false">IF(OR(J128="",P128=""),"",P128-J128)</f>
        <v/>
      </c>
      <c r="BB128" s="77" t="str">
        <f aca="false">IF(OR(P128="",AY128=""),"",AY128-P128)</f>
        <v/>
      </c>
      <c r="BC128" s="77" t="str">
        <f aca="false">IF(OR(B128="",AY128=""),"",AY128-B128)</f>
        <v/>
      </c>
      <c r="BD128" s="74" t="str">
        <f aca="false">IF(OR(AR128="",O128=""),"",MAX(0,IF(AY128="",Settings!$B$4,AY128)-AR128))</f>
        <v/>
      </c>
      <c r="BE128" s="73" t="str">
        <f aca="false">IF(OR(AY128="",AR128=""),"",IF(AND(AY128&lt;=AR128,N(AU128)&gt;=Settings!$B$6),"OTIF","Not OTIF"))</f>
        <v/>
      </c>
      <c r="BF128" s="60"/>
      <c r="BG128" s="62"/>
      <c r="BH128" s="78"/>
      <c r="BI128" s="76" t="str">
        <f aca="false">IF(A128="","",IF(K128="Rejected","Rejected",IF(K128&lt;&gt;"Approved","Awaiting Approval",IF(O128="","Approved - PO Pending",IF(AY128&lt;&gt;"",IF(N(AJ128)&gt;=0.999,"Closed","In-house Closed - Payment Due"),IF(AS128&lt;&gt;"","Receiving In-house","PO Issued - Awaiting Delivery"))))))</f>
        <v/>
      </c>
      <c r="BJ128" s="76" t="str">
        <f aca="false">IF(A128="","",IF(IF(AND(A128&lt;&gt;"",OR(B128="",C128="",E128="",F128="",H128="")),"PR info missing; ","")&amp;IF(AND(K128="Approved",OR(J128="",I128="")),"Approval ref/date missing; ","")&amp;IF(AND(O128&lt;&gt;"",K128&lt;&gt;"Approved"),"PO without approval; ","")&amp;IF(AND(O128&lt;&gt;"",OR(P128="",M128="",Q128="",S128="",T128="")),"PO details missing; ","")&amp;IF(AND(O128&lt;&gt;"",AR128=""),"Committed date missing; ","")&amp;IF(AND(ISNUMBER(J128),ISNUMBER(B128),N(J128)&lt;N(B128)),"Approval dated before PR; ","")&amp;IF(AND(ISNUMBER(P128),ISNUMBER(J128),N(P128)&lt;N(J128)),"PO dated before approval; ","")&amp;IF(AND(ISNUMBER(AY128),ISNUMBER(AS128),N(AY128)&lt;N(AS128)),"Close before in-house start; ","")&amp;IF(AND(AY128&lt;&gt;"",AS128=""),"In-house start date missing; ","")&amp;IF(AND(AY128&lt;&gt;"",AT128=""),"Qty received missing; ","")&amp;IF(AND(AY128&lt;&gt;"",BF128=""),"QC status missing; ","")&amp;IF(N(AT128)&gt;N(Q128)*1.05,"Received &gt; ordered +5%; ","")&amp;IF(AND(N(AI128)&gt;0,AE128=""),"Payment terms missing; ","")&amp;IF(N(AI128)&gt;N(AD128)+1,"Overpaid vs PO; ","")&amp;IF(AND(N(AK128)&gt;0,AY128&lt;&gt;"",AO128=""),"Payment due date missing; ","")="","OK",IF(AND(A128&lt;&gt;"",OR(B128="",C128="",E128="",F128="",H128="")),"PR info missing; ","")&amp;IF(AND(K128="Approved",OR(J128="",I128="")),"Approval ref/date missing; ","")&amp;IF(AND(O128&lt;&gt;"",K128&lt;&gt;"Approved"),"PO without approval; ","")&amp;IF(AND(O128&lt;&gt;"",OR(P128="",M128="",Q128="",S128="",T128="")),"PO details missing; ","")&amp;IF(AND(O128&lt;&gt;"",AR128=""),"Committed date missing; ","")&amp;IF(AND(ISNUMBER(J128),ISNUMBER(B128),N(J128)&lt;N(B128)),"Approval dated before PR; ","")&amp;IF(AND(ISNUMBER(P128),ISNUMBER(J128),N(P128)&lt;N(J128)),"PO dated before approval; ","")&amp;IF(AND(ISNUMBER(AY128),ISNUMBER(AS128),N(AY128)&lt;N(AS128)),"Close before in-house start; ","")&amp;IF(AND(AY128&lt;&gt;"",AS128=""),"In-house start date missing; ","")&amp;IF(AND(AY128&lt;&gt;"",AT128=""),"Qty received missing; ","")&amp;IF(AND(AY128&lt;&gt;"",BF128=""),"QC status missing; ","")&amp;IF(N(AT128)&gt;N(Q128)*1.05,"Received &gt; ordered +5%; ","")&amp;IF(AND(N(AI128)&gt;0,AE128=""),"Payment terms missing; ","")&amp;IF(N(AI128)&gt;N(AD128)+1,"Overpaid vs PO; ","")&amp;IF(AND(N(AK128)&gt;0,AY128&lt;&gt;"",AO128=""),"Payment due date missing; ","")))</f>
        <v/>
      </c>
      <c r="BK128" s="76" t="str">
        <f aca="false">IF(A128="","",IF(N(AP128)&gt;0,"Pay supplier: "&amp;N(AP128)&amp;" days overdue; ","")&amp;IF(AND(O128&lt;&gt;"",AY128="",N(BD128)&gt;0),"Expedite delivery: "&amp;N(BD128)&amp;" days late; ","")&amp;IF(AND(BI128="Awaiting Approval",ISNUMBER(B128),Settings!$B$4-N(B128)&gt;Settings!$B$19),"Get approval: PR waiting "&amp;(Settings!$B$4-N(B128))&amp;" days; ","")&amp;IF(AND(BI128="Approved - PO Pending",ISNUMBER(J128),Settings!$B$4-N(J128)&gt;Settings!$B$20),"Issue PO: approved "&amp;(Settings!$B$4-N(J128))&amp;" days ago; ","")&amp;IF(AND(OR(BI128="Awaiting Approval",BI128="Approved - PO Pending"),N(AB128)&gt;Settings!$B$7),"Negotiate price: "&amp;TEXT(AB128,"0%")&amp;" above budget; ","")&amp;IF(LEFT(AX128,12)="Short Closed","Short closed: claim balance / credit note"&amp;IF(N(AL128)&gt;0," BDT "&amp;TEXT(AL128,"#,##0"),"")&amp;"; ","")&amp;IF(BF128="Rejected","QC rejected: return / replace; ","")&amp;IF(AND(O128&lt;&gt;"",AY128="",N(AL128)&gt;0,N(BD128)&gt;0),"Advance at risk: BDT "&amp;TEXT(AL128,"#,##0")&amp;" paid, goods late; ","")&amp;IF(AND(BJ128&lt;&gt;"",BJ128&lt;&gt;"OK"),"Fix data entry (see Data Check); ",""))</f>
        <v/>
      </c>
      <c r="BL128" s="73" t="str">
        <f aca="false">IF(BK128="","",IF(OR(N(AP128)&gt;30,AND(AY128="",N(BD128)&gt;15),BF128="Rejected",AND(LEFT(AX128,12)="Short Closed",N(AL128)&gt;0),AND(O128&lt;&gt;"",AY128="",N(AL128)&gt;0,N(BD128)&gt;0)),"High",IF(OR(N(AP128)&gt;0,AND(AY128="",N(BD128)&gt;7),LEFT(AX128,12)="Short Closed",AND(BI128="Awaiting Approval",ISNUMBER(B128),Settings!$B$4-N(B128)&gt;2*Settings!$B$19),AND(BI128="Approved - PO Pending",ISNUMBER(J128),Settings!$B$4-N(J128)&gt;2*Settings!$B$20)),"Medium","Low")))</f>
        <v/>
      </c>
      <c r="BM128" s="77" t="str">
        <f aca="false">IF(BL128="","",IF(BL128="High",1,IF(BL128="Medium",2,3))*10000+ROW())</f>
        <v/>
      </c>
      <c r="BN128" s="62"/>
    </row>
    <row r="129" customFormat="false" ht="18" hidden="false" customHeight="true" outlineLevel="0" collapsed="false">
      <c r="A129" s="60"/>
      <c r="B129" s="61"/>
      <c r="C129" s="62"/>
      <c r="D129" s="62"/>
      <c r="E129" s="62"/>
      <c r="F129" s="62"/>
      <c r="G129" s="62"/>
      <c r="H129" s="60"/>
      <c r="I129" s="60"/>
      <c r="J129" s="61"/>
      <c r="K129" s="60"/>
      <c r="L129" s="60"/>
      <c r="M129" s="62"/>
      <c r="N129" s="60"/>
      <c r="O129" s="60"/>
      <c r="P129" s="61"/>
      <c r="Q129" s="63"/>
      <c r="R129" s="60"/>
      <c r="S129" s="64"/>
      <c r="T129" s="60"/>
      <c r="U129" s="65" t="str">
        <f aca="false">IF(AND(T129="",S129=""),"",IF(T129="",1,IFERROR(INDEX(Settings!$B$12:$B$16,MATCH(T129,Settings!$A$12:$A$16,0)),1)))</f>
        <v/>
      </c>
      <c r="V129" s="64"/>
      <c r="W129" s="66" t="str">
        <f aca="false">IF(OR(Q129="",S129=""),"",Q129*S129*U129)</f>
        <v/>
      </c>
      <c r="X129" s="65" t="str">
        <f aca="false">IF(OR(W129="",N(Q129)=0),"",W129/Q129)</f>
        <v/>
      </c>
      <c r="Y129" s="65" t="str">
        <f aca="false">IF(OR(X129="",P129="",E129=""),"",IF(_xlfn.MAXIFS($P$6:$P$205,$E$6:$E$205,E129,$P$6:$P$205,"&lt;"&amp;P129,$X$6:$X$205,"&gt;0")=0,"",IFERROR(AVERAGEIFS($X$6:$X$205,$E$6:$E$205,E129,$P$6:$P$205,_xlfn.MAXIFS($P$6:$P$205,$E$6:$E$205,E129,$P$6:$P$205,"&lt;"&amp;P129,$X$6:$X$205,"&gt;0"),$X$6:$X$205,"&gt;0"),"")))</f>
        <v/>
      </c>
      <c r="Z129" s="67" t="str">
        <f aca="false">IF(OR(Y129="",X129=""),"",X129/Y129-1)</f>
        <v/>
      </c>
      <c r="AA129" s="68" t="str">
        <f aca="false">IF(OR(W129="",V129=""),"",W129-Q129*V129)</f>
        <v/>
      </c>
      <c r="AB129" s="69" t="str">
        <f aca="false">IF(AA129="","",IF(N(V129)*N(Q129)=0,"",AA129/(Q129*V129)))</f>
        <v/>
      </c>
      <c r="AC129" s="70"/>
      <c r="AD129" s="66" t="str">
        <f aca="false">IF(W129="","",W129*(1+N(AC129)))</f>
        <v/>
      </c>
      <c r="AE129" s="62"/>
      <c r="AF129" s="71"/>
      <c r="AG129" s="71"/>
      <c r="AH129" s="71"/>
      <c r="AI129" s="66" t="str">
        <f aca="false">IF(A129="","",N(AF129)+N(AG129)+N(AH129))</f>
        <v/>
      </c>
      <c r="AJ129" s="72" t="str">
        <f aca="false">IF(AD129="","",IF(N(AD129)=0,"",AI129/AD129))</f>
        <v/>
      </c>
      <c r="AK129" s="66" t="str">
        <f aca="false">IF(AD129="","",IF(AD129-AI129&lt;1,0,ROUND(AD129-AI129,2)))</f>
        <v/>
      </c>
      <c r="AL129" s="66" t="str">
        <f aca="false">IF(OR(O129="",AD129=""),"",MAX(0,ROUND(N(AI129)-(AD129-N(AW129)),0)))</f>
        <v/>
      </c>
      <c r="AM129" s="73" t="str">
        <f aca="false">IF(A129="","",IF(O129="","No PO Yet",IF(AI129=0,"Not Paid",IF(N(AJ129)&gt;=0.999,"Fully Paid",IF(N(AG129)+N(AH129)&gt;0,"Partially Paid","Initial / Advance Paid")))))</f>
        <v/>
      </c>
      <c r="AN129" s="61"/>
      <c r="AO129" s="61"/>
      <c r="AP129" s="74" t="str">
        <f aca="false">IF(AK129="","",IF(OR(N(AK129)=0,AO129=""),"",MAX(0,Settings!$B$4-AO129)))</f>
        <v/>
      </c>
      <c r="AQ129" s="73" t="str">
        <f aca="false">IF(AK129="","",IF(N(AK129)&lt;=0,"",IF(AO129="","No Due Date",IF(Settings!$B$4&lt;=AO129,"Not Yet Due",IF(Settings!$B$4-AO129&lt;=30,"1-30 Days",IF(Settings!$B$4-AO129&lt;=60,"31-60 Days",IF(Settings!$B$4-AO129&lt;=90,"61-90 Days","90+ Days")))))))</f>
        <v/>
      </c>
      <c r="AR129" s="61"/>
      <c r="AS129" s="61"/>
      <c r="AT129" s="63"/>
      <c r="AU129" s="72" t="str">
        <f aca="false">IF(Q129="","",IF(N(Q129)=0,"",N(AT129)/Q129))</f>
        <v/>
      </c>
      <c r="AV129" s="75" t="str">
        <f aca="false">IF(OR(A129="",O129="",Q129=""),"",MAX(0,Q129-N(AT129)))</f>
        <v/>
      </c>
      <c r="AW129" s="66" t="str">
        <f aca="false">IF(OR(AV129="",W129=""),"",IF(N(Q129)=0,0,AV129/Q129*AD129))</f>
        <v/>
      </c>
      <c r="AX129" s="76" t="str">
        <f aca="false">IF(A129="","",IF(O129="","No PO Yet",IF(Q129="","Order Qty Missing",IF(N(AT129)&gt;=Q129,IF(N(AT129)&gt;Q129,"All In-house (+"&amp;TEXT(N(AT129)-Q129,"#,##0")&amp;" "&amp;R129&amp;" excess)","All In-house"),IF(AY129&lt;&gt;"","Short Closed - "&amp;TEXT(AV129,"#,##0")&amp;" "&amp;R129&amp;" not received",IF(N(AT129)=0,"Not Started - "&amp;TEXT(AV129,"#,##0")&amp;" "&amp;R129&amp;" pending","Pending "&amp;TEXT(AV129,"#,##0")&amp;" "&amp;R129&amp;" ("&amp;TEXT(AU129,"0%")&amp;" received)"))))))</f>
        <v/>
      </c>
      <c r="AY129" s="61"/>
      <c r="AZ129" s="77" t="str">
        <f aca="false">IF(OR(B129="",J129=""),"",J129-B129)</f>
        <v/>
      </c>
      <c r="BA129" s="77" t="str">
        <f aca="false">IF(OR(J129="",P129=""),"",P129-J129)</f>
        <v/>
      </c>
      <c r="BB129" s="77" t="str">
        <f aca="false">IF(OR(P129="",AY129=""),"",AY129-P129)</f>
        <v/>
      </c>
      <c r="BC129" s="77" t="str">
        <f aca="false">IF(OR(B129="",AY129=""),"",AY129-B129)</f>
        <v/>
      </c>
      <c r="BD129" s="74" t="str">
        <f aca="false">IF(OR(AR129="",O129=""),"",MAX(0,IF(AY129="",Settings!$B$4,AY129)-AR129))</f>
        <v/>
      </c>
      <c r="BE129" s="73" t="str">
        <f aca="false">IF(OR(AY129="",AR129=""),"",IF(AND(AY129&lt;=AR129,N(AU129)&gt;=Settings!$B$6),"OTIF","Not OTIF"))</f>
        <v/>
      </c>
      <c r="BF129" s="60"/>
      <c r="BG129" s="62"/>
      <c r="BH129" s="78"/>
      <c r="BI129" s="76" t="str">
        <f aca="false">IF(A129="","",IF(K129="Rejected","Rejected",IF(K129&lt;&gt;"Approved","Awaiting Approval",IF(O129="","Approved - PO Pending",IF(AY129&lt;&gt;"",IF(N(AJ129)&gt;=0.999,"Closed","In-house Closed - Payment Due"),IF(AS129&lt;&gt;"","Receiving In-house","PO Issued - Awaiting Delivery"))))))</f>
        <v/>
      </c>
      <c r="BJ129" s="76" t="str">
        <f aca="false">IF(A129="","",IF(IF(AND(A129&lt;&gt;"",OR(B129="",C129="",E129="",F129="",H129="")),"PR info missing; ","")&amp;IF(AND(K129="Approved",OR(J129="",I129="")),"Approval ref/date missing; ","")&amp;IF(AND(O129&lt;&gt;"",K129&lt;&gt;"Approved"),"PO without approval; ","")&amp;IF(AND(O129&lt;&gt;"",OR(P129="",M129="",Q129="",S129="",T129="")),"PO details missing; ","")&amp;IF(AND(O129&lt;&gt;"",AR129=""),"Committed date missing; ","")&amp;IF(AND(ISNUMBER(J129),ISNUMBER(B129),N(J129)&lt;N(B129)),"Approval dated before PR; ","")&amp;IF(AND(ISNUMBER(P129),ISNUMBER(J129),N(P129)&lt;N(J129)),"PO dated before approval; ","")&amp;IF(AND(ISNUMBER(AY129),ISNUMBER(AS129),N(AY129)&lt;N(AS129)),"Close before in-house start; ","")&amp;IF(AND(AY129&lt;&gt;"",AS129=""),"In-house start date missing; ","")&amp;IF(AND(AY129&lt;&gt;"",AT129=""),"Qty received missing; ","")&amp;IF(AND(AY129&lt;&gt;"",BF129=""),"QC status missing; ","")&amp;IF(N(AT129)&gt;N(Q129)*1.05,"Received &gt; ordered +5%; ","")&amp;IF(AND(N(AI129)&gt;0,AE129=""),"Payment terms missing; ","")&amp;IF(N(AI129)&gt;N(AD129)+1,"Overpaid vs PO; ","")&amp;IF(AND(N(AK129)&gt;0,AY129&lt;&gt;"",AO129=""),"Payment due date missing; ","")="","OK",IF(AND(A129&lt;&gt;"",OR(B129="",C129="",E129="",F129="",H129="")),"PR info missing; ","")&amp;IF(AND(K129="Approved",OR(J129="",I129="")),"Approval ref/date missing; ","")&amp;IF(AND(O129&lt;&gt;"",K129&lt;&gt;"Approved"),"PO without approval; ","")&amp;IF(AND(O129&lt;&gt;"",OR(P129="",M129="",Q129="",S129="",T129="")),"PO details missing; ","")&amp;IF(AND(O129&lt;&gt;"",AR129=""),"Committed date missing; ","")&amp;IF(AND(ISNUMBER(J129),ISNUMBER(B129),N(J129)&lt;N(B129)),"Approval dated before PR; ","")&amp;IF(AND(ISNUMBER(P129),ISNUMBER(J129),N(P129)&lt;N(J129)),"PO dated before approval; ","")&amp;IF(AND(ISNUMBER(AY129),ISNUMBER(AS129),N(AY129)&lt;N(AS129)),"Close before in-house start; ","")&amp;IF(AND(AY129&lt;&gt;"",AS129=""),"In-house start date missing; ","")&amp;IF(AND(AY129&lt;&gt;"",AT129=""),"Qty received missing; ","")&amp;IF(AND(AY129&lt;&gt;"",BF129=""),"QC status missing; ","")&amp;IF(N(AT129)&gt;N(Q129)*1.05,"Received &gt; ordered +5%; ","")&amp;IF(AND(N(AI129)&gt;0,AE129=""),"Payment terms missing; ","")&amp;IF(N(AI129)&gt;N(AD129)+1,"Overpaid vs PO; ","")&amp;IF(AND(N(AK129)&gt;0,AY129&lt;&gt;"",AO129=""),"Payment due date missing; ","")))</f>
        <v/>
      </c>
      <c r="BK129" s="76" t="str">
        <f aca="false">IF(A129="","",IF(N(AP129)&gt;0,"Pay supplier: "&amp;N(AP129)&amp;" days overdue; ","")&amp;IF(AND(O129&lt;&gt;"",AY129="",N(BD129)&gt;0),"Expedite delivery: "&amp;N(BD129)&amp;" days late; ","")&amp;IF(AND(BI129="Awaiting Approval",ISNUMBER(B129),Settings!$B$4-N(B129)&gt;Settings!$B$19),"Get approval: PR waiting "&amp;(Settings!$B$4-N(B129))&amp;" days; ","")&amp;IF(AND(BI129="Approved - PO Pending",ISNUMBER(J129),Settings!$B$4-N(J129)&gt;Settings!$B$20),"Issue PO: approved "&amp;(Settings!$B$4-N(J129))&amp;" days ago; ","")&amp;IF(AND(OR(BI129="Awaiting Approval",BI129="Approved - PO Pending"),N(AB129)&gt;Settings!$B$7),"Negotiate price: "&amp;TEXT(AB129,"0%")&amp;" above budget; ","")&amp;IF(LEFT(AX129,12)="Short Closed","Short closed: claim balance / credit note"&amp;IF(N(AL129)&gt;0," BDT "&amp;TEXT(AL129,"#,##0"),"")&amp;"; ","")&amp;IF(BF129="Rejected","QC rejected: return / replace; ","")&amp;IF(AND(O129&lt;&gt;"",AY129="",N(AL129)&gt;0,N(BD129)&gt;0),"Advance at risk: BDT "&amp;TEXT(AL129,"#,##0")&amp;" paid, goods late; ","")&amp;IF(AND(BJ129&lt;&gt;"",BJ129&lt;&gt;"OK"),"Fix data entry (see Data Check); ",""))</f>
        <v/>
      </c>
      <c r="BL129" s="73" t="str">
        <f aca="false">IF(BK129="","",IF(OR(N(AP129)&gt;30,AND(AY129="",N(BD129)&gt;15),BF129="Rejected",AND(LEFT(AX129,12)="Short Closed",N(AL129)&gt;0),AND(O129&lt;&gt;"",AY129="",N(AL129)&gt;0,N(BD129)&gt;0)),"High",IF(OR(N(AP129)&gt;0,AND(AY129="",N(BD129)&gt;7),LEFT(AX129,12)="Short Closed",AND(BI129="Awaiting Approval",ISNUMBER(B129),Settings!$B$4-N(B129)&gt;2*Settings!$B$19),AND(BI129="Approved - PO Pending",ISNUMBER(J129),Settings!$B$4-N(J129)&gt;2*Settings!$B$20)),"Medium","Low")))</f>
        <v/>
      </c>
      <c r="BM129" s="77" t="str">
        <f aca="false">IF(BL129="","",IF(BL129="High",1,IF(BL129="Medium",2,3))*10000+ROW())</f>
        <v/>
      </c>
      <c r="BN129" s="62"/>
    </row>
    <row r="130" customFormat="false" ht="18" hidden="false" customHeight="true" outlineLevel="0" collapsed="false">
      <c r="A130" s="60"/>
      <c r="B130" s="61"/>
      <c r="C130" s="62"/>
      <c r="D130" s="62"/>
      <c r="E130" s="62"/>
      <c r="F130" s="62"/>
      <c r="G130" s="62"/>
      <c r="H130" s="60"/>
      <c r="I130" s="60"/>
      <c r="J130" s="61"/>
      <c r="K130" s="60"/>
      <c r="L130" s="60"/>
      <c r="M130" s="62"/>
      <c r="N130" s="60"/>
      <c r="O130" s="60"/>
      <c r="P130" s="61"/>
      <c r="Q130" s="63"/>
      <c r="R130" s="60"/>
      <c r="S130" s="64"/>
      <c r="T130" s="60"/>
      <c r="U130" s="65" t="str">
        <f aca="false">IF(AND(T130="",S130=""),"",IF(T130="",1,IFERROR(INDEX(Settings!$B$12:$B$16,MATCH(T130,Settings!$A$12:$A$16,0)),1)))</f>
        <v/>
      </c>
      <c r="V130" s="64"/>
      <c r="W130" s="66" t="str">
        <f aca="false">IF(OR(Q130="",S130=""),"",Q130*S130*U130)</f>
        <v/>
      </c>
      <c r="X130" s="65" t="str">
        <f aca="false">IF(OR(W130="",N(Q130)=0),"",W130/Q130)</f>
        <v/>
      </c>
      <c r="Y130" s="65" t="str">
        <f aca="false">IF(OR(X130="",P130="",E130=""),"",IF(_xlfn.MAXIFS($P$6:$P$205,$E$6:$E$205,E130,$P$6:$P$205,"&lt;"&amp;P130,$X$6:$X$205,"&gt;0")=0,"",IFERROR(AVERAGEIFS($X$6:$X$205,$E$6:$E$205,E130,$P$6:$P$205,_xlfn.MAXIFS($P$6:$P$205,$E$6:$E$205,E130,$P$6:$P$205,"&lt;"&amp;P130,$X$6:$X$205,"&gt;0"),$X$6:$X$205,"&gt;0"),"")))</f>
        <v/>
      </c>
      <c r="Z130" s="67" t="str">
        <f aca="false">IF(OR(Y130="",X130=""),"",X130/Y130-1)</f>
        <v/>
      </c>
      <c r="AA130" s="68" t="str">
        <f aca="false">IF(OR(W130="",V130=""),"",W130-Q130*V130)</f>
        <v/>
      </c>
      <c r="AB130" s="69" t="str">
        <f aca="false">IF(AA130="","",IF(N(V130)*N(Q130)=0,"",AA130/(Q130*V130)))</f>
        <v/>
      </c>
      <c r="AC130" s="70"/>
      <c r="AD130" s="66" t="str">
        <f aca="false">IF(W130="","",W130*(1+N(AC130)))</f>
        <v/>
      </c>
      <c r="AE130" s="62"/>
      <c r="AF130" s="71"/>
      <c r="AG130" s="71"/>
      <c r="AH130" s="71"/>
      <c r="AI130" s="66" t="str">
        <f aca="false">IF(A130="","",N(AF130)+N(AG130)+N(AH130))</f>
        <v/>
      </c>
      <c r="AJ130" s="72" t="str">
        <f aca="false">IF(AD130="","",IF(N(AD130)=0,"",AI130/AD130))</f>
        <v/>
      </c>
      <c r="AK130" s="66" t="str">
        <f aca="false">IF(AD130="","",IF(AD130-AI130&lt;1,0,ROUND(AD130-AI130,2)))</f>
        <v/>
      </c>
      <c r="AL130" s="66" t="str">
        <f aca="false">IF(OR(O130="",AD130=""),"",MAX(0,ROUND(N(AI130)-(AD130-N(AW130)),0)))</f>
        <v/>
      </c>
      <c r="AM130" s="73" t="str">
        <f aca="false">IF(A130="","",IF(O130="","No PO Yet",IF(AI130=0,"Not Paid",IF(N(AJ130)&gt;=0.999,"Fully Paid",IF(N(AG130)+N(AH130)&gt;0,"Partially Paid","Initial / Advance Paid")))))</f>
        <v/>
      </c>
      <c r="AN130" s="61"/>
      <c r="AO130" s="61"/>
      <c r="AP130" s="74" t="str">
        <f aca="false">IF(AK130="","",IF(OR(N(AK130)=0,AO130=""),"",MAX(0,Settings!$B$4-AO130)))</f>
        <v/>
      </c>
      <c r="AQ130" s="73" t="str">
        <f aca="false">IF(AK130="","",IF(N(AK130)&lt;=0,"",IF(AO130="","No Due Date",IF(Settings!$B$4&lt;=AO130,"Not Yet Due",IF(Settings!$B$4-AO130&lt;=30,"1-30 Days",IF(Settings!$B$4-AO130&lt;=60,"31-60 Days",IF(Settings!$B$4-AO130&lt;=90,"61-90 Days","90+ Days")))))))</f>
        <v/>
      </c>
      <c r="AR130" s="61"/>
      <c r="AS130" s="61"/>
      <c r="AT130" s="63"/>
      <c r="AU130" s="72" t="str">
        <f aca="false">IF(Q130="","",IF(N(Q130)=0,"",N(AT130)/Q130))</f>
        <v/>
      </c>
      <c r="AV130" s="75" t="str">
        <f aca="false">IF(OR(A130="",O130="",Q130=""),"",MAX(0,Q130-N(AT130)))</f>
        <v/>
      </c>
      <c r="AW130" s="66" t="str">
        <f aca="false">IF(OR(AV130="",W130=""),"",IF(N(Q130)=0,0,AV130/Q130*AD130))</f>
        <v/>
      </c>
      <c r="AX130" s="76" t="str">
        <f aca="false">IF(A130="","",IF(O130="","No PO Yet",IF(Q130="","Order Qty Missing",IF(N(AT130)&gt;=Q130,IF(N(AT130)&gt;Q130,"All In-house (+"&amp;TEXT(N(AT130)-Q130,"#,##0")&amp;" "&amp;R130&amp;" excess)","All In-house"),IF(AY130&lt;&gt;"","Short Closed - "&amp;TEXT(AV130,"#,##0")&amp;" "&amp;R130&amp;" not received",IF(N(AT130)=0,"Not Started - "&amp;TEXT(AV130,"#,##0")&amp;" "&amp;R130&amp;" pending","Pending "&amp;TEXT(AV130,"#,##0")&amp;" "&amp;R130&amp;" ("&amp;TEXT(AU130,"0%")&amp;" received)"))))))</f>
        <v/>
      </c>
      <c r="AY130" s="61"/>
      <c r="AZ130" s="77" t="str">
        <f aca="false">IF(OR(B130="",J130=""),"",J130-B130)</f>
        <v/>
      </c>
      <c r="BA130" s="77" t="str">
        <f aca="false">IF(OR(J130="",P130=""),"",P130-J130)</f>
        <v/>
      </c>
      <c r="BB130" s="77" t="str">
        <f aca="false">IF(OR(P130="",AY130=""),"",AY130-P130)</f>
        <v/>
      </c>
      <c r="BC130" s="77" t="str">
        <f aca="false">IF(OR(B130="",AY130=""),"",AY130-B130)</f>
        <v/>
      </c>
      <c r="BD130" s="74" t="str">
        <f aca="false">IF(OR(AR130="",O130=""),"",MAX(0,IF(AY130="",Settings!$B$4,AY130)-AR130))</f>
        <v/>
      </c>
      <c r="BE130" s="73" t="str">
        <f aca="false">IF(OR(AY130="",AR130=""),"",IF(AND(AY130&lt;=AR130,N(AU130)&gt;=Settings!$B$6),"OTIF","Not OTIF"))</f>
        <v/>
      </c>
      <c r="BF130" s="60"/>
      <c r="BG130" s="62"/>
      <c r="BH130" s="78"/>
      <c r="BI130" s="76" t="str">
        <f aca="false">IF(A130="","",IF(K130="Rejected","Rejected",IF(K130&lt;&gt;"Approved","Awaiting Approval",IF(O130="","Approved - PO Pending",IF(AY130&lt;&gt;"",IF(N(AJ130)&gt;=0.999,"Closed","In-house Closed - Payment Due"),IF(AS130&lt;&gt;"","Receiving In-house","PO Issued - Awaiting Delivery"))))))</f>
        <v/>
      </c>
      <c r="BJ130" s="76" t="str">
        <f aca="false">IF(A130="","",IF(IF(AND(A130&lt;&gt;"",OR(B130="",C130="",E130="",F130="",H130="")),"PR info missing; ","")&amp;IF(AND(K130="Approved",OR(J130="",I130="")),"Approval ref/date missing; ","")&amp;IF(AND(O130&lt;&gt;"",K130&lt;&gt;"Approved"),"PO without approval; ","")&amp;IF(AND(O130&lt;&gt;"",OR(P130="",M130="",Q130="",S130="",T130="")),"PO details missing; ","")&amp;IF(AND(O130&lt;&gt;"",AR130=""),"Committed date missing; ","")&amp;IF(AND(ISNUMBER(J130),ISNUMBER(B130),N(J130)&lt;N(B130)),"Approval dated before PR; ","")&amp;IF(AND(ISNUMBER(P130),ISNUMBER(J130),N(P130)&lt;N(J130)),"PO dated before approval; ","")&amp;IF(AND(ISNUMBER(AY130),ISNUMBER(AS130),N(AY130)&lt;N(AS130)),"Close before in-house start; ","")&amp;IF(AND(AY130&lt;&gt;"",AS130=""),"In-house start date missing; ","")&amp;IF(AND(AY130&lt;&gt;"",AT130=""),"Qty received missing; ","")&amp;IF(AND(AY130&lt;&gt;"",BF130=""),"QC status missing; ","")&amp;IF(N(AT130)&gt;N(Q130)*1.05,"Received &gt; ordered +5%; ","")&amp;IF(AND(N(AI130)&gt;0,AE130=""),"Payment terms missing; ","")&amp;IF(N(AI130)&gt;N(AD130)+1,"Overpaid vs PO; ","")&amp;IF(AND(N(AK130)&gt;0,AY130&lt;&gt;"",AO130=""),"Payment due date missing; ","")="","OK",IF(AND(A130&lt;&gt;"",OR(B130="",C130="",E130="",F130="",H130="")),"PR info missing; ","")&amp;IF(AND(K130="Approved",OR(J130="",I130="")),"Approval ref/date missing; ","")&amp;IF(AND(O130&lt;&gt;"",K130&lt;&gt;"Approved"),"PO without approval; ","")&amp;IF(AND(O130&lt;&gt;"",OR(P130="",M130="",Q130="",S130="",T130="")),"PO details missing; ","")&amp;IF(AND(O130&lt;&gt;"",AR130=""),"Committed date missing; ","")&amp;IF(AND(ISNUMBER(J130),ISNUMBER(B130),N(J130)&lt;N(B130)),"Approval dated before PR; ","")&amp;IF(AND(ISNUMBER(P130),ISNUMBER(J130),N(P130)&lt;N(J130)),"PO dated before approval; ","")&amp;IF(AND(ISNUMBER(AY130),ISNUMBER(AS130),N(AY130)&lt;N(AS130)),"Close before in-house start; ","")&amp;IF(AND(AY130&lt;&gt;"",AS130=""),"In-house start date missing; ","")&amp;IF(AND(AY130&lt;&gt;"",AT130=""),"Qty received missing; ","")&amp;IF(AND(AY130&lt;&gt;"",BF130=""),"QC status missing; ","")&amp;IF(N(AT130)&gt;N(Q130)*1.05,"Received &gt; ordered +5%; ","")&amp;IF(AND(N(AI130)&gt;0,AE130=""),"Payment terms missing; ","")&amp;IF(N(AI130)&gt;N(AD130)+1,"Overpaid vs PO; ","")&amp;IF(AND(N(AK130)&gt;0,AY130&lt;&gt;"",AO130=""),"Payment due date missing; ","")))</f>
        <v/>
      </c>
      <c r="BK130" s="76" t="str">
        <f aca="false">IF(A130="","",IF(N(AP130)&gt;0,"Pay supplier: "&amp;N(AP130)&amp;" days overdue; ","")&amp;IF(AND(O130&lt;&gt;"",AY130="",N(BD130)&gt;0),"Expedite delivery: "&amp;N(BD130)&amp;" days late; ","")&amp;IF(AND(BI130="Awaiting Approval",ISNUMBER(B130),Settings!$B$4-N(B130)&gt;Settings!$B$19),"Get approval: PR waiting "&amp;(Settings!$B$4-N(B130))&amp;" days; ","")&amp;IF(AND(BI130="Approved - PO Pending",ISNUMBER(J130),Settings!$B$4-N(J130)&gt;Settings!$B$20),"Issue PO: approved "&amp;(Settings!$B$4-N(J130))&amp;" days ago; ","")&amp;IF(AND(OR(BI130="Awaiting Approval",BI130="Approved - PO Pending"),N(AB130)&gt;Settings!$B$7),"Negotiate price: "&amp;TEXT(AB130,"0%")&amp;" above budget; ","")&amp;IF(LEFT(AX130,12)="Short Closed","Short closed: claim balance / credit note"&amp;IF(N(AL130)&gt;0," BDT "&amp;TEXT(AL130,"#,##0"),"")&amp;"; ","")&amp;IF(BF130="Rejected","QC rejected: return / replace; ","")&amp;IF(AND(O130&lt;&gt;"",AY130="",N(AL130)&gt;0,N(BD130)&gt;0),"Advance at risk: BDT "&amp;TEXT(AL130,"#,##0")&amp;" paid, goods late; ","")&amp;IF(AND(BJ130&lt;&gt;"",BJ130&lt;&gt;"OK"),"Fix data entry (see Data Check); ",""))</f>
        <v/>
      </c>
      <c r="BL130" s="73" t="str">
        <f aca="false">IF(BK130="","",IF(OR(N(AP130)&gt;30,AND(AY130="",N(BD130)&gt;15),BF130="Rejected",AND(LEFT(AX130,12)="Short Closed",N(AL130)&gt;0),AND(O130&lt;&gt;"",AY130="",N(AL130)&gt;0,N(BD130)&gt;0)),"High",IF(OR(N(AP130)&gt;0,AND(AY130="",N(BD130)&gt;7),LEFT(AX130,12)="Short Closed",AND(BI130="Awaiting Approval",ISNUMBER(B130),Settings!$B$4-N(B130)&gt;2*Settings!$B$19),AND(BI130="Approved - PO Pending",ISNUMBER(J130),Settings!$B$4-N(J130)&gt;2*Settings!$B$20)),"Medium","Low")))</f>
        <v/>
      </c>
      <c r="BM130" s="77" t="str">
        <f aca="false">IF(BL130="","",IF(BL130="High",1,IF(BL130="Medium",2,3))*10000+ROW())</f>
        <v/>
      </c>
      <c r="BN130" s="62"/>
    </row>
    <row r="131" customFormat="false" ht="18" hidden="false" customHeight="true" outlineLevel="0" collapsed="false">
      <c r="A131" s="60"/>
      <c r="B131" s="61"/>
      <c r="C131" s="62"/>
      <c r="D131" s="62"/>
      <c r="E131" s="62"/>
      <c r="F131" s="62"/>
      <c r="G131" s="62"/>
      <c r="H131" s="60"/>
      <c r="I131" s="60"/>
      <c r="J131" s="61"/>
      <c r="K131" s="60"/>
      <c r="L131" s="60"/>
      <c r="M131" s="62"/>
      <c r="N131" s="60"/>
      <c r="O131" s="60"/>
      <c r="P131" s="61"/>
      <c r="Q131" s="63"/>
      <c r="R131" s="60"/>
      <c r="S131" s="64"/>
      <c r="T131" s="60"/>
      <c r="U131" s="65" t="str">
        <f aca="false">IF(AND(T131="",S131=""),"",IF(T131="",1,IFERROR(INDEX(Settings!$B$12:$B$16,MATCH(T131,Settings!$A$12:$A$16,0)),1)))</f>
        <v/>
      </c>
      <c r="V131" s="64"/>
      <c r="W131" s="66" t="str">
        <f aca="false">IF(OR(Q131="",S131=""),"",Q131*S131*U131)</f>
        <v/>
      </c>
      <c r="X131" s="65" t="str">
        <f aca="false">IF(OR(W131="",N(Q131)=0),"",W131/Q131)</f>
        <v/>
      </c>
      <c r="Y131" s="65" t="str">
        <f aca="false">IF(OR(X131="",P131="",E131=""),"",IF(_xlfn.MAXIFS($P$6:$P$205,$E$6:$E$205,E131,$P$6:$P$205,"&lt;"&amp;P131,$X$6:$X$205,"&gt;0")=0,"",IFERROR(AVERAGEIFS($X$6:$X$205,$E$6:$E$205,E131,$P$6:$P$205,_xlfn.MAXIFS($P$6:$P$205,$E$6:$E$205,E131,$P$6:$P$205,"&lt;"&amp;P131,$X$6:$X$205,"&gt;0"),$X$6:$X$205,"&gt;0"),"")))</f>
        <v/>
      </c>
      <c r="Z131" s="67" t="str">
        <f aca="false">IF(OR(Y131="",X131=""),"",X131/Y131-1)</f>
        <v/>
      </c>
      <c r="AA131" s="68" t="str">
        <f aca="false">IF(OR(W131="",V131=""),"",W131-Q131*V131)</f>
        <v/>
      </c>
      <c r="AB131" s="69" t="str">
        <f aca="false">IF(AA131="","",IF(N(V131)*N(Q131)=0,"",AA131/(Q131*V131)))</f>
        <v/>
      </c>
      <c r="AC131" s="70"/>
      <c r="AD131" s="66" t="str">
        <f aca="false">IF(W131="","",W131*(1+N(AC131)))</f>
        <v/>
      </c>
      <c r="AE131" s="62"/>
      <c r="AF131" s="71"/>
      <c r="AG131" s="71"/>
      <c r="AH131" s="71"/>
      <c r="AI131" s="66" t="str">
        <f aca="false">IF(A131="","",N(AF131)+N(AG131)+N(AH131))</f>
        <v/>
      </c>
      <c r="AJ131" s="72" t="str">
        <f aca="false">IF(AD131="","",IF(N(AD131)=0,"",AI131/AD131))</f>
        <v/>
      </c>
      <c r="AK131" s="66" t="str">
        <f aca="false">IF(AD131="","",IF(AD131-AI131&lt;1,0,ROUND(AD131-AI131,2)))</f>
        <v/>
      </c>
      <c r="AL131" s="66" t="str">
        <f aca="false">IF(OR(O131="",AD131=""),"",MAX(0,ROUND(N(AI131)-(AD131-N(AW131)),0)))</f>
        <v/>
      </c>
      <c r="AM131" s="73" t="str">
        <f aca="false">IF(A131="","",IF(O131="","No PO Yet",IF(AI131=0,"Not Paid",IF(N(AJ131)&gt;=0.999,"Fully Paid",IF(N(AG131)+N(AH131)&gt;0,"Partially Paid","Initial / Advance Paid")))))</f>
        <v/>
      </c>
      <c r="AN131" s="61"/>
      <c r="AO131" s="61"/>
      <c r="AP131" s="74" t="str">
        <f aca="false">IF(AK131="","",IF(OR(N(AK131)=0,AO131=""),"",MAX(0,Settings!$B$4-AO131)))</f>
        <v/>
      </c>
      <c r="AQ131" s="73" t="str">
        <f aca="false">IF(AK131="","",IF(N(AK131)&lt;=0,"",IF(AO131="","No Due Date",IF(Settings!$B$4&lt;=AO131,"Not Yet Due",IF(Settings!$B$4-AO131&lt;=30,"1-30 Days",IF(Settings!$B$4-AO131&lt;=60,"31-60 Days",IF(Settings!$B$4-AO131&lt;=90,"61-90 Days","90+ Days")))))))</f>
        <v/>
      </c>
      <c r="AR131" s="61"/>
      <c r="AS131" s="61"/>
      <c r="AT131" s="63"/>
      <c r="AU131" s="72" t="str">
        <f aca="false">IF(Q131="","",IF(N(Q131)=0,"",N(AT131)/Q131))</f>
        <v/>
      </c>
      <c r="AV131" s="75" t="str">
        <f aca="false">IF(OR(A131="",O131="",Q131=""),"",MAX(0,Q131-N(AT131)))</f>
        <v/>
      </c>
      <c r="AW131" s="66" t="str">
        <f aca="false">IF(OR(AV131="",W131=""),"",IF(N(Q131)=0,0,AV131/Q131*AD131))</f>
        <v/>
      </c>
      <c r="AX131" s="76" t="str">
        <f aca="false">IF(A131="","",IF(O131="","No PO Yet",IF(Q131="","Order Qty Missing",IF(N(AT131)&gt;=Q131,IF(N(AT131)&gt;Q131,"All In-house (+"&amp;TEXT(N(AT131)-Q131,"#,##0")&amp;" "&amp;R131&amp;" excess)","All In-house"),IF(AY131&lt;&gt;"","Short Closed - "&amp;TEXT(AV131,"#,##0")&amp;" "&amp;R131&amp;" not received",IF(N(AT131)=0,"Not Started - "&amp;TEXT(AV131,"#,##0")&amp;" "&amp;R131&amp;" pending","Pending "&amp;TEXT(AV131,"#,##0")&amp;" "&amp;R131&amp;" ("&amp;TEXT(AU131,"0%")&amp;" received)"))))))</f>
        <v/>
      </c>
      <c r="AY131" s="61"/>
      <c r="AZ131" s="77" t="str">
        <f aca="false">IF(OR(B131="",J131=""),"",J131-B131)</f>
        <v/>
      </c>
      <c r="BA131" s="77" t="str">
        <f aca="false">IF(OR(J131="",P131=""),"",P131-J131)</f>
        <v/>
      </c>
      <c r="BB131" s="77" t="str">
        <f aca="false">IF(OR(P131="",AY131=""),"",AY131-P131)</f>
        <v/>
      </c>
      <c r="BC131" s="77" t="str">
        <f aca="false">IF(OR(B131="",AY131=""),"",AY131-B131)</f>
        <v/>
      </c>
      <c r="BD131" s="74" t="str">
        <f aca="false">IF(OR(AR131="",O131=""),"",MAX(0,IF(AY131="",Settings!$B$4,AY131)-AR131))</f>
        <v/>
      </c>
      <c r="BE131" s="73" t="str">
        <f aca="false">IF(OR(AY131="",AR131=""),"",IF(AND(AY131&lt;=AR131,N(AU131)&gt;=Settings!$B$6),"OTIF","Not OTIF"))</f>
        <v/>
      </c>
      <c r="BF131" s="60"/>
      <c r="BG131" s="62"/>
      <c r="BH131" s="78"/>
      <c r="BI131" s="76" t="str">
        <f aca="false">IF(A131="","",IF(K131="Rejected","Rejected",IF(K131&lt;&gt;"Approved","Awaiting Approval",IF(O131="","Approved - PO Pending",IF(AY131&lt;&gt;"",IF(N(AJ131)&gt;=0.999,"Closed","In-house Closed - Payment Due"),IF(AS131&lt;&gt;"","Receiving In-house","PO Issued - Awaiting Delivery"))))))</f>
        <v/>
      </c>
      <c r="BJ131" s="76" t="str">
        <f aca="false">IF(A131="","",IF(IF(AND(A131&lt;&gt;"",OR(B131="",C131="",E131="",F131="",H131="")),"PR info missing; ","")&amp;IF(AND(K131="Approved",OR(J131="",I131="")),"Approval ref/date missing; ","")&amp;IF(AND(O131&lt;&gt;"",K131&lt;&gt;"Approved"),"PO without approval; ","")&amp;IF(AND(O131&lt;&gt;"",OR(P131="",M131="",Q131="",S131="",T131="")),"PO details missing; ","")&amp;IF(AND(O131&lt;&gt;"",AR131=""),"Committed date missing; ","")&amp;IF(AND(ISNUMBER(J131),ISNUMBER(B131),N(J131)&lt;N(B131)),"Approval dated before PR; ","")&amp;IF(AND(ISNUMBER(P131),ISNUMBER(J131),N(P131)&lt;N(J131)),"PO dated before approval; ","")&amp;IF(AND(ISNUMBER(AY131),ISNUMBER(AS131),N(AY131)&lt;N(AS131)),"Close before in-house start; ","")&amp;IF(AND(AY131&lt;&gt;"",AS131=""),"In-house start date missing; ","")&amp;IF(AND(AY131&lt;&gt;"",AT131=""),"Qty received missing; ","")&amp;IF(AND(AY131&lt;&gt;"",BF131=""),"QC status missing; ","")&amp;IF(N(AT131)&gt;N(Q131)*1.05,"Received &gt; ordered +5%; ","")&amp;IF(AND(N(AI131)&gt;0,AE131=""),"Payment terms missing; ","")&amp;IF(N(AI131)&gt;N(AD131)+1,"Overpaid vs PO; ","")&amp;IF(AND(N(AK131)&gt;0,AY131&lt;&gt;"",AO131=""),"Payment due date missing; ","")="","OK",IF(AND(A131&lt;&gt;"",OR(B131="",C131="",E131="",F131="",H131="")),"PR info missing; ","")&amp;IF(AND(K131="Approved",OR(J131="",I131="")),"Approval ref/date missing; ","")&amp;IF(AND(O131&lt;&gt;"",K131&lt;&gt;"Approved"),"PO without approval; ","")&amp;IF(AND(O131&lt;&gt;"",OR(P131="",M131="",Q131="",S131="",T131="")),"PO details missing; ","")&amp;IF(AND(O131&lt;&gt;"",AR131=""),"Committed date missing; ","")&amp;IF(AND(ISNUMBER(J131),ISNUMBER(B131),N(J131)&lt;N(B131)),"Approval dated before PR; ","")&amp;IF(AND(ISNUMBER(P131),ISNUMBER(J131),N(P131)&lt;N(J131)),"PO dated before approval; ","")&amp;IF(AND(ISNUMBER(AY131),ISNUMBER(AS131),N(AY131)&lt;N(AS131)),"Close before in-house start; ","")&amp;IF(AND(AY131&lt;&gt;"",AS131=""),"In-house start date missing; ","")&amp;IF(AND(AY131&lt;&gt;"",AT131=""),"Qty received missing; ","")&amp;IF(AND(AY131&lt;&gt;"",BF131=""),"QC status missing; ","")&amp;IF(N(AT131)&gt;N(Q131)*1.05,"Received &gt; ordered +5%; ","")&amp;IF(AND(N(AI131)&gt;0,AE131=""),"Payment terms missing; ","")&amp;IF(N(AI131)&gt;N(AD131)+1,"Overpaid vs PO; ","")&amp;IF(AND(N(AK131)&gt;0,AY131&lt;&gt;"",AO131=""),"Payment due date missing; ","")))</f>
        <v/>
      </c>
      <c r="BK131" s="76" t="str">
        <f aca="false">IF(A131="","",IF(N(AP131)&gt;0,"Pay supplier: "&amp;N(AP131)&amp;" days overdue; ","")&amp;IF(AND(O131&lt;&gt;"",AY131="",N(BD131)&gt;0),"Expedite delivery: "&amp;N(BD131)&amp;" days late; ","")&amp;IF(AND(BI131="Awaiting Approval",ISNUMBER(B131),Settings!$B$4-N(B131)&gt;Settings!$B$19),"Get approval: PR waiting "&amp;(Settings!$B$4-N(B131))&amp;" days; ","")&amp;IF(AND(BI131="Approved - PO Pending",ISNUMBER(J131),Settings!$B$4-N(J131)&gt;Settings!$B$20),"Issue PO: approved "&amp;(Settings!$B$4-N(J131))&amp;" days ago; ","")&amp;IF(AND(OR(BI131="Awaiting Approval",BI131="Approved - PO Pending"),N(AB131)&gt;Settings!$B$7),"Negotiate price: "&amp;TEXT(AB131,"0%")&amp;" above budget; ","")&amp;IF(LEFT(AX131,12)="Short Closed","Short closed: claim balance / credit note"&amp;IF(N(AL131)&gt;0," BDT "&amp;TEXT(AL131,"#,##0"),"")&amp;"; ","")&amp;IF(BF131="Rejected","QC rejected: return / replace; ","")&amp;IF(AND(O131&lt;&gt;"",AY131="",N(AL131)&gt;0,N(BD131)&gt;0),"Advance at risk: BDT "&amp;TEXT(AL131,"#,##0")&amp;" paid, goods late; ","")&amp;IF(AND(BJ131&lt;&gt;"",BJ131&lt;&gt;"OK"),"Fix data entry (see Data Check); ",""))</f>
        <v/>
      </c>
      <c r="BL131" s="73" t="str">
        <f aca="false">IF(BK131="","",IF(OR(N(AP131)&gt;30,AND(AY131="",N(BD131)&gt;15),BF131="Rejected",AND(LEFT(AX131,12)="Short Closed",N(AL131)&gt;0),AND(O131&lt;&gt;"",AY131="",N(AL131)&gt;0,N(BD131)&gt;0)),"High",IF(OR(N(AP131)&gt;0,AND(AY131="",N(BD131)&gt;7),LEFT(AX131,12)="Short Closed",AND(BI131="Awaiting Approval",ISNUMBER(B131),Settings!$B$4-N(B131)&gt;2*Settings!$B$19),AND(BI131="Approved - PO Pending",ISNUMBER(J131),Settings!$B$4-N(J131)&gt;2*Settings!$B$20)),"Medium","Low")))</f>
        <v/>
      </c>
      <c r="BM131" s="77" t="str">
        <f aca="false">IF(BL131="","",IF(BL131="High",1,IF(BL131="Medium",2,3))*10000+ROW())</f>
        <v/>
      </c>
      <c r="BN131" s="62"/>
    </row>
    <row r="132" customFormat="false" ht="18" hidden="false" customHeight="true" outlineLevel="0" collapsed="false">
      <c r="A132" s="60"/>
      <c r="B132" s="61"/>
      <c r="C132" s="62"/>
      <c r="D132" s="62"/>
      <c r="E132" s="62"/>
      <c r="F132" s="62"/>
      <c r="G132" s="62"/>
      <c r="H132" s="60"/>
      <c r="I132" s="60"/>
      <c r="J132" s="61"/>
      <c r="K132" s="60"/>
      <c r="L132" s="60"/>
      <c r="M132" s="62"/>
      <c r="N132" s="60"/>
      <c r="O132" s="60"/>
      <c r="P132" s="61"/>
      <c r="Q132" s="63"/>
      <c r="R132" s="60"/>
      <c r="S132" s="64"/>
      <c r="T132" s="60"/>
      <c r="U132" s="65" t="str">
        <f aca="false">IF(AND(T132="",S132=""),"",IF(T132="",1,IFERROR(INDEX(Settings!$B$12:$B$16,MATCH(T132,Settings!$A$12:$A$16,0)),1)))</f>
        <v/>
      </c>
      <c r="V132" s="64"/>
      <c r="W132" s="66" t="str">
        <f aca="false">IF(OR(Q132="",S132=""),"",Q132*S132*U132)</f>
        <v/>
      </c>
      <c r="X132" s="65" t="str">
        <f aca="false">IF(OR(W132="",N(Q132)=0),"",W132/Q132)</f>
        <v/>
      </c>
      <c r="Y132" s="65" t="str">
        <f aca="false">IF(OR(X132="",P132="",E132=""),"",IF(_xlfn.MAXIFS($P$6:$P$205,$E$6:$E$205,E132,$P$6:$P$205,"&lt;"&amp;P132,$X$6:$X$205,"&gt;0")=0,"",IFERROR(AVERAGEIFS($X$6:$X$205,$E$6:$E$205,E132,$P$6:$P$205,_xlfn.MAXIFS($P$6:$P$205,$E$6:$E$205,E132,$P$6:$P$205,"&lt;"&amp;P132,$X$6:$X$205,"&gt;0"),$X$6:$X$205,"&gt;0"),"")))</f>
        <v/>
      </c>
      <c r="Z132" s="67" t="str">
        <f aca="false">IF(OR(Y132="",X132=""),"",X132/Y132-1)</f>
        <v/>
      </c>
      <c r="AA132" s="68" t="str">
        <f aca="false">IF(OR(W132="",V132=""),"",W132-Q132*V132)</f>
        <v/>
      </c>
      <c r="AB132" s="69" t="str">
        <f aca="false">IF(AA132="","",IF(N(V132)*N(Q132)=0,"",AA132/(Q132*V132)))</f>
        <v/>
      </c>
      <c r="AC132" s="70"/>
      <c r="AD132" s="66" t="str">
        <f aca="false">IF(W132="","",W132*(1+N(AC132)))</f>
        <v/>
      </c>
      <c r="AE132" s="62"/>
      <c r="AF132" s="71"/>
      <c r="AG132" s="71"/>
      <c r="AH132" s="71"/>
      <c r="AI132" s="66" t="str">
        <f aca="false">IF(A132="","",N(AF132)+N(AG132)+N(AH132))</f>
        <v/>
      </c>
      <c r="AJ132" s="72" t="str">
        <f aca="false">IF(AD132="","",IF(N(AD132)=0,"",AI132/AD132))</f>
        <v/>
      </c>
      <c r="AK132" s="66" t="str">
        <f aca="false">IF(AD132="","",IF(AD132-AI132&lt;1,0,ROUND(AD132-AI132,2)))</f>
        <v/>
      </c>
      <c r="AL132" s="66" t="str">
        <f aca="false">IF(OR(O132="",AD132=""),"",MAX(0,ROUND(N(AI132)-(AD132-N(AW132)),0)))</f>
        <v/>
      </c>
      <c r="AM132" s="73" t="str">
        <f aca="false">IF(A132="","",IF(O132="","No PO Yet",IF(AI132=0,"Not Paid",IF(N(AJ132)&gt;=0.999,"Fully Paid",IF(N(AG132)+N(AH132)&gt;0,"Partially Paid","Initial / Advance Paid")))))</f>
        <v/>
      </c>
      <c r="AN132" s="61"/>
      <c r="AO132" s="61"/>
      <c r="AP132" s="74" t="str">
        <f aca="false">IF(AK132="","",IF(OR(N(AK132)=0,AO132=""),"",MAX(0,Settings!$B$4-AO132)))</f>
        <v/>
      </c>
      <c r="AQ132" s="73" t="str">
        <f aca="false">IF(AK132="","",IF(N(AK132)&lt;=0,"",IF(AO132="","No Due Date",IF(Settings!$B$4&lt;=AO132,"Not Yet Due",IF(Settings!$B$4-AO132&lt;=30,"1-30 Days",IF(Settings!$B$4-AO132&lt;=60,"31-60 Days",IF(Settings!$B$4-AO132&lt;=90,"61-90 Days","90+ Days")))))))</f>
        <v/>
      </c>
      <c r="AR132" s="61"/>
      <c r="AS132" s="61"/>
      <c r="AT132" s="63"/>
      <c r="AU132" s="72" t="str">
        <f aca="false">IF(Q132="","",IF(N(Q132)=0,"",N(AT132)/Q132))</f>
        <v/>
      </c>
      <c r="AV132" s="75" t="str">
        <f aca="false">IF(OR(A132="",O132="",Q132=""),"",MAX(0,Q132-N(AT132)))</f>
        <v/>
      </c>
      <c r="AW132" s="66" t="str">
        <f aca="false">IF(OR(AV132="",W132=""),"",IF(N(Q132)=0,0,AV132/Q132*AD132))</f>
        <v/>
      </c>
      <c r="AX132" s="76" t="str">
        <f aca="false">IF(A132="","",IF(O132="","No PO Yet",IF(Q132="","Order Qty Missing",IF(N(AT132)&gt;=Q132,IF(N(AT132)&gt;Q132,"All In-house (+"&amp;TEXT(N(AT132)-Q132,"#,##0")&amp;" "&amp;R132&amp;" excess)","All In-house"),IF(AY132&lt;&gt;"","Short Closed - "&amp;TEXT(AV132,"#,##0")&amp;" "&amp;R132&amp;" not received",IF(N(AT132)=0,"Not Started - "&amp;TEXT(AV132,"#,##0")&amp;" "&amp;R132&amp;" pending","Pending "&amp;TEXT(AV132,"#,##0")&amp;" "&amp;R132&amp;" ("&amp;TEXT(AU132,"0%")&amp;" received)"))))))</f>
        <v/>
      </c>
      <c r="AY132" s="61"/>
      <c r="AZ132" s="77" t="str">
        <f aca="false">IF(OR(B132="",J132=""),"",J132-B132)</f>
        <v/>
      </c>
      <c r="BA132" s="77" t="str">
        <f aca="false">IF(OR(J132="",P132=""),"",P132-J132)</f>
        <v/>
      </c>
      <c r="BB132" s="77" t="str">
        <f aca="false">IF(OR(P132="",AY132=""),"",AY132-P132)</f>
        <v/>
      </c>
      <c r="BC132" s="77" t="str">
        <f aca="false">IF(OR(B132="",AY132=""),"",AY132-B132)</f>
        <v/>
      </c>
      <c r="BD132" s="74" t="str">
        <f aca="false">IF(OR(AR132="",O132=""),"",MAX(0,IF(AY132="",Settings!$B$4,AY132)-AR132))</f>
        <v/>
      </c>
      <c r="BE132" s="73" t="str">
        <f aca="false">IF(OR(AY132="",AR132=""),"",IF(AND(AY132&lt;=AR132,N(AU132)&gt;=Settings!$B$6),"OTIF","Not OTIF"))</f>
        <v/>
      </c>
      <c r="BF132" s="60"/>
      <c r="BG132" s="62"/>
      <c r="BH132" s="78"/>
      <c r="BI132" s="76" t="str">
        <f aca="false">IF(A132="","",IF(K132="Rejected","Rejected",IF(K132&lt;&gt;"Approved","Awaiting Approval",IF(O132="","Approved - PO Pending",IF(AY132&lt;&gt;"",IF(N(AJ132)&gt;=0.999,"Closed","In-house Closed - Payment Due"),IF(AS132&lt;&gt;"","Receiving In-house","PO Issued - Awaiting Delivery"))))))</f>
        <v/>
      </c>
      <c r="BJ132" s="76" t="str">
        <f aca="false">IF(A132="","",IF(IF(AND(A132&lt;&gt;"",OR(B132="",C132="",E132="",F132="",H132="")),"PR info missing; ","")&amp;IF(AND(K132="Approved",OR(J132="",I132="")),"Approval ref/date missing; ","")&amp;IF(AND(O132&lt;&gt;"",K132&lt;&gt;"Approved"),"PO without approval; ","")&amp;IF(AND(O132&lt;&gt;"",OR(P132="",M132="",Q132="",S132="",T132="")),"PO details missing; ","")&amp;IF(AND(O132&lt;&gt;"",AR132=""),"Committed date missing; ","")&amp;IF(AND(ISNUMBER(J132),ISNUMBER(B132),N(J132)&lt;N(B132)),"Approval dated before PR; ","")&amp;IF(AND(ISNUMBER(P132),ISNUMBER(J132),N(P132)&lt;N(J132)),"PO dated before approval; ","")&amp;IF(AND(ISNUMBER(AY132),ISNUMBER(AS132),N(AY132)&lt;N(AS132)),"Close before in-house start; ","")&amp;IF(AND(AY132&lt;&gt;"",AS132=""),"In-house start date missing; ","")&amp;IF(AND(AY132&lt;&gt;"",AT132=""),"Qty received missing; ","")&amp;IF(AND(AY132&lt;&gt;"",BF132=""),"QC status missing; ","")&amp;IF(N(AT132)&gt;N(Q132)*1.05,"Received &gt; ordered +5%; ","")&amp;IF(AND(N(AI132)&gt;0,AE132=""),"Payment terms missing; ","")&amp;IF(N(AI132)&gt;N(AD132)+1,"Overpaid vs PO; ","")&amp;IF(AND(N(AK132)&gt;0,AY132&lt;&gt;"",AO132=""),"Payment due date missing; ","")="","OK",IF(AND(A132&lt;&gt;"",OR(B132="",C132="",E132="",F132="",H132="")),"PR info missing; ","")&amp;IF(AND(K132="Approved",OR(J132="",I132="")),"Approval ref/date missing; ","")&amp;IF(AND(O132&lt;&gt;"",K132&lt;&gt;"Approved"),"PO without approval; ","")&amp;IF(AND(O132&lt;&gt;"",OR(P132="",M132="",Q132="",S132="",T132="")),"PO details missing; ","")&amp;IF(AND(O132&lt;&gt;"",AR132=""),"Committed date missing; ","")&amp;IF(AND(ISNUMBER(J132),ISNUMBER(B132),N(J132)&lt;N(B132)),"Approval dated before PR; ","")&amp;IF(AND(ISNUMBER(P132),ISNUMBER(J132),N(P132)&lt;N(J132)),"PO dated before approval; ","")&amp;IF(AND(ISNUMBER(AY132),ISNUMBER(AS132),N(AY132)&lt;N(AS132)),"Close before in-house start; ","")&amp;IF(AND(AY132&lt;&gt;"",AS132=""),"In-house start date missing; ","")&amp;IF(AND(AY132&lt;&gt;"",AT132=""),"Qty received missing; ","")&amp;IF(AND(AY132&lt;&gt;"",BF132=""),"QC status missing; ","")&amp;IF(N(AT132)&gt;N(Q132)*1.05,"Received &gt; ordered +5%; ","")&amp;IF(AND(N(AI132)&gt;0,AE132=""),"Payment terms missing; ","")&amp;IF(N(AI132)&gt;N(AD132)+1,"Overpaid vs PO; ","")&amp;IF(AND(N(AK132)&gt;0,AY132&lt;&gt;"",AO132=""),"Payment due date missing; ","")))</f>
        <v/>
      </c>
      <c r="BK132" s="76" t="str">
        <f aca="false">IF(A132="","",IF(N(AP132)&gt;0,"Pay supplier: "&amp;N(AP132)&amp;" days overdue; ","")&amp;IF(AND(O132&lt;&gt;"",AY132="",N(BD132)&gt;0),"Expedite delivery: "&amp;N(BD132)&amp;" days late; ","")&amp;IF(AND(BI132="Awaiting Approval",ISNUMBER(B132),Settings!$B$4-N(B132)&gt;Settings!$B$19),"Get approval: PR waiting "&amp;(Settings!$B$4-N(B132))&amp;" days; ","")&amp;IF(AND(BI132="Approved - PO Pending",ISNUMBER(J132),Settings!$B$4-N(J132)&gt;Settings!$B$20),"Issue PO: approved "&amp;(Settings!$B$4-N(J132))&amp;" days ago; ","")&amp;IF(AND(OR(BI132="Awaiting Approval",BI132="Approved - PO Pending"),N(AB132)&gt;Settings!$B$7),"Negotiate price: "&amp;TEXT(AB132,"0%")&amp;" above budget; ","")&amp;IF(LEFT(AX132,12)="Short Closed","Short closed: claim balance / credit note"&amp;IF(N(AL132)&gt;0," BDT "&amp;TEXT(AL132,"#,##0"),"")&amp;"; ","")&amp;IF(BF132="Rejected","QC rejected: return / replace; ","")&amp;IF(AND(O132&lt;&gt;"",AY132="",N(AL132)&gt;0,N(BD132)&gt;0),"Advance at risk: BDT "&amp;TEXT(AL132,"#,##0")&amp;" paid, goods late; ","")&amp;IF(AND(BJ132&lt;&gt;"",BJ132&lt;&gt;"OK"),"Fix data entry (see Data Check); ",""))</f>
        <v/>
      </c>
      <c r="BL132" s="73" t="str">
        <f aca="false">IF(BK132="","",IF(OR(N(AP132)&gt;30,AND(AY132="",N(BD132)&gt;15),BF132="Rejected",AND(LEFT(AX132,12)="Short Closed",N(AL132)&gt;0),AND(O132&lt;&gt;"",AY132="",N(AL132)&gt;0,N(BD132)&gt;0)),"High",IF(OR(N(AP132)&gt;0,AND(AY132="",N(BD132)&gt;7),LEFT(AX132,12)="Short Closed",AND(BI132="Awaiting Approval",ISNUMBER(B132),Settings!$B$4-N(B132)&gt;2*Settings!$B$19),AND(BI132="Approved - PO Pending",ISNUMBER(J132),Settings!$B$4-N(J132)&gt;2*Settings!$B$20)),"Medium","Low")))</f>
        <v/>
      </c>
      <c r="BM132" s="77" t="str">
        <f aca="false">IF(BL132="","",IF(BL132="High",1,IF(BL132="Medium",2,3))*10000+ROW())</f>
        <v/>
      </c>
      <c r="BN132" s="62"/>
    </row>
    <row r="133" customFormat="false" ht="18" hidden="false" customHeight="true" outlineLevel="0" collapsed="false">
      <c r="A133" s="60"/>
      <c r="B133" s="61"/>
      <c r="C133" s="62"/>
      <c r="D133" s="62"/>
      <c r="E133" s="62"/>
      <c r="F133" s="62"/>
      <c r="G133" s="62"/>
      <c r="H133" s="60"/>
      <c r="I133" s="60"/>
      <c r="J133" s="61"/>
      <c r="K133" s="60"/>
      <c r="L133" s="60"/>
      <c r="M133" s="62"/>
      <c r="N133" s="60"/>
      <c r="O133" s="60"/>
      <c r="P133" s="61"/>
      <c r="Q133" s="63"/>
      <c r="R133" s="60"/>
      <c r="S133" s="64"/>
      <c r="T133" s="60"/>
      <c r="U133" s="65" t="str">
        <f aca="false">IF(AND(T133="",S133=""),"",IF(T133="",1,IFERROR(INDEX(Settings!$B$12:$B$16,MATCH(T133,Settings!$A$12:$A$16,0)),1)))</f>
        <v/>
      </c>
      <c r="V133" s="64"/>
      <c r="W133" s="66" t="str">
        <f aca="false">IF(OR(Q133="",S133=""),"",Q133*S133*U133)</f>
        <v/>
      </c>
      <c r="X133" s="65" t="str">
        <f aca="false">IF(OR(W133="",N(Q133)=0),"",W133/Q133)</f>
        <v/>
      </c>
      <c r="Y133" s="65" t="str">
        <f aca="false">IF(OR(X133="",P133="",E133=""),"",IF(_xlfn.MAXIFS($P$6:$P$205,$E$6:$E$205,E133,$P$6:$P$205,"&lt;"&amp;P133,$X$6:$X$205,"&gt;0")=0,"",IFERROR(AVERAGEIFS($X$6:$X$205,$E$6:$E$205,E133,$P$6:$P$205,_xlfn.MAXIFS($P$6:$P$205,$E$6:$E$205,E133,$P$6:$P$205,"&lt;"&amp;P133,$X$6:$X$205,"&gt;0"),$X$6:$X$205,"&gt;0"),"")))</f>
        <v/>
      </c>
      <c r="Z133" s="67" t="str">
        <f aca="false">IF(OR(Y133="",X133=""),"",X133/Y133-1)</f>
        <v/>
      </c>
      <c r="AA133" s="68" t="str">
        <f aca="false">IF(OR(W133="",V133=""),"",W133-Q133*V133)</f>
        <v/>
      </c>
      <c r="AB133" s="69" t="str">
        <f aca="false">IF(AA133="","",IF(N(V133)*N(Q133)=0,"",AA133/(Q133*V133)))</f>
        <v/>
      </c>
      <c r="AC133" s="70"/>
      <c r="AD133" s="66" t="str">
        <f aca="false">IF(W133="","",W133*(1+N(AC133)))</f>
        <v/>
      </c>
      <c r="AE133" s="62"/>
      <c r="AF133" s="71"/>
      <c r="AG133" s="71"/>
      <c r="AH133" s="71"/>
      <c r="AI133" s="66" t="str">
        <f aca="false">IF(A133="","",N(AF133)+N(AG133)+N(AH133))</f>
        <v/>
      </c>
      <c r="AJ133" s="72" t="str">
        <f aca="false">IF(AD133="","",IF(N(AD133)=0,"",AI133/AD133))</f>
        <v/>
      </c>
      <c r="AK133" s="66" t="str">
        <f aca="false">IF(AD133="","",IF(AD133-AI133&lt;1,0,ROUND(AD133-AI133,2)))</f>
        <v/>
      </c>
      <c r="AL133" s="66" t="str">
        <f aca="false">IF(OR(O133="",AD133=""),"",MAX(0,ROUND(N(AI133)-(AD133-N(AW133)),0)))</f>
        <v/>
      </c>
      <c r="AM133" s="73" t="str">
        <f aca="false">IF(A133="","",IF(O133="","No PO Yet",IF(AI133=0,"Not Paid",IF(N(AJ133)&gt;=0.999,"Fully Paid",IF(N(AG133)+N(AH133)&gt;0,"Partially Paid","Initial / Advance Paid")))))</f>
        <v/>
      </c>
      <c r="AN133" s="61"/>
      <c r="AO133" s="61"/>
      <c r="AP133" s="74" t="str">
        <f aca="false">IF(AK133="","",IF(OR(N(AK133)=0,AO133=""),"",MAX(0,Settings!$B$4-AO133)))</f>
        <v/>
      </c>
      <c r="AQ133" s="73" t="str">
        <f aca="false">IF(AK133="","",IF(N(AK133)&lt;=0,"",IF(AO133="","No Due Date",IF(Settings!$B$4&lt;=AO133,"Not Yet Due",IF(Settings!$B$4-AO133&lt;=30,"1-30 Days",IF(Settings!$B$4-AO133&lt;=60,"31-60 Days",IF(Settings!$B$4-AO133&lt;=90,"61-90 Days","90+ Days")))))))</f>
        <v/>
      </c>
      <c r="AR133" s="61"/>
      <c r="AS133" s="61"/>
      <c r="AT133" s="63"/>
      <c r="AU133" s="72" t="str">
        <f aca="false">IF(Q133="","",IF(N(Q133)=0,"",N(AT133)/Q133))</f>
        <v/>
      </c>
      <c r="AV133" s="75" t="str">
        <f aca="false">IF(OR(A133="",O133="",Q133=""),"",MAX(0,Q133-N(AT133)))</f>
        <v/>
      </c>
      <c r="AW133" s="66" t="str">
        <f aca="false">IF(OR(AV133="",W133=""),"",IF(N(Q133)=0,0,AV133/Q133*AD133))</f>
        <v/>
      </c>
      <c r="AX133" s="76" t="str">
        <f aca="false">IF(A133="","",IF(O133="","No PO Yet",IF(Q133="","Order Qty Missing",IF(N(AT133)&gt;=Q133,IF(N(AT133)&gt;Q133,"All In-house (+"&amp;TEXT(N(AT133)-Q133,"#,##0")&amp;" "&amp;R133&amp;" excess)","All In-house"),IF(AY133&lt;&gt;"","Short Closed - "&amp;TEXT(AV133,"#,##0")&amp;" "&amp;R133&amp;" not received",IF(N(AT133)=0,"Not Started - "&amp;TEXT(AV133,"#,##0")&amp;" "&amp;R133&amp;" pending","Pending "&amp;TEXT(AV133,"#,##0")&amp;" "&amp;R133&amp;" ("&amp;TEXT(AU133,"0%")&amp;" received)"))))))</f>
        <v/>
      </c>
      <c r="AY133" s="61"/>
      <c r="AZ133" s="77" t="str">
        <f aca="false">IF(OR(B133="",J133=""),"",J133-B133)</f>
        <v/>
      </c>
      <c r="BA133" s="77" t="str">
        <f aca="false">IF(OR(J133="",P133=""),"",P133-J133)</f>
        <v/>
      </c>
      <c r="BB133" s="77" t="str">
        <f aca="false">IF(OR(P133="",AY133=""),"",AY133-P133)</f>
        <v/>
      </c>
      <c r="BC133" s="77" t="str">
        <f aca="false">IF(OR(B133="",AY133=""),"",AY133-B133)</f>
        <v/>
      </c>
      <c r="BD133" s="74" t="str">
        <f aca="false">IF(OR(AR133="",O133=""),"",MAX(0,IF(AY133="",Settings!$B$4,AY133)-AR133))</f>
        <v/>
      </c>
      <c r="BE133" s="73" t="str">
        <f aca="false">IF(OR(AY133="",AR133=""),"",IF(AND(AY133&lt;=AR133,N(AU133)&gt;=Settings!$B$6),"OTIF","Not OTIF"))</f>
        <v/>
      </c>
      <c r="BF133" s="60"/>
      <c r="BG133" s="62"/>
      <c r="BH133" s="78"/>
      <c r="BI133" s="76" t="str">
        <f aca="false">IF(A133="","",IF(K133="Rejected","Rejected",IF(K133&lt;&gt;"Approved","Awaiting Approval",IF(O133="","Approved - PO Pending",IF(AY133&lt;&gt;"",IF(N(AJ133)&gt;=0.999,"Closed","In-house Closed - Payment Due"),IF(AS133&lt;&gt;"","Receiving In-house","PO Issued - Awaiting Delivery"))))))</f>
        <v/>
      </c>
      <c r="BJ133" s="76" t="str">
        <f aca="false">IF(A133="","",IF(IF(AND(A133&lt;&gt;"",OR(B133="",C133="",E133="",F133="",H133="")),"PR info missing; ","")&amp;IF(AND(K133="Approved",OR(J133="",I133="")),"Approval ref/date missing; ","")&amp;IF(AND(O133&lt;&gt;"",K133&lt;&gt;"Approved"),"PO without approval; ","")&amp;IF(AND(O133&lt;&gt;"",OR(P133="",M133="",Q133="",S133="",T133="")),"PO details missing; ","")&amp;IF(AND(O133&lt;&gt;"",AR133=""),"Committed date missing; ","")&amp;IF(AND(ISNUMBER(J133),ISNUMBER(B133),N(J133)&lt;N(B133)),"Approval dated before PR; ","")&amp;IF(AND(ISNUMBER(P133),ISNUMBER(J133),N(P133)&lt;N(J133)),"PO dated before approval; ","")&amp;IF(AND(ISNUMBER(AY133),ISNUMBER(AS133),N(AY133)&lt;N(AS133)),"Close before in-house start; ","")&amp;IF(AND(AY133&lt;&gt;"",AS133=""),"In-house start date missing; ","")&amp;IF(AND(AY133&lt;&gt;"",AT133=""),"Qty received missing; ","")&amp;IF(AND(AY133&lt;&gt;"",BF133=""),"QC status missing; ","")&amp;IF(N(AT133)&gt;N(Q133)*1.05,"Received &gt; ordered +5%; ","")&amp;IF(AND(N(AI133)&gt;0,AE133=""),"Payment terms missing; ","")&amp;IF(N(AI133)&gt;N(AD133)+1,"Overpaid vs PO; ","")&amp;IF(AND(N(AK133)&gt;0,AY133&lt;&gt;"",AO133=""),"Payment due date missing; ","")="","OK",IF(AND(A133&lt;&gt;"",OR(B133="",C133="",E133="",F133="",H133="")),"PR info missing; ","")&amp;IF(AND(K133="Approved",OR(J133="",I133="")),"Approval ref/date missing; ","")&amp;IF(AND(O133&lt;&gt;"",K133&lt;&gt;"Approved"),"PO without approval; ","")&amp;IF(AND(O133&lt;&gt;"",OR(P133="",M133="",Q133="",S133="",T133="")),"PO details missing; ","")&amp;IF(AND(O133&lt;&gt;"",AR133=""),"Committed date missing; ","")&amp;IF(AND(ISNUMBER(J133),ISNUMBER(B133),N(J133)&lt;N(B133)),"Approval dated before PR; ","")&amp;IF(AND(ISNUMBER(P133),ISNUMBER(J133),N(P133)&lt;N(J133)),"PO dated before approval; ","")&amp;IF(AND(ISNUMBER(AY133),ISNUMBER(AS133),N(AY133)&lt;N(AS133)),"Close before in-house start; ","")&amp;IF(AND(AY133&lt;&gt;"",AS133=""),"In-house start date missing; ","")&amp;IF(AND(AY133&lt;&gt;"",AT133=""),"Qty received missing; ","")&amp;IF(AND(AY133&lt;&gt;"",BF133=""),"QC status missing; ","")&amp;IF(N(AT133)&gt;N(Q133)*1.05,"Received &gt; ordered +5%; ","")&amp;IF(AND(N(AI133)&gt;0,AE133=""),"Payment terms missing; ","")&amp;IF(N(AI133)&gt;N(AD133)+1,"Overpaid vs PO; ","")&amp;IF(AND(N(AK133)&gt;0,AY133&lt;&gt;"",AO133=""),"Payment due date missing; ","")))</f>
        <v/>
      </c>
      <c r="BK133" s="76" t="str">
        <f aca="false">IF(A133="","",IF(N(AP133)&gt;0,"Pay supplier: "&amp;N(AP133)&amp;" days overdue; ","")&amp;IF(AND(O133&lt;&gt;"",AY133="",N(BD133)&gt;0),"Expedite delivery: "&amp;N(BD133)&amp;" days late; ","")&amp;IF(AND(BI133="Awaiting Approval",ISNUMBER(B133),Settings!$B$4-N(B133)&gt;Settings!$B$19),"Get approval: PR waiting "&amp;(Settings!$B$4-N(B133))&amp;" days; ","")&amp;IF(AND(BI133="Approved - PO Pending",ISNUMBER(J133),Settings!$B$4-N(J133)&gt;Settings!$B$20),"Issue PO: approved "&amp;(Settings!$B$4-N(J133))&amp;" days ago; ","")&amp;IF(AND(OR(BI133="Awaiting Approval",BI133="Approved - PO Pending"),N(AB133)&gt;Settings!$B$7),"Negotiate price: "&amp;TEXT(AB133,"0%")&amp;" above budget; ","")&amp;IF(LEFT(AX133,12)="Short Closed","Short closed: claim balance / credit note"&amp;IF(N(AL133)&gt;0," BDT "&amp;TEXT(AL133,"#,##0"),"")&amp;"; ","")&amp;IF(BF133="Rejected","QC rejected: return / replace; ","")&amp;IF(AND(O133&lt;&gt;"",AY133="",N(AL133)&gt;0,N(BD133)&gt;0),"Advance at risk: BDT "&amp;TEXT(AL133,"#,##0")&amp;" paid, goods late; ","")&amp;IF(AND(BJ133&lt;&gt;"",BJ133&lt;&gt;"OK"),"Fix data entry (see Data Check); ",""))</f>
        <v/>
      </c>
      <c r="BL133" s="73" t="str">
        <f aca="false">IF(BK133="","",IF(OR(N(AP133)&gt;30,AND(AY133="",N(BD133)&gt;15),BF133="Rejected",AND(LEFT(AX133,12)="Short Closed",N(AL133)&gt;0),AND(O133&lt;&gt;"",AY133="",N(AL133)&gt;0,N(BD133)&gt;0)),"High",IF(OR(N(AP133)&gt;0,AND(AY133="",N(BD133)&gt;7),LEFT(AX133,12)="Short Closed",AND(BI133="Awaiting Approval",ISNUMBER(B133),Settings!$B$4-N(B133)&gt;2*Settings!$B$19),AND(BI133="Approved - PO Pending",ISNUMBER(J133),Settings!$B$4-N(J133)&gt;2*Settings!$B$20)),"Medium","Low")))</f>
        <v/>
      </c>
      <c r="BM133" s="77" t="str">
        <f aca="false">IF(BL133="","",IF(BL133="High",1,IF(BL133="Medium",2,3))*10000+ROW())</f>
        <v/>
      </c>
      <c r="BN133" s="62"/>
    </row>
    <row r="134" customFormat="false" ht="18" hidden="false" customHeight="true" outlineLevel="0" collapsed="false">
      <c r="A134" s="60"/>
      <c r="B134" s="61"/>
      <c r="C134" s="62"/>
      <c r="D134" s="62"/>
      <c r="E134" s="62"/>
      <c r="F134" s="62"/>
      <c r="G134" s="62"/>
      <c r="H134" s="60"/>
      <c r="I134" s="60"/>
      <c r="J134" s="61"/>
      <c r="K134" s="60"/>
      <c r="L134" s="60"/>
      <c r="M134" s="62"/>
      <c r="N134" s="60"/>
      <c r="O134" s="60"/>
      <c r="P134" s="61"/>
      <c r="Q134" s="63"/>
      <c r="R134" s="60"/>
      <c r="S134" s="64"/>
      <c r="T134" s="60"/>
      <c r="U134" s="65" t="str">
        <f aca="false">IF(AND(T134="",S134=""),"",IF(T134="",1,IFERROR(INDEX(Settings!$B$12:$B$16,MATCH(T134,Settings!$A$12:$A$16,0)),1)))</f>
        <v/>
      </c>
      <c r="V134" s="64"/>
      <c r="W134" s="66" t="str">
        <f aca="false">IF(OR(Q134="",S134=""),"",Q134*S134*U134)</f>
        <v/>
      </c>
      <c r="X134" s="65" t="str">
        <f aca="false">IF(OR(W134="",N(Q134)=0),"",W134/Q134)</f>
        <v/>
      </c>
      <c r="Y134" s="65" t="str">
        <f aca="false">IF(OR(X134="",P134="",E134=""),"",IF(_xlfn.MAXIFS($P$6:$P$205,$E$6:$E$205,E134,$P$6:$P$205,"&lt;"&amp;P134,$X$6:$X$205,"&gt;0")=0,"",IFERROR(AVERAGEIFS($X$6:$X$205,$E$6:$E$205,E134,$P$6:$P$205,_xlfn.MAXIFS($P$6:$P$205,$E$6:$E$205,E134,$P$6:$P$205,"&lt;"&amp;P134,$X$6:$X$205,"&gt;0"),$X$6:$X$205,"&gt;0"),"")))</f>
        <v/>
      </c>
      <c r="Z134" s="67" t="str">
        <f aca="false">IF(OR(Y134="",X134=""),"",X134/Y134-1)</f>
        <v/>
      </c>
      <c r="AA134" s="68" t="str">
        <f aca="false">IF(OR(W134="",V134=""),"",W134-Q134*V134)</f>
        <v/>
      </c>
      <c r="AB134" s="69" t="str">
        <f aca="false">IF(AA134="","",IF(N(V134)*N(Q134)=0,"",AA134/(Q134*V134)))</f>
        <v/>
      </c>
      <c r="AC134" s="70"/>
      <c r="AD134" s="66" t="str">
        <f aca="false">IF(W134="","",W134*(1+N(AC134)))</f>
        <v/>
      </c>
      <c r="AE134" s="62"/>
      <c r="AF134" s="71"/>
      <c r="AG134" s="71"/>
      <c r="AH134" s="71"/>
      <c r="AI134" s="66" t="str">
        <f aca="false">IF(A134="","",N(AF134)+N(AG134)+N(AH134))</f>
        <v/>
      </c>
      <c r="AJ134" s="72" t="str">
        <f aca="false">IF(AD134="","",IF(N(AD134)=0,"",AI134/AD134))</f>
        <v/>
      </c>
      <c r="AK134" s="66" t="str">
        <f aca="false">IF(AD134="","",IF(AD134-AI134&lt;1,0,ROUND(AD134-AI134,2)))</f>
        <v/>
      </c>
      <c r="AL134" s="66" t="str">
        <f aca="false">IF(OR(O134="",AD134=""),"",MAX(0,ROUND(N(AI134)-(AD134-N(AW134)),0)))</f>
        <v/>
      </c>
      <c r="AM134" s="73" t="str">
        <f aca="false">IF(A134="","",IF(O134="","No PO Yet",IF(AI134=0,"Not Paid",IF(N(AJ134)&gt;=0.999,"Fully Paid",IF(N(AG134)+N(AH134)&gt;0,"Partially Paid","Initial / Advance Paid")))))</f>
        <v/>
      </c>
      <c r="AN134" s="61"/>
      <c r="AO134" s="61"/>
      <c r="AP134" s="74" t="str">
        <f aca="false">IF(AK134="","",IF(OR(N(AK134)=0,AO134=""),"",MAX(0,Settings!$B$4-AO134)))</f>
        <v/>
      </c>
      <c r="AQ134" s="73" t="str">
        <f aca="false">IF(AK134="","",IF(N(AK134)&lt;=0,"",IF(AO134="","No Due Date",IF(Settings!$B$4&lt;=AO134,"Not Yet Due",IF(Settings!$B$4-AO134&lt;=30,"1-30 Days",IF(Settings!$B$4-AO134&lt;=60,"31-60 Days",IF(Settings!$B$4-AO134&lt;=90,"61-90 Days","90+ Days")))))))</f>
        <v/>
      </c>
      <c r="AR134" s="61"/>
      <c r="AS134" s="61"/>
      <c r="AT134" s="63"/>
      <c r="AU134" s="72" t="str">
        <f aca="false">IF(Q134="","",IF(N(Q134)=0,"",N(AT134)/Q134))</f>
        <v/>
      </c>
      <c r="AV134" s="75" t="str">
        <f aca="false">IF(OR(A134="",O134="",Q134=""),"",MAX(0,Q134-N(AT134)))</f>
        <v/>
      </c>
      <c r="AW134" s="66" t="str">
        <f aca="false">IF(OR(AV134="",W134=""),"",IF(N(Q134)=0,0,AV134/Q134*AD134))</f>
        <v/>
      </c>
      <c r="AX134" s="76" t="str">
        <f aca="false">IF(A134="","",IF(O134="","No PO Yet",IF(Q134="","Order Qty Missing",IF(N(AT134)&gt;=Q134,IF(N(AT134)&gt;Q134,"All In-house (+"&amp;TEXT(N(AT134)-Q134,"#,##0")&amp;" "&amp;R134&amp;" excess)","All In-house"),IF(AY134&lt;&gt;"","Short Closed - "&amp;TEXT(AV134,"#,##0")&amp;" "&amp;R134&amp;" not received",IF(N(AT134)=0,"Not Started - "&amp;TEXT(AV134,"#,##0")&amp;" "&amp;R134&amp;" pending","Pending "&amp;TEXT(AV134,"#,##0")&amp;" "&amp;R134&amp;" ("&amp;TEXT(AU134,"0%")&amp;" received)"))))))</f>
        <v/>
      </c>
      <c r="AY134" s="61"/>
      <c r="AZ134" s="77" t="str">
        <f aca="false">IF(OR(B134="",J134=""),"",J134-B134)</f>
        <v/>
      </c>
      <c r="BA134" s="77" t="str">
        <f aca="false">IF(OR(J134="",P134=""),"",P134-J134)</f>
        <v/>
      </c>
      <c r="BB134" s="77" t="str">
        <f aca="false">IF(OR(P134="",AY134=""),"",AY134-P134)</f>
        <v/>
      </c>
      <c r="BC134" s="77" t="str">
        <f aca="false">IF(OR(B134="",AY134=""),"",AY134-B134)</f>
        <v/>
      </c>
      <c r="BD134" s="74" t="str">
        <f aca="false">IF(OR(AR134="",O134=""),"",MAX(0,IF(AY134="",Settings!$B$4,AY134)-AR134))</f>
        <v/>
      </c>
      <c r="BE134" s="73" t="str">
        <f aca="false">IF(OR(AY134="",AR134=""),"",IF(AND(AY134&lt;=AR134,N(AU134)&gt;=Settings!$B$6),"OTIF","Not OTIF"))</f>
        <v/>
      </c>
      <c r="BF134" s="60"/>
      <c r="BG134" s="62"/>
      <c r="BH134" s="78"/>
      <c r="BI134" s="76" t="str">
        <f aca="false">IF(A134="","",IF(K134="Rejected","Rejected",IF(K134&lt;&gt;"Approved","Awaiting Approval",IF(O134="","Approved - PO Pending",IF(AY134&lt;&gt;"",IF(N(AJ134)&gt;=0.999,"Closed","In-house Closed - Payment Due"),IF(AS134&lt;&gt;"","Receiving In-house","PO Issued - Awaiting Delivery"))))))</f>
        <v/>
      </c>
      <c r="BJ134" s="76" t="str">
        <f aca="false">IF(A134="","",IF(IF(AND(A134&lt;&gt;"",OR(B134="",C134="",E134="",F134="",H134="")),"PR info missing; ","")&amp;IF(AND(K134="Approved",OR(J134="",I134="")),"Approval ref/date missing; ","")&amp;IF(AND(O134&lt;&gt;"",K134&lt;&gt;"Approved"),"PO without approval; ","")&amp;IF(AND(O134&lt;&gt;"",OR(P134="",M134="",Q134="",S134="",T134="")),"PO details missing; ","")&amp;IF(AND(O134&lt;&gt;"",AR134=""),"Committed date missing; ","")&amp;IF(AND(ISNUMBER(J134),ISNUMBER(B134),N(J134)&lt;N(B134)),"Approval dated before PR; ","")&amp;IF(AND(ISNUMBER(P134),ISNUMBER(J134),N(P134)&lt;N(J134)),"PO dated before approval; ","")&amp;IF(AND(ISNUMBER(AY134),ISNUMBER(AS134),N(AY134)&lt;N(AS134)),"Close before in-house start; ","")&amp;IF(AND(AY134&lt;&gt;"",AS134=""),"In-house start date missing; ","")&amp;IF(AND(AY134&lt;&gt;"",AT134=""),"Qty received missing; ","")&amp;IF(AND(AY134&lt;&gt;"",BF134=""),"QC status missing; ","")&amp;IF(N(AT134)&gt;N(Q134)*1.05,"Received &gt; ordered +5%; ","")&amp;IF(AND(N(AI134)&gt;0,AE134=""),"Payment terms missing; ","")&amp;IF(N(AI134)&gt;N(AD134)+1,"Overpaid vs PO; ","")&amp;IF(AND(N(AK134)&gt;0,AY134&lt;&gt;"",AO134=""),"Payment due date missing; ","")="","OK",IF(AND(A134&lt;&gt;"",OR(B134="",C134="",E134="",F134="",H134="")),"PR info missing; ","")&amp;IF(AND(K134="Approved",OR(J134="",I134="")),"Approval ref/date missing; ","")&amp;IF(AND(O134&lt;&gt;"",K134&lt;&gt;"Approved"),"PO without approval; ","")&amp;IF(AND(O134&lt;&gt;"",OR(P134="",M134="",Q134="",S134="",T134="")),"PO details missing; ","")&amp;IF(AND(O134&lt;&gt;"",AR134=""),"Committed date missing; ","")&amp;IF(AND(ISNUMBER(J134),ISNUMBER(B134),N(J134)&lt;N(B134)),"Approval dated before PR; ","")&amp;IF(AND(ISNUMBER(P134),ISNUMBER(J134),N(P134)&lt;N(J134)),"PO dated before approval; ","")&amp;IF(AND(ISNUMBER(AY134),ISNUMBER(AS134),N(AY134)&lt;N(AS134)),"Close before in-house start; ","")&amp;IF(AND(AY134&lt;&gt;"",AS134=""),"In-house start date missing; ","")&amp;IF(AND(AY134&lt;&gt;"",AT134=""),"Qty received missing; ","")&amp;IF(AND(AY134&lt;&gt;"",BF134=""),"QC status missing; ","")&amp;IF(N(AT134)&gt;N(Q134)*1.05,"Received &gt; ordered +5%; ","")&amp;IF(AND(N(AI134)&gt;0,AE134=""),"Payment terms missing; ","")&amp;IF(N(AI134)&gt;N(AD134)+1,"Overpaid vs PO; ","")&amp;IF(AND(N(AK134)&gt;0,AY134&lt;&gt;"",AO134=""),"Payment due date missing; ","")))</f>
        <v/>
      </c>
      <c r="BK134" s="76" t="str">
        <f aca="false">IF(A134="","",IF(N(AP134)&gt;0,"Pay supplier: "&amp;N(AP134)&amp;" days overdue; ","")&amp;IF(AND(O134&lt;&gt;"",AY134="",N(BD134)&gt;0),"Expedite delivery: "&amp;N(BD134)&amp;" days late; ","")&amp;IF(AND(BI134="Awaiting Approval",ISNUMBER(B134),Settings!$B$4-N(B134)&gt;Settings!$B$19),"Get approval: PR waiting "&amp;(Settings!$B$4-N(B134))&amp;" days; ","")&amp;IF(AND(BI134="Approved - PO Pending",ISNUMBER(J134),Settings!$B$4-N(J134)&gt;Settings!$B$20),"Issue PO: approved "&amp;(Settings!$B$4-N(J134))&amp;" days ago; ","")&amp;IF(AND(OR(BI134="Awaiting Approval",BI134="Approved - PO Pending"),N(AB134)&gt;Settings!$B$7),"Negotiate price: "&amp;TEXT(AB134,"0%")&amp;" above budget; ","")&amp;IF(LEFT(AX134,12)="Short Closed","Short closed: claim balance / credit note"&amp;IF(N(AL134)&gt;0," BDT "&amp;TEXT(AL134,"#,##0"),"")&amp;"; ","")&amp;IF(BF134="Rejected","QC rejected: return / replace; ","")&amp;IF(AND(O134&lt;&gt;"",AY134="",N(AL134)&gt;0,N(BD134)&gt;0),"Advance at risk: BDT "&amp;TEXT(AL134,"#,##0")&amp;" paid, goods late; ","")&amp;IF(AND(BJ134&lt;&gt;"",BJ134&lt;&gt;"OK"),"Fix data entry (see Data Check); ",""))</f>
        <v/>
      </c>
      <c r="BL134" s="73" t="str">
        <f aca="false">IF(BK134="","",IF(OR(N(AP134)&gt;30,AND(AY134="",N(BD134)&gt;15),BF134="Rejected",AND(LEFT(AX134,12)="Short Closed",N(AL134)&gt;0),AND(O134&lt;&gt;"",AY134="",N(AL134)&gt;0,N(BD134)&gt;0)),"High",IF(OR(N(AP134)&gt;0,AND(AY134="",N(BD134)&gt;7),LEFT(AX134,12)="Short Closed",AND(BI134="Awaiting Approval",ISNUMBER(B134),Settings!$B$4-N(B134)&gt;2*Settings!$B$19),AND(BI134="Approved - PO Pending",ISNUMBER(J134),Settings!$B$4-N(J134)&gt;2*Settings!$B$20)),"Medium","Low")))</f>
        <v/>
      </c>
      <c r="BM134" s="77" t="str">
        <f aca="false">IF(BL134="","",IF(BL134="High",1,IF(BL134="Medium",2,3))*10000+ROW())</f>
        <v/>
      </c>
      <c r="BN134" s="62"/>
    </row>
    <row r="135" customFormat="false" ht="18" hidden="false" customHeight="true" outlineLevel="0" collapsed="false">
      <c r="A135" s="60"/>
      <c r="B135" s="61"/>
      <c r="C135" s="62"/>
      <c r="D135" s="62"/>
      <c r="E135" s="62"/>
      <c r="F135" s="62"/>
      <c r="G135" s="62"/>
      <c r="H135" s="60"/>
      <c r="I135" s="60"/>
      <c r="J135" s="61"/>
      <c r="K135" s="60"/>
      <c r="L135" s="60"/>
      <c r="M135" s="62"/>
      <c r="N135" s="60"/>
      <c r="O135" s="60"/>
      <c r="P135" s="61"/>
      <c r="Q135" s="63"/>
      <c r="R135" s="60"/>
      <c r="S135" s="64"/>
      <c r="T135" s="60"/>
      <c r="U135" s="65" t="str">
        <f aca="false">IF(AND(T135="",S135=""),"",IF(T135="",1,IFERROR(INDEX(Settings!$B$12:$B$16,MATCH(T135,Settings!$A$12:$A$16,0)),1)))</f>
        <v/>
      </c>
      <c r="V135" s="64"/>
      <c r="W135" s="66" t="str">
        <f aca="false">IF(OR(Q135="",S135=""),"",Q135*S135*U135)</f>
        <v/>
      </c>
      <c r="X135" s="65" t="str">
        <f aca="false">IF(OR(W135="",N(Q135)=0),"",W135/Q135)</f>
        <v/>
      </c>
      <c r="Y135" s="65" t="str">
        <f aca="false">IF(OR(X135="",P135="",E135=""),"",IF(_xlfn.MAXIFS($P$6:$P$205,$E$6:$E$205,E135,$P$6:$P$205,"&lt;"&amp;P135,$X$6:$X$205,"&gt;0")=0,"",IFERROR(AVERAGEIFS($X$6:$X$205,$E$6:$E$205,E135,$P$6:$P$205,_xlfn.MAXIFS($P$6:$P$205,$E$6:$E$205,E135,$P$6:$P$205,"&lt;"&amp;P135,$X$6:$X$205,"&gt;0"),$X$6:$X$205,"&gt;0"),"")))</f>
        <v/>
      </c>
      <c r="Z135" s="67" t="str">
        <f aca="false">IF(OR(Y135="",X135=""),"",X135/Y135-1)</f>
        <v/>
      </c>
      <c r="AA135" s="68" t="str">
        <f aca="false">IF(OR(W135="",V135=""),"",W135-Q135*V135)</f>
        <v/>
      </c>
      <c r="AB135" s="69" t="str">
        <f aca="false">IF(AA135="","",IF(N(V135)*N(Q135)=0,"",AA135/(Q135*V135)))</f>
        <v/>
      </c>
      <c r="AC135" s="70"/>
      <c r="AD135" s="66" t="str">
        <f aca="false">IF(W135="","",W135*(1+N(AC135)))</f>
        <v/>
      </c>
      <c r="AE135" s="62"/>
      <c r="AF135" s="71"/>
      <c r="AG135" s="71"/>
      <c r="AH135" s="71"/>
      <c r="AI135" s="66" t="str">
        <f aca="false">IF(A135="","",N(AF135)+N(AG135)+N(AH135))</f>
        <v/>
      </c>
      <c r="AJ135" s="72" t="str">
        <f aca="false">IF(AD135="","",IF(N(AD135)=0,"",AI135/AD135))</f>
        <v/>
      </c>
      <c r="AK135" s="66" t="str">
        <f aca="false">IF(AD135="","",IF(AD135-AI135&lt;1,0,ROUND(AD135-AI135,2)))</f>
        <v/>
      </c>
      <c r="AL135" s="66" t="str">
        <f aca="false">IF(OR(O135="",AD135=""),"",MAX(0,ROUND(N(AI135)-(AD135-N(AW135)),0)))</f>
        <v/>
      </c>
      <c r="AM135" s="73" t="str">
        <f aca="false">IF(A135="","",IF(O135="","No PO Yet",IF(AI135=0,"Not Paid",IF(N(AJ135)&gt;=0.999,"Fully Paid",IF(N(AG135)+N(AH135)&gt;0,"Partially Paid","Initial / Advance Paid")))))</f>
        <v/>
      </c>
      <c r="AN135" s="61"/>
      <c r="AO135" s="61"/>
      <c r="AP135" s="74" t="str">
        <f aca="false">IF(AK135="","",IF(OR(N(AK135)=0,AO135=""),"",MAX(0,Settings!$B$4-AO135)))</f>
        <v/>
      </c>
      <c r="AQ135" s="73" t="str">
        <f aca="false">IF(AK135="","",IF(N(AK135)&lt;=0,"",IF(AO135="","No Due Date",IF(Settings!$B$4&lt;=AO135,"Not Yet Due",IF(Settings!$B$4-AO135&lt;=30,"1-30 Days",IF(Settings!$B$4-AO135&lt;=60,"31-60 Days",IF(Settings!$B$4-AO135&lt;=90,"61-90 Days","90+ Days")))))))</f>
        <v/>
      </c>
      <c r="AR135" s="61"/>
      <c r="AS135" s="61"/>
      <c r="AT135" s="63"/>
      <c r="AU135" s="72" t="str">
        <f aca="false">IF(Q135="","",IF(N(Q135)=0,"",N(AT135)/Q135))</f>
        <v/>
      </c>
      <c r="AV135" s="75" t="str">
        <f aca="false">IF(OR(A135="",O135="",Q135=""),"",MAX(0,Q135-N(AT135)))</f>
        <v/>
      </c>
      <c r="AW135" s="66" t="str">
        <f aca="false">IF(OR(AV135="",W135=""),"",IF(N(Q135)=0,0,AV135/Q135*AD135))</f>
        <v/>
      </c>
      <c r="AX135" s="76" t="str">
        <f aca="false">IF(A135="","",IF(O135="","No PO Yet",IF(Q135="","Order Qty Missing",IF(N(AT135)&gt;=Q135,IF(N(AT135)&gt;Q135,"All In-house (+"&amp;TEXT(N(AT135)-Q135,"#,##0")&amp;" "&amp;R135&amp;" excess)","All In-house"),IF(AY135&lt;&gt;"","Short Closed - "&amp;TEXT(AV135,"#,##0")&amp;" "&amp;R135&amp;" not received",IF(N(AT135)=0,"Not Started - "&amp;TEXT(AV135,"#,##0")&amp;" "&amp;R135&amp;" pending","Pending "&amp;TEXT(AV135,"#,##0")&amp;" "&amp;R135&amp;" ("&amp;TEXT(AU135,"0%")&amp;" received)"))))))</f>
        <v/>
      </c>
      <c r="AY135" s="61"/>
      <c r="AZ135" s="77" t="str">
        <f aca="false">IF(OR(B135="",J135=""),"",J135-B135)</f>
        <v/>
      </c>
      <c r="BA135" s="77" t="str">
        <f aca="false">IF(OR(J135="",P135=""),"",P135-J135)</f>
        <v/>
      </c>
      <c r="BB135" s="77" t="str">
        <f aca="false">IF(OR(P135="",AY135=""),"",AY135-P135)</f>
        <v/>
      </c>
      <c r="BC135" s="77" t="str">
        <f aca="false">IF(OR(B135="",AY135=""),"",AY135-B135)</f>
        <v/>
      </c>
      <c r="BD135" s="74" t="str">
        <f aca="false">IF(OR(AR135="",O135=""),"",MAX(0,IF(AY135="",Settings!$B$4,AY135)-AR135))</f>
        <v/>
      </c>
      <c r="BE135" s="73" t="str">
        <f aca="false">IF(OR(AY135="",AR135=""),"",IF(AND(AY135&lt;=AR135,N(AU135)&gt;=Settings!$B$6),"OTIF","Not OTIF"))</f>
        <v/>
      </c>
      <c r="BF135" s="60"/>
      <c r="BG135" s="62"/>
      <c r="BH135" s="78"/>
      <c r="BI135" s="76" t="str">
        <f aca="false">IF(A135="","",IF(K135="Rejected","Rejected",IF(K135&lt;&gt;"Approved","Awaiting Approval",IF(O135="","Approved - PO Pending",IF(AY135&lt;&gt;"",IF(N(AJ135)&gt;=0.999,"Closed","In-house Closed - Payment Due"),IF(AS135&lt;&gt;"","Receiving In-house","PO Issued - Awaiting Delivery"))))))</f>
        <v/>
      </c>
      <c r="BJ135" s="76" t="str">
        <f aca="false">IF(A135="","",IF(IF(AND(A135&lt;&gt;"",OR(B135="",C135="",E135="",F135="",H135="")),"PR info missing; ","")&amp;IF(AND(K135="Approved",OR(J135="",I135="")),"Approval ref/date missing; ","")&amp;IF(AND(O135&lt;&gt;"",K135&lt;&gt;"Approved"),"PO without approval; ","")&amp;IF(AND(O135&lt;&gt;"",OR(P135="",M135="",Q135="",S135="",T135="")),"PO details missing; ","")&amp;IF(AND(O135&lt;&gt;"",AR135=""),"Committed date missing; ","")&amp;IF(AND(ISNUMBER(J135),ISNUMBER(B135),N(J135)&lt;N(B135)),"Approval dated before PR; ","")&amp;IF(AND(ISNUMBER(P135),ISNUMBER(J135),N(P135)&lt;N(J135)),"PO dated before approval; ","")&amp;IF(AND(ISNUMBER(AY135),ISNUMBER(AS135),N(AY135)&lt;N(AS135)),"Close before in-house start; ","")&amp;IF(AND(AY135&lt;&gt;"",AS135=""),"In-house start date missing; ","")&amp;IF(AND(AY135&lt;&gt;"",AT135=""),"Qty received missing; ","")&amp;IF(AND(AY135&lt;&gt;"",BF135=""),"QC status missing; ","")&amp;IF(N(AT135)&gt;N(Q135)*1.05,"Received &gt; ordered +5%; ","")&amp;IF(AND(N(AI135)&gt;0,AE135=""),"Payment terms missing; ","")&amp;IF(N(AI135)&gt;N(AD135)+1,"Overpaid vs PO; ","")&amp;IF(AND(N(AK135)&gt;0,AY135&lt;&gt;"",AO135=""),"Payment due date missing; ","")="","OK",IF(AND(A135&lt;&gt;"",OR(B135="",C135="",E135="",F135="",H135="")),"PR info missing; ","")&amp;IF(AND(K135="Approved",OR(J135="",I135="")),"Approval ref/date missing; ","")&amp;IF(AND(O135&lt;&gt;"",K135&lt;&gt;"Approved"),"PO without approval; ","")&amp;IF(AND(O135&lt;&gt;"",OR(P135="",M135="",Q135="",S135="",T135="")),"PO details missing; ","")&amp;IF(AND(O135&lt;&gt;"",AR135=""),"Committed date missing; ","")&amp;IF(AND(ISNUMBER(J135),ISNUMBER(B135),N(J135)&lt;N(B135)),"Approval dated before PR; ","")&amp;IF(AND(ISNUMBER(P135),ISNUMBER(J135),N(P135)&lt;N(J135)),"PO dated before approval; ","")&amp;IF(AND(ISNUMBER(AY135),ISNUMBER(AS135),N(AY135)&lt;N(AS135)),"Close before in-house start; ","")&amp;IF(AND(AY135&lt;&gt;"",AS135=""),"In-house start date missing; ","")&amp;IF(AND(AY135&lt;&gt;"",AT135=""),"Qty received missing; ","")&amp;IF(AND(AY135&lt;&gt;"",BF135=""),"QC status missing; ","")&amp;IF(N(AT135)&gt;N(Q135)*1.05,"Received &gt; ordered +5%; ","")&amp;IF(AND(N(AI135)&gt;0,AE135=""),"Payment terms missing; ","")&amp;IF(N(AI135)&gt;N(AD135)+1,"Overpaid vs PO; ","")&amp;IF(AND(N(AK135)&gt;0,AY135&lt;&gt;"",AO135=""),"Payment due date missing; ","")))</f>
        <v/>
      </c>
      <c r="BK135" s="76" t="str">
        <f aca="false">IF(A135="","",IF(N(AP135)&gt;0,"Pay supplier: "&amp;N(AP135)&amp;" days overdue; ","")&amp;IF(AND(O135&lt;&gt;"",AY135="",N(BD135)&gt;0),"Expedite delivery: "&amp;N(BD135)&amp;" days late; ","")&amp;IF(AND(BI135="Awaiting Approval",ISNUMBER(B135),Settings!$B$4-N(B135)&gt;Settings!$B$19),"Get approval: PR waiting "&amp;(Settings!$B$4-N(B135))&amp;" days; ","")&amp;IF(AND(BI135="Approved - PO Pending",ISNUMBER(J135),Settings!$B$4-N(J135)&gt;Settings!$B$20),"Issue PO: approved "&amp;(Settings!$B$4-N(J135))&amp;" days ago; ","")&amp;IF(AND(OR(BI135="Awaiting Approval",BI135="Approved - PO Pending"),N(AB135)&gt;Settings!$B$7),"Negotiate price: "&amp;TEXT(AB135,"0%")&amp;" above budget; ","")&amp;IF(LEFT(AX135,12)="Short Closed","Short closed: claim balance / credit note"&amp;IF(N(AL135)&gt;0," BDT "&amp;TEXT(AL135,"#,##0"),"")&amp;"; ","")&amp;IF(BF135="Rejected","QC rejected: return / replace; ","")&amp;IF(AND(O135&lt;&gt;"",AY135="",N(AL135)&gt;0,N(BD135)&gt;0),"Advance at risk: BDT "&amp;TEXT(AL135,"#,##0")&amp;" paid, goods late; ","")&amp;IF(AND(BJ135&lt;&gt;"",BJ135&lt;&gt;"OK"),"Fix data entry (see Data Check); ",""))</f>
        <v/>
      </c>
      <c r="BL135" s="73" t="str">
        <f aca="false">IF(BK135="","",IF(OR(N(AP135)&gt;30,AND(AY135="",N(BD135)&gt;15),BF135="Rejected",AND(LEFT(AX135,12)="Short Closed",N(AL135)&gt;0),AND(O135&lt;&gt;"",AY135="",N(AL135)&gt;0,N(BD135)&gt;0)),"High",IF(OR(N(AP135)&gt;0,AND(AY135="",N(BD135)&gt;7),LEFT(AX135,12)="Short Closed",AND(BI135="Awaiting Approval",ISNUMBER(B135),Settings!$B$4-N(B135)&gt;2*Settings!$B$19),AND(BI135="Approved - PO Pending",ISNUMBER(J135),Settings!$B$4-N(J135)&gt;2*Settings!$B$20)),"Medium","Low")))</f>
        <v/>
      </c>
      <c r="BM135" s="77" t="str">
        <f aca="false">IF(BL135="","",IF(BL135="High",1,IF(BL135="Medium",2,3))*10000+ROW())</f>
        <v/>
      </c>
      <c r="BN135" s="62"/>
    </row>
    <row r="136" customFormat="false" ht="18" hidden="false" customHeight="true" outlineLevel="0" collapsed="false">
      <c r="A136" s="60"/>
      <c r="B136" s="61"/>
      <c r="C136" s="62"/>
      <c r="D136" s="62"/>
      <c r="E136" s="62"/>
      <c r="F136" s="62"/>
      <c r="G136" s="62"/>
      <c r="H136" s="60"/>
      <c r="I136" s="60"/>
      <c r="J136" s="61"/>
      <c r="K136" s="60"/>
      <c r="L136" s="60"/>
      <c r="M136" s="62"/>
      <c r="N136" s="60"/>
      <c r="O136" s="60"/>
      <c r="P136" s="61"/>
      <c r="Q136" s="63"/>
      <c r="R136" s="60"/>
      <c r="S136" s="64"/>
      <c r="T136" s="60"/>
      <c r="U136" s="65" t="str">
        <f aca="false">IF(AND(T136="",S136=""),"",IF(T136="",1,IFERROR(INDEX(Settings!$B$12:$B$16,MATCH(T136,Settings!$A$12:$A$16,0)),1)))</f>
        <v/>
      </c>
      <c r="V136" s="64"/>
      <c r="W136" s="66" t="str">
        <f aca="false">IF(OR(Q136="",S136=""),"",Q136*S136*U136)</f>
        <v/>
      </c>
      <c r="X136" s="65" t="str">
        <f aca="false">IF(OR(W136="",N(Q136)=0),"",W136/Q136)</f>
        <v/>
      </c>
      <c r="Y136" s="65" t="str">
        <f aca="false">IF(OR(X136="",P136="",E136=""),"",IF(_xlfn.MAXIFS($P$6:$P$205,$E$6:$E$205,E136,$P$6:$P$205,"&lt;"&amp;P136,$X$6:$X$205,"&gt;0")=0,"",IFERROR(AVERAGEIFS($X$6:$X$205,$E$6:$E$205,E136,$P$6:$P$205,_xlfn.MAXIFS($P$6:$P$205,$E$6:$E$205,E136,$P$6:$P$205,"&lt;"&amp;P136,$X$6:$X$205,"&gt;0"),$X$6:$X$205,"&gt;0"),"")))</f>
        <v/>
      </c>
      <c r="Z136" s="67" t="str">
        <f aca="false">IF(OR(Y136="",X136=""),"",X136/Y136-1)</f>
        <v/>
      </c>
      <c r="AA136" s="68" t="str">
        <f aca="false">IF(OR(W136="",V136=""),"",W136-Q136*V136)</f>
        <v/>
      </c>
      <c r="AB136" s="69" t="str">
        <f aca="false">IF(AA136="","",IF(N(V136)*N(Q136)=0,"",AA136/(Q136*V136)))</f>
        <v/>
      </c>
      <c r="AC136" s="70"/>
      <c r="AD136" s="66" t="str">
        <f aca="false">IF(W136="","",W136*(1+N(AC136)))</f>
        <v/>
      </c>
      <c r="AE136" s="62"/>
      <c r="AF136" s="71"/>
      <c r="AG136" s="71"/>
      <c r="AH136" s="71"/>
      <c r="AI136" s="66" t="str">
        <f aca="false">IF(A136="","",N(AF136)+N(AG136)+N(AH136))</f>
        <v/>
      </c>
      <c r="AJ136" s="72" t="str">
        <f aca="false">IF(AD136="","",IF(N(AD136)=0,"",AI136/AD136))</f>
        <v/>
      </c>
      <c r="AK136" s="66" t="str">
        <f aca="false">IF(AD136="","",IF(AD136-AI136&lt;1,0,ROUND(AD136-AI136,2)))</f>
        <v/>
      </c>
      <c r="AL136" s="66" t="str">
        <f aca="false">IF(OR(O136="",AD136=""),"",MAX(0,ROUND(N(AI136)-(AD136-N(AW136)),0)))</f>
        <v/>
      </c>
      <c r="AM136" s="73" t="str">
        <f aca="false">IF(A136="","",IF(O136="","No PO Yet",IF(AI136=0,"Not Paid",IF(N(AJ136)&gt;=0.999,"Fully Paid",IF(N(AG136)+N(AH136)&gt;0,"Partially Paid","Initial / Advance Paid")))))</f>
        <v/>
      </c>
      <c r="AN136" s="61"/>
      <c r="AO136" s="61"/>
      <c r="AP136" s="74" t="str">
        <f aca="false">IF(AK136="","",IF(OR(N(AK136)=0,AO136=""),"",MAX(0,Settings!$B$4-AO136)))</f>
        <v/>
      </c>
      <c r="AQ136" s="73" t="str">
        <f aca="false">IF(AK136="","",IF(N(AK136)&lt;=0,"",IF(AO136="","No Due Date",IF(Settings!$B$4&lt;=AO136,"Not Yet Due",IF(Settings!$B$4-AO136&lt;=30,"1-30 Days",IF(Settings!$B$4-AO136&lt;=60,"31-60 Days",IF(Settings!$B$4-AO136&lt;=90,"61-90 Days","90+ Days")))))))</f>
        <v/>
      </c>
      <c r="AR136" s="61"/>
      <c r="AS136" s="61"/>
      <c r="AT136" s="63"/>
      <c r="AU136" s="72" t="str">
        <f aca="false">IF(Q136="","",IF(N(Q136)=0,"",N(AT136)/Q136))</f>
        <v/>
      </c>
      <c r="AV136" s="75" t="str">
        <f aca="false">IF(OR(A136="",O136="",Q136=""),"",MAX(0,Q136-N(AT136)))</f>
        <v/>
      </c>
      <c r="AW136" s="66" t="str">
        <f aca="false">IF(OR(AV136="",W136=""),"",IF(N(Q136)=0,0,AV136/Q136*AD136))</f>
        <v/>
      </c>
      <c r="AX136" s="76" t="str">
        <f aca="false">IF(A136="","",IF(O136="","No PO Yet",IF(Q136="","Order Qty Missing",IF(N(AT136)&gt;=Q136,IF(N(AT136)&gt;Q136,"All In-house (+"&amp;TEXT(N(AT136)-Q136,"#,##0")&amp;" "&amp;R136&amp;" excess)","All In-house"),IF(AY136&lt;&gt;"","Short Closed - "&amp;TEXT(AV136,"#,##0")&amp;" "&amp;R136&amp;" not received",IF(N(AT136)=0,"Not Started - "&amp;TEXT(AV136,"#,##0")&amp;" "&amp;R136&amp;" pending","Pending "&amp;TEXT(AV136,"#,##0")&amp;" "&amp;R136&amp;" ("&amp;TEXT(AU136,"0%")&amp;" received)"))))))</f>
        <v/>
      </c>
      <c r="AY136" s="61"/>
      <c r="AZ136" s="77" t="str">
        <f aca="false">IF(OR(B136="",J136=""),"",J136-B136)</f>
        <v/>
      </c>
      <c r="BA136" s="77" t="str">
        <f aca="false">IF(OR(J136="",P136=""),"",P136-J136)</f>
        <v/>
      </c>
      <c r="BB136" s="77" t="str">
        <f aca="false">IF(OR(P136="",AY136=""),"",AY136-P136)</f>
        <v/>
      </c>
      <c r="BC136" s="77" t="str">
        <f aca="false">IF(OR(B136="",AY136=""),"",AY136-B136)</f>
        <v/>
      </c>
      <c r="BD136" s="74" t="str">
        <f aca="false">IF(OR(AR136="",O136=""),"",MAX(0,IF(AY136="",Settings!$B$4,AY136)-AR136))</f>
        <v/>
      </c>
      <c r="BE136" s="73" t="str">
        <f aca="false">IF(OR(AY136="",AR136=""),"",IF(AND(AY136&lt;=AR136,N(AU136)&gt;=Settings!$B$6),"OTIF","Not OTIF"))</f>
        <v/>
      </c>
      <c r="BF136" s="60"/>
      <c r="BG136" s="62"/>
      <c r="BH136" s="78"/>
      <c r="BI136" s="76" t="str">
        <f aca="false">IF(A136="","",IF(K136="Rejected","Rejected",IF(K136&lt;&gt;"Approved","Awaiting Approval",IF(O136="","Approved - PO Pending",IF(AY136&lt;&gt;"",IF(N(AJ136)&gt;=0.999,"Closed","In-house Closed - Payment Due"),IF(AS136&lt;&gt;"","Receiving In-house","PO Issued - Awaiting Delivery"))))))</f>
        <v/>
      </c>
      <c r="BJ136" s="76" t="str">
        <f aca="false">IF(A136="","",IF(IF(AND(A136&lt;&gt;"",OR(B136="",C136="",E136="",F136="",H136="")),"PR info missing; ","")&amp;IF(AND(K136="Approved",OR(J136="",I136="")),"Approval ref/date missing; ","")&amp;IF(AND(O136&lt;&gt;"",K136&lt;&gt;"Approved"),"PO without approval; ","")&amp;IF(AND(O136&lt;&gt;"",OR(P136="",M136="",Q136="",S136="",T136="")),"PO details missing; ","")&amp;IF(AND(O136&lt;&gt;"",AR136=""),"Committed date missing; ","")&amp;IF(AND(ISNUMBER(J136),ISNUMBER(B136),N(J136)&lt;N(B136)),"Approval dated before PR; ","")&amp;IF(AND(ISNUMBER(P136),ISNUMBER(J136),N(P136)&lt;N(J136)),"PO dated before approval; ","")&amp;IF(AND(ISNUMBER(AY136),ISNUMBER(AS136),N(AY136)&lt;N(AS136)),"Close before in-house start; ","")&amp;IF(AND(AY136&lt;&gt;"",AS136=""),"In-house start date missing; ","")&amp;IF(AND(AY136&lt;&gt;"",AT136=""),"Qty received missing; ","")&amp;IF(AND(AY136&lt;&gt;"",BF136=""),"QC status missing; ","")&amp;IF(N(AT136)&gt;N(Q136)*1.05,"Received &gt; ordered +5%; ","")&amp;IF(AND(N(AI136)&gt;0,AE136=""),"Payment terms missing; ","")&amp;IF(N(AI136)&gt;N(AD136)+1,"Overpaid vs PO; ","")&amp;IF(AND(N(AK136)&gt;0,AY136&lt;&gt;"",AO136=""),"Payment due date missing; ","")="","OK",IF(AND(A136&lt;&gt;"",OR(B136="",C136="",E136="",F136="",H136="")),"PR info missing; ","")&amp;IF(AND(K136="Approved",OR(J136="",I136="")),"Approval ref/date missing; ","")&amp;IF(AND(O136&lt;&gt;"",K136&lt;&gt;"Approved"),"PO without approval; ","")&amp;IF(AND(O136&lt;&gt;"",OR(P136="",M136="",Q136="",S136="",T136="")),"PO details missing; ","")&amp;IF(AND(O136&lt;&gt;"",AR136=""),"Committed date missing; ","")&amp;IF(AND(ISNUMBER(J136),ISNUMBER(B136),N(J136)&lt;N(B136)),"Approval dated before PR; ","")&amp;IF(AND(ISNUMBER(P136),ISNUMBER(J136),N(P136)&lt;N(J136)),"PO dated before approval; ","")&amp;IF(AND(ISNUMBER(AY136),ISNUMBER(AS136),N(AY136)&lt;N(AS136)),"Close before in-house start; ","")&amp;IF(AND(AY136&lt;&gt;"",AS136=""),"In-house start date missing; ","")&amp;IF(AND(AY136&lt;&gt;"",AT136=""),"Qty received missing; ","")&amp;IF(AND(AY136&lt;&gt;"",BF136=""),"QC status missing; ","")&amp;IF(N(AT136)&gt;N(Q136)*1.05,"Received &gt; ordered +5%; ","")&amp;IF(AND(N(AI136)&gt;0,AE136=""),"Payment terms missing; ","")&amp;IF(N(AI136)&gt;N(AD136)+1,"Overpaid vs PO; ","")&amp;IF(AND(N(AK136)&gt;0,AY136&lt;&gt;"",AO136=""),"Payment due date missing; ","")))</f>
        <v/>
      </c>
      <c r="BK136" s="76" t="str">
        <f aca="false">IF(A136="","",IF(N(AP136)&gt;0,"Pay supplier: "&amp;N(AP136)&amp;" days overdue; ","")&amp;IF(AND(O136&lt;&gt;"",AY136="",N(BD136)&gt;0),"Expedite delivery: "&amp;N(BD136)&amp;" days late; ","")&amp;IF(AND(BI136="Awaiting Approval",ISNUMBER(B136),Settings!$B$4-N(B136)&gt;Settings!$B$19),"Get approval: PR waiting "&amp;(Settings!$B$4-N(B136))&amp;" days; ","")&amp;IF(AND(BI136="Approved - PO Pending",ISNUMBER(J136),Settings!$B$4-N(J136)&gt;Settings!$B$20),"Issue PO: approved "&amp;(Settings!$B$4-N(J136))&amp;" days ago; ","")&amp;IF(AND(OR(BI136="Awaiting Approval",BI136="Approved - PO Pending"),N(AB136)&gt;Settings!$B$7),"Negotiate price: "&amp;TEXT(AB136,"0%")&amp;" above budget; ","")&amp;IF(LEFT(AX136,12)="Short Closed","Short closed: claim balance / credit note"&amp;IF(N(AL136)&gt;0," BDT "&amp;TEXT(AL136,"#,##0"),"")&amp;"; ","")&amp;IF(BF136="Rejected","QC rejected: return / replace; ","")&amp;IF(AND(O136&lt;&gt;"",AY136="",N(AL136)&gt;0,N(BD136)&gt;0),"Advance at risk: BDT "&amp;TEXT(AL136,"#,##0")&amp;" paid, goods late; ","")&amp;IF(AND(BJ136&lt;&gt;"",BJ136&lt;&gt;"OK"),"Fix data entry (see Data Check); ",""))</f>
        <v/>
      </c>
      <c r="BL136" s="73" t="str">
        <f aca="false">IF(BK136="","",IF(OR(N(AP136)&gt;30,AND(AY136="",N(BD136)&gt;15),BF136="Rejected",AND(LEFT(AX136,12)="Short Closed",N(AL136)&gt;0),AND(O136&lt;&gt;"",AY136="",N(AL136)&gt;0,N(BD136)&gt;0)),"High",IF(OR(N(AP136)&gt;0,AND(AY136="",N(BD136)&gt;7),LEFT(AX136,12)="Short Closed",AND(BI136="Awaiting Approval",ISNUMBER(B136),Settings!$B$4-N(B136)&gt;2*Settings!$B$19),AND(BI136="Approved - PO Pending",ISNUMBER(J136),Settings!$B$4-N(J136)&gt;2*Settings!$B$20)),"Medium","Low")))</f>
        <v/>
      </c>
      <c r="BM136" s="77" t="str">
        <f aca="false">IF(BL136="","",IF(BL136="High",1,IF(BL136="Medium",2,3))*10000+ROW())</f>
        <v/>
      </c>
      <c r="BN136" s="62"/>
    </row>
    <row r="137" customFormat="false" ht="18" hidden="false" customHeight="true" outlineLevel="0" collapsed="false">
      <c r="A137" s="60"/>
      <c r="B137" s="61"/>
      <c r="C137" s="62"/>
      <c r="D137" s="62"/>
      <c r="E137" s="62"/>
      <c r="F137" s="62"/>
      <c r="G137" s="62"/>
      <c r="H137" s="60"/>
      <c r="I137" s="60"/>
      <c r="J137" s="61"/>
      <c r="K137" s="60"/>
      <c r="L137" s="60"/>
      <c r="M137" s="62"/>
      <c r="N137" s="60"/>
      <c r="O137" s="60"/>
      <c r="P137" s="61"/>
      <c r="Q137" s="63"/>
      <c r="R137" s="60"/>
      <c r="S137" s="64"/>
      <c r="T137" s="60"/>
      <c r="U137" s="65" t="str">
        <f aca="false">IF(AND(T137="",S137=""),"",IF(T137="",1,IFERROR(INDEX(Settings!$B$12:$B$16,MATCH(T137,Settings!$A$12:$A$16,0)),1)))</f>
        <v/>
      </c>
      <c r="V137" s="64"/>
      <c r="W137" s="66" t="str">
        <f aca="false">IF(OR(Q137="",S137=""),"",Q137*S137*U137)</f>
        <v/>
      </c>
      <c r="X137" s="65" t="str">
        <f aca="false">IF(OR(W137="",N(Q137)=0),"",W137/Q137)</f>
        <v/>
      </c>
      <c r="Y137" s="65" t="str">
        <f aca="false">IF(OR(X137="",P137="",E137=""),"",IF(_xlfn.MAXIFS($P$6:$P$205,$E$6:$E$205,E137,$P$6:$P$205,"&lt;"&amp;P137,$X$6:$X$205,"&gt;0")=0,"",IFERROR(AVERAGEIFS($X$6:$X$205,$E$6:$E$205,E137,$P$6:$P$205,_xlfn.MAXIFS($P$6:$P$205,$E$6:$E$205,E137,$P$6:$P$205,"&lt;"&amp;P137,$X$6:$X$205,"&gt;0"),$X$6:$X$205,"&gt;0"),"")))</f>
        <v/>
      </c>
      <c r="Z137" s="67" t="str">
        <f aca="false">IF(OR(Y137="",X137=""),"",X137/Y137-1)</f>
        <v/>
      </c>
      <c r="AA137" s="68" t="str">
        <f aca="false">IF(OR(W137="",V137=""),"",W137-Q137*V137)</f>
        <v/>
      </c>
      <c r="AB137" s="69" t="str">
        <f aca="false">IF(AA137="","",IF(N(V137)*N(Q137)=0,"",AA137/(Q137*V137)))</f>
        <v/>
      </c>
      <c r="AC137" s="70"/>
      <c r="AD137" s="66" t="str">
        <f aca="false">IF(W137="","",W137*(1+N(AC137)))</f>
        <v/>
      </c>
      <c r="AE137" s="62"/>
      <c r="AF137" s="71"/>
      <c r="AG137" s="71"/>
      <c r="AH137" s="71"/>
      <c r="AI137" s="66" t="str">
        <f aca="false">IF(A137="","",N(AF137)+N(AG137)+N(AH137))</f>
        <v/>
      </c>
      <c r="AJ137" s="72" t="str">
        <f aca="false">IF(AD137="","",IF(N(AD137)=0,"",AI137/AD137))</f>
        <v/>
      </c>
      <c r="AK137" s="66" t="str">
        <f aca="false">IF(AD137="","",IF(AD137-AI137&lt;1,0,ROUND(AD137-AI137,2)))</f>
        <v/>
      </c>
      <c r="AL137" s="66" t="str">
        <f aca="false">IF(OR(O137="",AD137=""),"",MAX(0,ROUND(N(AI137)-(AD137-N(AW137)),0)))</f>
        <v/>
      </c>
      <c r="AM137" s="73" t="str">
        <f aca="false">IF(A137="","",IF(O137="","No PO Yet",IF(AI137=0,"Not Paid",IF(N(AJ137)&gt;=0.999,"Fully Paid",IF(N(AG137)+N(AH137)&gt;0,"Partially Paid","Initial / Advance Paid")))))</f>
        <v/>
      </c>
      <c r="AN137" s="61"/>
      <c r="AO137" s="61"/>
      <c r="AP137" s="74" t="str">
        <f aca="false">IF(AK137="","",IF(OR(N(AK137)=0,AO137=""),"",MAX(0,Settings!$B$4-AO137)))</f>
        <v/>
      </c>
      <c r="AQ137" s="73" t="str">
        <f aca="false">IF(AK137="","",IF(N(AK137)&lt;=0,"",IF(AO137="","No Due Date",IF(Settings!$B$4&lt;=AO137,"Not Yet Due",IF(Settings!$B$4-AO137&lt;=30,"1-30 Days",IF(Settings!$B$4-AO137&lt;=60,"31-60 Days",IF(Settings!$B$4-AO137&lt;=90,"61-90 Days","90+ Days")))))))</f>
        <v/>
      </c>
      <c r="AR137" s="61"/>
      <c r="AS137" s="61"/>
      <c r="AT137" s="63"/>
      <c r="AU137" s="72" t="str">
        <f aca="false">IF(Q137="","",IF(N(Q137)=0,"",N(AT137)/Q137))</f>
        <v/>
      </c>
      <c r="AV137" s="75" t="str">
        <f aca="false">IF(OR(A137="",O137="",Q137=""),"",MAX(0,Q137-N(AT137)))</f>
        <v/>
      </c>
      <c r="AW137" s="66" t="str">
        <f aca="false">IF(OR(AV137="",W137=""),"",IF(N(Q137)=0,0,AV137/Q137*AD137))</f>
        <v/>
      </c>
      <c r="AX137" s="76" t="str">
        <f aca="false">IF(A137="","",IF(O137="","No PO Yet",IF(Q137="","Order Qty Missing",IF(N(AT137)&gt;=Q137,IF(N(AT137)&gt;Q137,"All In-house (+"&amp;TEXT(N(AT137)-Q137,"#,##0")&amp;" "&amp;R137&amp;" excess)","All In-house"),IF(AY137&lt;&gt;"","Short Closed - "&amp;TEXT(AV137,"#,##0")&amp;" "&amp;R137&amp;" not received",IF(N(AT137)=0,"Not Started - "&amp;TEXT(AV137,"#,##0")&amp;" "&amp;R137&amp;" pending","Pending "&amp;TEXT(AV137,"#,##0")&amp;" "&amp;R137&amp;" ("&amp;TEXT(AU137,"0%")&amp;" received)"))))))</f>
        <v/>
      </c>
      <c r="AY137" s="61"/>
      <c r="AZ137" s="77" t="str">
        <f aca="false">IF(OR(B137="",J137=""),"",J137-B137)</f>
        <v/>
      </c>
      <c r="BA137" s="77" t="str">
        <f aca="false">IF(OR(J137="",P137=""),"",P137-J137)</f>
        <v/>
      </c>
      <c r="BB137" s="77" t="str">
        <f aca="false">IF(OR(P137="",AY137=""),"",AY137-P137)</f>
        <v/>
      </c>
      <c r="BC137" s="77" t="str">
        <f aca="false">IF(OR(B137="",AY137=""),"",AY137-B137)</f>
        <v/>
      </c>
      <c r="BD137" s="74" t="str">
        <f aca="false">IF(OR(AR137="",O137=""),"",MAX(0,IF(AY137="",Settings!$B$4,AY137)-AR137))</f>
        <v/>
      </c>
      <c r="BE137" s="73" t="str">
        <f aca="false">IF(OR(AY137="",AR137=""),"",IF(AND(AY137&lt;=AR137,N(AU137)&gt;=Settings!$B$6),"OTIF","Not OTIF"))</f>
        <v/>
      </c>
      <c r="BF137" s="60"/>
      <c r="BG137" s="62"/>
      <c r="BH137" s="78"/>
      <c r="BI137" s="76" t="str">
        <f aca="false">IF(A137="","",IF(K137="Rejected","Rejected",IF(K137&lt;&gt;"Approved","Awaiting Approval",IF(O137="","Approved - PO Pending",IF(AY137&lt;&gt;"",IF(N(AJ137)&gt;=0.999,"Closed","In-house Closed - Payment Due"),IF(AS137&lt;&gt;"","Receiving In-house","PO Issued - Awaiting Delivery"))))))</f>
        <v/>
      </c>
      <c r="BJ137" s="76" t="str">
        <f aca="false">IF(A137="","",IF(IF(AND(A137&lt;&gt;"",OR(B137="",C137="",E137="",F137="",H137="")),"PR info missing; ","")&amp;IF(AND(K137="Approved",OR(J137="",I137="")),"Approval ref/date missing; ","")&amp;IF(AND(O137&lt;&gt;"",K137&lt;&gt;"Approved"),"PO without approval; ","")&amp;IF(AND(O137&lt;&gt;"",OR(P137="",M137="",Q137="",S137="",T137="")),"PO details missing; ","")&amp;IF(AND(O137&lt;&gt;"",AR137=""),"Committed date missing; ","")&amp;IF(AND(ISNUMBER(J137),ISNUMBER(B137),N(J137)&lt;N(B137)),"Approval dated before PR; ","")&amp;IF(AND(ISNUMBER(P137),ISNUMBER(J137),N(P137)&lt;N(J137)),"PO dated before approval; ","")&amp;IF(AND(ISNUMBER(AY137),ISNUMBER(AS137),N(AY137)&lt;N(AS137)),"Close before in-house start; ","")&amp;IF(AND(AY137&lt;&gt;"",AS137=""),"In-house start date missing; ","")&amp;IF(AND(AY137&lt;&gt;"",AT137=""),"Qty received missing; ","")&amp;IF(AND(AY137&lt;&gt;"",BF137=""),"QC status missing; ","")&amp;IF(N(AT137)&gt;N(Q137)*1.05,"Received &gt; ordered +5%; ","")&amp;IF(AND(N(AI137)&gt;0,AE137=""),"Payment terms missing; ","")&amp;IF(N(AI137)&gt;N(AD137)+1,"Overpaid vs PO; ","")&amp;IF(AND(N(AK137)&gt;0,AY137&lt;&gt;"",AO137=""),"Payment due date missing; ","")="","OK",IF(AND(A137&lt;&gt;"",OR(B137="",C137="",E137="",F137="",H137="")),"PR info missing; ","")&amp;IF(AND(K137="Approved",OR(J137="",I137="")),"Approval ref/date missing; ","")&amp;IF(AND(O137&lt;&gt;"",K137&lt;&gt;"Approved"),"PO without approval; ","")&amp;IF(AND(O137&lt;&gt;"",OR(P137="",M137="",Q137="",S137="",T137="")),"PO details missing; ","")&amp;IF(AND(O137&lt;&gt;"",AR137=""),"Committed date missing; ","")&amp;IF(AND(ISNUMBER(J137),ISNUMBER(B137),N(J137)&lt;N(B137)),"Approval dated before PR; ","")&amp;IF(AND(ISNUMBER(P137),ISNUMBER(J137),N(P137)&lt;N(J137)),"PO dated before approval; ","")&amp;IF(AND(ISNUMBER(AY137),ISNUMBER(AS137),N(AY137)&lt;N(AS137)),"Close before in-house start; ","")&amp;IF(AND(AY137&lt;&gt;"",AS137=""),"In-house start date missing; ","")&amp;IF(AND(AY137&lt;&gt;"",AT137=""),"Qty received missing; ","")&amp;IF(AND(AY137&lt;&gt;"",BF137=""),"QC status missing; ","")&amp;IF(N(AT137)&gt;N(Q137)*1.05,"Received &gt; ordered +5%; ","")&amp;IF(AND(N(AI137)&gt;0,AE137=""),"Payment terms missing; ","")&amp;IF(N(AI137)&gt;N(AD137)+1,"Overpaid vs PO; ","")&amp;IF(AND(N(AK137)&gt;0,AY137&lt;&gt;"",AO137=""),"Payment due date missing; ","")))</f>
        <v/>
      </c>
      <c r="BK137" s="76" t="str">
        <f aca="false">IF(A137="","",IF(N(AP137)&gt;0,"Pay supplier: "&amp;N(AP137)&amp;" days overdue; ","")&amp;IF(AND(O137&lt;&gt;"",AY137="",N(BD137)&gt;0),"Expedite delivery: "&amp;N(BD137)&amp;" days late; ","")&amp;IF(AND(BI137="Awaiting Approval",ISNUMBER(B137),Settings!$B$4-N(B137)&gt;Settings!$B$19),"Get approval: PR waiting "&amp;(Settings!$B$4-N(B137))&amp;" days; ","")&amp;IF(AND(BI137="Approved - PO Pending",ISNUMBER(J137),Settings!$B$4-N(J137)&gt;Settings!$B$20),"Issue PO: approved "&amp;(Settings!$B$4-N(J137))&amp;" days ago; ","")&amp;IF(AND(OR(BI137="Awaiting Approval",BI137="Approved - PO Pending"),N(AB137)&gt;Settings!$B$7),"Negotiate price: "&amp;TEXT(AB137,"0%")&amp;" above budget; ","")&amp;IF(LEFT(AX137,12)="Short Closed","Short closed: claim balance / credit note"&amp;IF(N(AL137)&gt;0," BDT "&amp;TEXT(AL137,"#,##0"),"")&amp;"; ","")&amp;IF(BF137="Rejected","QC rejected: return / replace; ","")&amp;IF(AND(O137&lt;&gt;"",AY137="",N(AL137)&gt;0,N(BD137)&gt;0),"Advance at risk: BDT "&amp;TEXT(AL137,"#,##0")&amp;" paid, goods late; ","")&amp;IF(AND(BJ137&lt;&gt;"",BJ137&lt;&gt;"OK"),"Fix data entry (see Data Check); ",""))</f>
        <v/>
      </c>
      <c r="BL137" s="73" t="str">
        <f aca="false">IF(BK137="","",IF(OR(N(AP137)&gt;30,AND(AY137="",N(BD137)&gt;15),BF137="Rejected",AND(LEFT(AX137,12)="Short Closed",N(AL137)&gt;0),AND(O137&lt;&gt;"",AY137="",N(AL137)&gt;0,N(BD137)&gt;0)),"High",IF(OR(N(AP137)&gt;0,AND(AY137="",N(BD137)&gt;7),LEFT(AX137,12)="Short Closed",AND(BI137="Awaiting Approval",ISNUMBER(B137),Settings!$B$4-N(B137)&gt;2*Settings!$B$19),AND(BI137="Approved - PO Pending",ISNUMBER(J137),Settings!$B$4-N(J137)&gt;2*Settings!$B$20)),"Medium","Low")))</f>
        <v/>
      </c>
      <c r="BM137" s="77" t="str">
        <f aca="false">IF(BL137="","",IF(BL137="High",1,IF(BL137="Medium",2,3))*10000+ROW())</f>
        <v/>
      </c>
      <c r="BN137" s="62"/>
    </row>
    <row r="138" customFormat="false" ht="18" hidden="false" customHeight="true" outlineLevel="0" collapsed="false">
      <c r="A138" s="60"/>
      <c r="B138" s="61"/>
      <c r="C138" s="62"/>
      <c r="D138" s="62"/>
      <c r="E138" s="62"/>
      <c r="F138" s="62"/>
      <c r="G138" s="62"/>
      <c r="H138" s="60"/>
      <c r="I138" s="60"/>
      <c r="J138" s="61"/>
      <c r="K138" s="60"/>
      <c r="L138" s="60"/>
      <c r="M138" s="62"/>
      <c r="N138" s="60"/>
      <c r="O138" s="60"/>
      <c r="P138" s="61"/>
      <c r="Q138" s="63"/>
      <c r="R138" s="60"/>
      <c r="S138" s="64"/>
      <c r="T138" s="60"/>
      <c r="U138" s="65" t="str">
        <f aca="false">IF(AND(T138="",S138=""),"",IF(T138="",1,IFERROR(INDEX(Settings!$B$12:$B$16,MATCH(T138,Settings!$A$12:$A$16,0)),1)))</f>
        <v/>
      </c>
      <c r="V138" s="64"/>
      <c r="W138" s="66" t="str">
        <f aca="false">IF(OR(Q138="",S138=""),"",Q138*S138*U138)</f>
        <v/>
      </c>
      <c r="X138" s="65" t="str">
        <f aca="false">IF(OR(W138="",N(Q138)=0),"",W138/Q138)</f>
        <v/>
      </c>
      <c r="Y138" s="65" t="str">
        <f aca="false">IF(OR(X138="",P138="",E138=""),"",IF(_xlfn.MAXIFS($P$6:$P$205,$E$6:$E$205,E138,$P$6:$P$205,"&lt;"&amp;P138,$X$6:$X$205,"&gt;0")=0,"",IFERROR(AVERAGEIFS($X$6:$X$205,$E$6:$E$205,E138,$P$6:$P$205,_xlfn.MAXIFS($P$6:$P$205,$E$6:$E$205,E138,$P$6:$P$205,"&lt;"&amp;P138,$X$6:$X$205,"&gt;0"),$X$6:$X$205,"&gt;0"),"")))</f>
        <v/>
      </c>
      <c r="Z138" s="67" t="str">
        <f aca="false">IF(OR(Y138="",X138=""),"",X138/Y138-1)</f>
        <v/>
      </c>
      <c r="AA138" s="68" t="str">
        <f aca="false">IF(OR(W138="",V138=""),"",W138-Q138*V138)</f>
        <v/>
      </c>
      <c r="AB138" s="69" t="str">
        <f aca="false">IF(AA138="","",IF(N(V138)*N(Q138)=0,"",AA138/(Q138*V138)))</f>
        <v/>
      </c>
      <c r="AC138" s="70"/>
      <c r="AD138" s="66" t="str">
        <f aca="false">IF(W138="","",W138*(1+N(AC138)))</f>
        <v/>
      </c>
      <c r="AE138" s="62"/>
      <c r="AF138" s="71"/>
      <c r="AG138" s="71"/>
      <c r="AH138" s="71"/>
      <c r="AI138" s="66" t="str">
        <f aca="false">IF(A138="","",N(AF138)+N(AG138)+N(AH138))</f>
        <v/>
      </c>
      <c r="AJ138" s="72" t="str">
        <f aca="false">IF(AD138="","",IF(N(AD138)=0,"",AI138/AD138))</f>
        <v/>
      </c>
      <c r="AK138" s="66" t="str">
        <f aca="false">IF(AD138="","",IF(AD138-AI138&lt;1,0,ROUND(AD138-AI138,2)))</f>
        <v/>
      </c>
      <c r="AL138" s="66" t="str">
        <f aca="false">IF(OR(O138="",AD138=""),"",MAX(0,ROUND(N(AI138)-(AD138-N(AW138)),0)))</f>
        <v/>
      </c>
      <c r="AM138" s="73" t="str">
        <f aca="false">IF(A138="","",IF(O138="","No PO Yet",IF(AI138=0,"Not Paid",IF(N(AJ138)&gt;=0.999,"Fully Paid",IF(N(AG138)+N(AH138)&gt;0,"Partially Paid","Initial / Advance Paid")))))</f>
        <v/>
      </c>
      <c r="AN138" s="61"/>
      <c r="AO138" s="61"/>
      <c r="AP138" s="74" t="str">
        <f aca="false">IF(AK138="","",IF(OR(N(AK138)=0,AO138=""),"",MAX(0,Settings!$B$4-AO138)))</f>
        <v/>
      </c>
      <c r="AQ138" s="73" t="str">
        <f aca="false">IF(AK138="","",IF(N(AK138)&lt;=0,"",IF(AO138="","No Due Date",IF(Settings!$B$4&lt;=AO138,"Not Yet Due",IF(Settings!$B$4-AO138&lt;=30,"1-30 Days",IF(Settings!$B$4-AO138&lt;=60,"31-60 Days",IF(Settings!$B$4-AO138&lt;=90,"61-90 Days","90+ Days")))))))</f>
        <v/>
      </c>
      <c r="AR138" s="61"/>
      <c r="AS138" s="61"/>
      <c r="AT138" s="63"/>
      <c r="AU138" s="72" t="str">
        <f aca="false">IF(Q138="","",IF(N(Q138)=0,"",N(AT138)/Q138))</f>
        <v/>
      </c>
      <c r="AV138" s="75" t="str">
        <f aca="false">IF(OR(A138="",O138="",Q138=""),"",MAX(0,Q138-N(AT138)))</f>
        <v/>
      </c>
      <c r="AW138" s="66" t="str">
        <f aca="false">IF(OR(AV138="",W138=""),"",IF(N(Q138)=0,0,AV138/Q138*AD138))</f>
        <v/>
      </c>
      <c r="AX138" s="76" t="str">
        <f aca="false">IF(A138="","",IF(O138="","No PO Yet",IF(Q138="","Order Qty Missing",IF(N(AT138)&gt;=Q138,IF(N(AT138)&gt;Q138,"All In-house (+"&amp;TEXT(N(AT138)-Q138,"#,##0")&amp;" "&amp;R138&amp;" excess)","All In-house"),IF(AY138&lt;&gt;"","Short Closed - "&amp;TEXT(AV138,"#,##0")&amp;" "&amp;R138&amp;" not received",IF(N(AT138)=0,"Not Started - "&amp;TEXT(AV138,"#,##0")&amp;" "&amp;R138&amp;" pending","Pending "&amp;TEXT(AV138,"#,##0")&amp;" "&amp;R138&amp;" ("&amp;TEXT(AU138,"0%")&amp;" received)"))))))</f>
        <v/>
      </c>
      <c r="AY138" s="61"/>
      <c r="AZ138" s="77" t="str">
        <f aca="false">IF(OR(B138="",J138=""),"",J138-B138)</f>
        <v/>
      </c>
      <c r="BA138" s="77" t="str">
        <f aca="false">IF(OR(J138="",P138=""),"",P138-J138)</f>
        <v/>
      </c>
      <c r="BB138" s="77" t="str">
        <f aca="false">IF(OR(P138="",AY138=""),"",AY138-P138)</f>
        <v/>
      </c>
      <c r="BC138" s="77" t="str">
        <f aca="false">IF(OR(B138="",AY138=""),"",AY138-B138)</f>
        <v/>
      </c>
      <c r="BD138" s="74" t="str">
        <f aca="false">IF(OR(AR138="",O138=""),"",MAX(0,IF(AY138="",Settings!$B$4,AY138)-AR138))</f>
        <v/>
      </c>
      <c r="BE138" s="73" t="str">
        <f aca="false">IF(OR(AY138="",AR138=""),"",IF(AND(AY138&lt;=AR138,N(AU138)&gt;=Settings!$B$6),"OTIF","Not OTIF"))</f>
        <v/>
      </c>
      <c r="BF138" s="60"/>
      <c r="BG138" s="62"/>
      <c r="BH138" s="78"/>
      <c r="BI138" s="76" t="str">
        <f aca="false">IF(A138="","",IF(K138="Rejected","Rejected",IF(K138&lt;&gt;"Approved","Awaiting Approval",IF(O138="","Approved - PO Pending",IF(AY138&lt;&gt;"",IF(N(AJ138)&gt;=0.999,"Closed","In-house Closed - Payment Due"),IF(AS138&lt;&gt;"","Receiving In-house","PO Issued - Awaiting Delivery"))))))</f>
        <v/>
      </c>
      <c r="BJ138" s="76" t="str">
        <f aca="false">IF(A138="","",IF(IF(AND(A138&lt;&gt;"",OR(B138="",C138="",E138="",F138="",H138="")),"PR info missing; ","")&amp;IF(AND(K138="Approved",OR(J138="",I138="")),"Approval ref/date missing; ","")&amp;IF(AND(O138&lt;&gt;"",K138&lt;&gt;"Approved"),"PO without approval; ","")&amp;IF(AND(O138&lt;&gt;"",OR(P138="",M138="",Q138="",S138="",T138="")),"PO details missing; ","")&amp;IF(AND(O138&lt;&gt;"",AR138=""),"Committed date missing; ","")&amp;IF(AND(ISNUMBER(J138),ISNUMBER(B138),N(J138)&lt;N(B138)),"Approval dated before PR; ","")&amp;IF(AND(ISNUMBER(P138),ISNUMBER(J138),N(P138)&lt;N(J138)),"PO dated before approval; ","")&amp;IF(AND(ISNUMBER(AY138),ISNUMBER(AS138),N(AY138)&lt;N(AS138)),"Close before in-house start; ","")&amp;IF(AND(AY138&lt;&gt;"",AS138=""),"In-house start date missing; ","")&amp;IF(AND(AY138&lt;&gt;"",AT138=""),"Qty received missing; ","")&amp;IF(AND(AY138&lt;&gt;"",BF138=""),"QC status missing; ","")&amp;IF(N(AT138)&gt;N(Q138)*1.05,"Received &gt; ordered +5%; ","")&amp;IF(AND(N(AI138)&gt;0,AE138=""),"Payment terms missing; ","")&amp;IF(N(AI138)&gt;N(AD138)+1,"Overpaid vs PO; ","")&amp;IF(AND(N(AK138)&gt;0,AY138&lt;&gt;"",AO138=""),"Payment due date missing; ","")="","OK",IF(AND(A138&lt;&gt;"",OR(B138="",C138="",E138="",F138="",H138="")),"PR info missing; ","")&amp;IF(AND(K138="Approved",OR(J138="",I138="")),"Approval ref/date missing; ","")&amp;IF(AND(O138&lt;&gt;"",K138&lt;&gt;"Approved"),"PO without approval; ","")&amp;IF(AND(O138&lt;&gt;"",OR(P138="",M138="",Q138="",S138="",T138="")),"PO details missing; ","")&amp;IF(AND(O138&lt;&gt;"",AR138=""),"Committed date missing; ","")&amp;IF(AND(ISNUMBER(J138),ISNUMBER(B138),N(J138)&lt;N(B138)),"Approval dated before PR; ","")&amp;IF(AND(ISNUMBER(P138),ISNUMBER(J138),N(P138)&lt;N(J138)),"PO dated before approval; ","")&amp;IF(AND(ISNUMBER(AY138),ISNUMBER(AS138),N(AY138)&lt;N(AS138)),"Close before in-house start; ","")&amp;IF(AND(AY138&lt;&gt;"",AS138=""),"In-house start date missing; ","")&amp;IF(AND(AY138&lt;&gt;"",AT138=""),"Qty received missing; ","")&amp;IF(AND(AY138&lt;&gt;"",BF138=""),"QC status missing; ","")&amp;IF(N(AT138)&gt;N(Q138)*1.05,"Received &gt; ordered +5%; ","")&amp;IF(AND(N(AI138)&gt;0,AE138=""),"Payment terms missing; ","")&amp;IF(N(AI138)&gt;N(AD138)+1,"Overpaid vs PO; ","")&amp;IF(AND(N(AK138)&gt;0,AY138&lt;&gt;"",AO138=""),"Payment due date missing; ","")))</f>
        <v/>
      </c>
      <c r="BK138" s="76" t="str">
        <f aca="false">IF(A138="","",IF(N(AP138)&gt;0,"Pay supplier: "&amp;N(AP138)&amp;" days overdue; ","")&amp;IF(AND(O138&lt;&gt;"",AY138="",N(BD138)&gt;0),"Expedite delivery: "&amp;N(BD138)&amp;" days late; ","")&amp;IF(AND(BI138="Awaiting Approval",ISNUMBER(B138),Settings!$B$4-N(B138)&gt;Settings!$B$19),"Get approval: PR waiting "&amp;(Settings!$B$4-N(B138))&amp;" days; ","")&amp;IF(AND(BI138="Approved - PO Pending",ISNUMBER(J138),Settings!$B$4-N(J138)&gt;Settings!$B$20),"Issue PO: approved "&amp;(Settings!$B$4-N(J138))&amp;" days ago; ","")&amp;IF(AND(OR(BI138="Awaiting Approval",BI138="Approved - PO Pending"),N(AB138)&gt;Settings!$B$7),"Negotiate price: "&amp;TEXT(AB138,"0%")&amp;" above budget; ","")&amp;IF(LEFT(AX138,12)="Short Closed","Short closed: claim balance / credit note"&amp;IF(N(AL138)&gt;0," BDT "&amp;TEXT(AL138,"#,##0"),"")&amp;"; ","")&amp;IF(BF138="Rejected","QC rejected: return / replace; ","")&amp;IF(AND(O138&lt;&gt;"",AY138="",N(AL138)&gt;0,N(BD138)&gt;0),"Advance at risk: BDT "&amp;TEXT(AL138,"#,##0")&amp;" paid, goods late; ","")&amp;IF(AND(BJ138&lt;&gt;"",BJ138&lt;&gt;"OK"),"Fix data entry (see Data Check); ",""))</f>
        <v/>
      </c>
      <c r="BL138" s="73" t="str">
        <f aca="false">IF(BK138="","",IF(OR(N(AP138)&gt;30,AND(AY138="",N(BD138)&gt;15),BF138="Rejected",AND(LEFT(AX138,12)="Short Closed",N(AL138)&gt;0),AND(O138&lt;&gt;"",AY138="",N(AL138)&gt;0,N(BD138)&gt;0)),"High",IF(OR(N(AP138)&gt;0,AND(AY138="",N(BD138)&gt;7),LEFT(AX138,12)="Short Closed",AND(BI138="Awaiting Approval",ISNUMBER(B138),Settings!$B$4-N(B138)&gt;2*Settings!$B$19),AND(BI138="Approved - PO Pending",ISNUMBER(J138),Settings!$B$4-N(J138)&gt;2*Settings!$B$20)),"Medium","Low")))</f>
        <v/>
      </c>
      <c r="BM138" s="77" t="str">
        <f aca="false">IF(BL138="","",IF(BL138="High",1,IF(BL138="Medium",2,3))*10000+ROW())</f>
        <v/>
      </c>
      <c r="BN138" s="62"/>
    </row>
    <row r="139" customFormat="false" ht="18" hidden="false" customHeight="true" outlineLevel="0" collapsed="false">
      <c r="A139" s="60"/>
      <c r="B139" s="61"/>
      <c r="C139" s="62"/>
      <c r="D139" s="62"/>
      <c r="E139" s="62"/>
      <c r="F139" s="62"/>
      <c r="G139" s="62"/>
      <c r="H139" s="60"/>
      <c r="I139" s="60"/>
      <c r="J139" s="61"/>
      <c r="K139" s="60"/>
      <c r="L139" s="60"/>
      <c r="M139" s="62"/>
      <c r="N139" s="60"/>
      <c r="O139" s="60"/>
      <c r="P139" s="61"/>
      <c r="Q139" s="63"/>
      <c r="R139" s="60"/>
      <c r="S139" s="64"/>
      <c r="T139" s="60"/>
      <c r="U139" s="65" t="str">
        <f aca="false">IF(AND(T139="",S139=""),"",IF(T139="",1,IFERROR(INDEX(Settings!$B$12:$B$16,MATCH(T139,Settings!$A$12:$A$16,0)),1)))</f>
        <v/>
      </c>
      <c r="V139" s="64"/>
      <c r="W139" s="66" t="str">
        <f aca="false">IF(OR(Q139="",S139=""),"",Q139*S139*U139)</f>
        <v/>
      </c>
      <c r="X139" s="65" t="str">
        <f aca="false">IF(OR(W139="",N(Q139)=0),"",W139/Q139)</f>
        <v/>
      </c>
      <c r="Y139" s="65" t="str">
        <f aca="false">IF(OR(X139="",P139="",E139=""),"",IF(_xlfn.MAXIFS($P$6:$P$205,$E$6:$E$205,E139,$P$6:$P$205,"&lt;"&amp;P139,$X$6:$X$205,"&gt;0")=0,"",IFERROR(AVERAGEIFS($X$6:$X$205,$E$6:$E$205,E139,$P$6:$P$205,_xlfn.MAXIFS($P$6:$P$205,$E$6:$E$205,E139,$P$6:$P$205,"&lt;"&amp;P139,$X$6:$X$205,"&gt;0"),$X$6:$X$205,"&gt;0"),"")))</f>
        <v/>
      </c>
      <c r="Z139" s="67" t="str">
        <f aca="false">IF(OR(Y139="",X139=""),"",X139/Y139-1)</f>
        <v/>
      </c>
      <c r="AA139" s="68" t="str">
        <f aca="false">IF(OR(W139="",V139=""),"",W139-Q139*V139)</f>
        <v/>
      </c>
      <c r="AB139" s="69" t="str">
        <f aca="false">IF(AA139="","",IF(N(V139)*N(Q139)=0,"",AA139/(Q139*V139)))</f>
        <v/>
      </c>
      <c r="AC139" s="70"/>
      <c r="AD139" s="66" t="str">
        <f aca="false">IF(W139="","",W139*(1+N(AC139)))</f>
        <v/>
      </c>
      <c r="AE139" s="62"/>
      <c r="AF139" s="71"/>
      <c r="AG139" s="71"/>
      <c r="AH139" s="71"/>
      <c r="AI139" s="66" t="str">
        <f aca="false">IF(A139="","",N(AF139)+N(AG139)+N(AH139))</f>
        <v/>
      </c>
      <c r="AJ139" s="72" t="str">
        <f aca="false">IF(AD139="","",IF(N(AD139)=0,"",AI139/AD139))</f>
        <v/>
      </c>
      <c r="AK139" s="66" t="str">
        <f aca="false">IF(AD139="","",IF(AD139-AI139&lt;1,0,ROUND(AD139-AI139,2)))</f>
        <v/>
      </c>
      <c r="AL139" s="66" t="str">
        <f aca="false">IF(OR(O139="",AD139=""),"",MAX(0,ROUND(N(AI139)-(AD139-N(AW139)),0)))</f>
        <v/>
      </c>
      <c r="AM139" s="73" t="str">
        <f aca="false">IF(A139="","",IF(O139="","No PO Yet",IF(AI139=0,"Not Paid",IF(N(AJ139)&gt;=0.999,"Fully Paid",IF(N(AG139)+N(AH139)&gt;0,"Partially Paid","Initial / Advance Paid")))))</f>
        <v/>
      </c>
      <c r="AN139" s="61"/>
      <c r="AO139" s="61"/>
      <c r="AP139" s="74" t="str">
        <f aca="false">IF(AK139="","",IF(OR(N(AK139)=0,AO139=""),"",MAX(0,Settings!$B$4-AO139)))</f>
        <v/>
      </c>
      <c r="AQ139" s="73" t="str">
        <f aca="false">IF(AK139="","",IF(N(AK139)&lt;=0,"",IF(AO139="","No Due Date",IF(Settings!$B$4&lt;=AO139,"Not Yet Due",IF(Settings!$B$4-AO139&lt;=30,"1-30 Days",IF(Settings!$B$4-AO139&lt;=60,"31-60 Days",IF(Settings!$B$4-AO139&lt;=90,"61-90 Days","90+ Days")))))))</f>
        <v/>
      </c>
      <c r="AR139" s="61"/>
      <c r="AS139" s="61"/>
      <c r="AT139" s="63"/>
      <c r="AU139" s="72" t="str">
        <f aca="false">IF(Q139="","",IF(N(Q139)=0,"",N(AT139)/Q139))</f>
        <v/>
      </c>
      <c r="AV139" s="75" t="str">
        <f aca="false">IF(OR(A139="",O139="",Q139=""),"",MAX(0,Q139-N(AT139)))</f>
        <v/>
      </c>
      <c r="AW139" s="66" t="str">
        <f aca="false">IF(OR(AV139="",W139=""),"",IF(N(Q139)=0,0,AV139/Q139*AD139))</f>
        <v/>
      </c>
      <c r="AX139" s="76" t="str">
        <f aca="false">IF(A139="","",IF(O139="","No PO Yet",IF(Q139="","Order Qty Missing",IF(N(AT139)&gt;=Q139,IF(N(AT139)&gt;Q139,"All In-house (+"&amp;TEXT(N(AT139)-Q139,"#,##0")&amp;" "&amp;R139&amp;" excess)","All In-house"),IF(AY139&lt;&gt;"","Short Closed - "&amp;TEXT(AV139,"#,##0")&amp;" "&amp;R139&amp;" not received",IF(N(AT139)=0,"Not Started - "&amp;TEXT(AV139,"#,##0")&amp;" "&amp;R139&amp;" pending","Pending "&amp;TEXT(AV139,"#,##0")&amp;" "&amp;R139&amp;" ("&amp;TEXT(AU139,"0%")&amp;" received)"))))))</f>
        <v/>
      </c>
      <c r="AY139" s="61"/>
      <c r="AZ139" s="77" t="str">
        <f aca="false">IF(OR(B139="",J139=""),"",J139-B139)</f>
        <v/>
      </c>
      <c r="BA139" s="77" t="str">
        <f aca="false">IF(OR(J139="",P139=""),"",P139-J139)</f>
        <v/>
      </c>
      <c r="BB139" s="77" t="str">
        <f aca="false">IF(OR(P139="",AY139=""),"",AY139-P139)</f>
        <v/>
      </c>
      <c r="BC139" s="77" t="str">
        <f aca="false">IF(OR(B139="",AY139=""),"",AY139-B139)</f>
        <v/>
      </c>
      <c r="BD139" s="74" t="str">
        <f aca="false">IF(OR(AR139="",O139=""),"",MAX(0,IF(AY139="",Settings!$B$4,AY139)-AR139))</f>
        <v/>
      </c>
      <c r="BE139" s="73" t="str">
        <f aca="false">IF(OR(AY139="",AR139=""),"",IF(AND(AY139&lt;=AR139,N(AU139)&gt;=Settings!$B$6),"OTIF","Not OTIF"))</f>
        <v/>
      </c>
      <c r="BF139" s="60"/>
      <c r="BG139" s="62"/>
      <c r="BH139" s="78"/>
      <c r="BI139" s="76" t="str">
        <f aca="false">IF(A139="","",IF(K139="Rejected","Rejected",IF(K139&lt;&gt;"Approved","Awaiting Approval",IF(O139="","Approved - PO Pending",IF(AY139&lt;&gt;"",IF(N(AJ139)&gt;=0.999,"Closed","In-house Closed - Payment Due"),IF(AS139&lt;&gt;"","Receiving In-house","PO Issued - Awaiting Delivery"))))))</f>
        <v/>
      </c>
      <c r="BJ139" s="76" t="str">
        <f aca="false">IF(A139="","",IF(IF(AND(A139&lt;&gt;"",OR(B139="",C139="",E139="",F139="",H139="")),"PR info missing; ","")&amp;IF(AND(K139="Approved",OR(J139="",I139="")),"Approval ref/date missing; ","")&amp;IF(AND(O139&lt;&gt;"",K139&lt;&gt;"Approved"),"PO without approval; ","")&amp;IF(AND(O139&lt;&gt;"",OR(P139="",M139="",Q139="",S139="",T139="")),"PO details missing; ","")&amp;IF(AND(O139&lt;&gt;"",AR139=""),"Committed date missing; ","")&amp;IF(AND(ISNUMBER(J139),ISNUMBER(B139),N(J139)&lt;N(B139)),"Approval dated before PR; ","")&amp;IF(AND(ISNUMBER(P139),ISNUMBER(J139),N(P139)&lt;N(J139)),"PO dated before approval; ","")&amp;IF(AND(ISNUMBER(AY139),ISNUMBER(AS139),N(AY139)&lt;N(AS139)),"Close before in-house start; ","")&amp;IF(AND(AY139&lt;&gt;"",AS139=""),"In-house start date missing; ","")&amp;IF(AND(AY139&lt;&gt;"",AT139=""),"Qty received missing; ","")&amp;IF(AND(AY139&lt;&gt;"",BF139=""),"QC status missing; ","")&amp;IF(N(AT139)&gt;N(Q139)*1.05,"Received &gt; ordered +5%; ","")&amp;IF(AND(N(AI139)&gt;0,AE139=""),"Payment terms missing; ","")&amp;IF(N(AI139)&gt;N(AD139)+1,"Overpaid vs PO; ","")&amp;IF(AND(N(AK139)&gt;0,AY139&lt;&gt;"",AO139=""),"Payment due date missing; ","")="","OK",IF(AND(A139&lt;&gt;"",OR(B139="",C139="",E139="",F139="",H139="")),"PR info missing; ","")&amp;IF(AND(K139="Approved",OR(J139="",I139="")),"Approval ref/date missing; ","")&amp;IF(AND(O139&lt;&gt;"",K139&lt;&gt;"Approved"),"PO without approval; ","")&amp;IF(AND(O139&lt;&gt;"",OR(P139="",M139="",Q139="",S139="",T139="")),"PO details missing; ","")&amp;IF(AND(O139&lt;&gt;"",AR139=""),"Committed date missing; ","")&amp;IF(AND(ISNUMBER(J139),ISNUMBER(B139),N(J139)&lt;N(B139)),"Approval dated before PR; ","")&amp;IF(AND(ISNUMBER(P139),ISNUMBER(J139),N(P139)&lt;N(J139)),"PO dated before approval; ","")&amp;IF(AND(ISNUMBER(AY139),ISNUMBER(AS139),N(AY139)&lt;N(AS139)),"Close before in-house start; ","")&amp;IF(AND(AY139&lt;&gt;"",AS139=""),"In-house start date missing; ","")&amp;IF(AND(AY139&lt;&gt;"",AT139=""),"Qty received missing; ","")&amp;IF(AND(AY139&lt;&gt;"",BF139=""),"QC status missing; ","")&amp;IF(N(AT139)&gt;N(Q139)*1.05,"Received &gt; ordered +5%; ","")&amp;IF(AND(N(AI139)&gt;0,AE139=""),"Payment terms missing; ","")&amp;IF(N(AI139)&gt;N(AD139)+1,"Overpaid vs PO; ","")&amp;IF(AND(N(AK139)&gt;0,AY139&lt;&gt;"",AO139=""),"Payment due date missing; ","")))</f>
        <v/>
      </c>
      <c r="BK139" s="76" t="str">
        <f aca="false">IF(A139="","",IF(N(AP139)&gt;0,"Pay supplier: "&amp;N(AP139)&amp;" days overdue; ","")&amp;IF(AND(O139&lt;&gt;"",AY139="",N(BD139)&gt;0),"Expedite delivery: "&amp;N(BD139)&amp;" days late; ","")&amp;IF(AND(BI139="Awaiting Approval",ISNUMBER(B139),Settings!$B$4-N(B139)&gt;Settings!$B$19),"Get approval: PR waiting "&amp;(Settings!$B$4-N(B139))&amp;" days; ","")&amp;IF(AND(BI139="Approved - PO Pending",ISNUMBER(J139),Settings!$B$4-N(J139)&gt;Settings!$B$20),"Issue PO: approved "&amp;(Settings!$B$4-N(J139))&amp;" days ago; ","")&amp;IF(AND(OR(BI139="Awaiting Approval",BI139="Approved - PO Pending"),N(AB139)&gt;Settings!$B$7),"Negotiate price: "&amp;TEXT(AB139,"0%")&amp;" above budget; ","")&amp;IF(LEFT(AX139,12)="Short Closed","Short closed: claim balance / credit note"&amp;IF(N(AL139)&gt;0," BDT "&amp;TEXT(AL139,"#,##0"),"")&amp;"; ","")&amp;IF(BF139="Rejected","QC rejected: return / replace; ","")&amp;IF(AND(O139&lt;&gt;"",AY139="",N(AL139)&gt;0,N(BD139)&gt;0),"Advance at risk: BDT "&amp;TEXT(AL139,"#,##0")&amp;" paid, goods late; ","")&amp;IF(AND(BJ139&lt;&gt;"",BJ139&lt;&gt;"OK"),"Fix data entry (see Data Check); ",""))</f>
        <v/>
      </c>
      <c r="BL139" s="73" t="str">
        <f aca="false">IF(BK139="","",IF(OR(N(AP139)&gt;30,AND(AY139="",N(BD139)&gt;15),BF139="Rejected",AND(LEFT(AX139,12)="Short Closed",N(AL139)&gt;0),AND(O139&lt;&gt;"",AY139="",N(AL139)&gt;0,N(BD139)&gt;0)),"High",IF(OR(N(AP139)&gt;0,AND(AY139="",N(BD139)&gt;7),LEFT(AX139,12)="Short Closed",AND(BI139="Awaiting Approval",ISNUMBER(B139),Settings!$B$4-N(B139)&gt;2*Settings!$B$19),AND(BI139="Approved - PO Pending",ISNUMBER(J139),Settings!$B$4-N(J139)&gt;2*Settings!$B$20)),"Medium","Low")))</f>
        <v/>
      </c>
      <c r="BM139" s="77" t="str">
        <f aca="false">IF(BL139="","",IF(BL139="High",1,IF(BL139="Medium",2,3))*10000+ROW())</f>
        <v/>
      </c>
      <c r="BN139" s="62"/>
    </row>
    <row r="140" customFormat="false" ht="18" hidden="false" customHeight="true" outlineLevel="0" collapsed="false">
      <c r="A140" s="60"/>
      <c r="B140" s="61"/>
      <c r="C140" s="62"/>
      <c r="D140" s="62"/>
      <c r="E140" s="62"/>
      <c r="F140" s="62"/>
      <c r="G140" s="62"/>
      <c r="H140" s="60"/>
      <c r="I140" s="60"/>
      <c r="J140" s="61"/>
      <c r="K140" s="60"/>
      <c r="L140" s="60"/>
      <c r="M140" s="62"/>
      <c r="N140" s="60"/>
      <c r="O140" s="60"/>
      <c r="P140" s="61"/>
      <c r="Q140" s="63"/>
      <c r="R140" s="60"/>
      <c r="S140" s="64"/>
      <c r="T140" s="60"/>
      <c r="U140" s="65" t="str">
        <f aca="false">IF(AND(T140="",S140=""),"",IF(T140="",1,IFERROR(INDEX(Settings!$B$12:$B$16,MATCH(T140,Settings!$A$12:$A$16,0)),1)))</f>
        <v/>
      </c>
      <c r="V140" s="64"/>
      <c r="W140" s="66" t="str">
        <f aca="false">IF(OR(Q140="",S140=""),"",Q140*S140*U140)</f>
        <v/>
      </c>
      <c r="X140" s="65" t="str">
        <f aca="false">IF(OR(W140="",N(Q140)=0),"",W140/Q140)</f>
        <v/>
      </c>
      <c r="Y140" s="65" t="str">
        <f aca="false">IF(OR(X140="",P140="",E140=""),"",IF(_xlfn.MAXIFS($P$6:$P$205,$E$6:$E$205,E140,$P$6:$P$205,"&lt;"&amp;P140,$X$6:$X$205,"&gt;0")=0,"",IFERROR(AVERAGEIFS($X$6:$X$205,$E$6:$E$205,E140,$P$6:$P$205,_xlfn.MAXIFS($P$6:$P$205,$E$6:$E$205,E140,$P$6:$P$205,"&lt;"&amp;P140,$X$6:$X$205,"&gt;0"),$X$6:$X$205,"&gt;0"),"")))</f>
        <v/>
      </c>
      <c r="Z140" s="67" t="str">
        <f aca="false">IF(OR(Y140="",X140=""),"",X140/Y140-1)</f>
        <v/>
      </c>
      <c r="AA140" s="68" t="str">
        <f aca="false">IF(OR(W140="",V140=""),"",W140-Q140*V140)</f>
        <v/>
      </c>
      <c r="AB140" s="69" t="str">
        <f aca="false">IF(AA140="","",IF(N(V140)*N(Q140)=0,"",AA140/(Q140*V140)))</f>
        <v/>
      </c>
      <c r="AC140" s="70"/>
      <c r="AD140" s="66" t="str">
        <f aca="false">IF(W140="","",W140*(1+N(AC140)))</f>
        <v/>
      </c>
      <c r="AE140" s="62"/>
      <c r="AF140" s="71"/>
      <c r="AG140" s="71"/>
      <c r="AH140" s="71"/>
      <c r="AI140" s="66" t="str">
        <f aca="false">IF(A140="","",N(AF140)+N(AG140)+N(AH140))</f>
        <v/>
      </c>
      <c r="AJ140" s="72" t="str">
        <f aca="false">IF(AD140="","",IF(N(AD140)=0,"",AI140/AD140))</f>
        <v/>
      </c>
      <c r="AK140" s="66" t="str">
        <f aca="false">IF(AD140="","",IF(AD140-AI140&lt;1,0,ROUND(AD140-AI140,2)))</f>
        <v/>
      </c>
      <c r="AL140" s="66" t="str">
        <f aca="false">IF(OR(O140="",AD140=""),"",MAX(0,ROUND(N(AI140)-(AD140-N(AW140)),0)))</f>
        <v/>
      </c>
      <c r="AM140" s="73" t="str">
        <f aca="false">IF(A140="","",IF(O140="","No PO Yet",IF(AI140=0,"Not Paid",IF(N(AJ140)&gt;=0.999,"Fully Paid",IF(N(AG140)+N(AH140)&gt;0,"Partially Paid","Initial / Advance Paid")))))</f>
        <v/>
      </c>
      <c r="AN140" s="61"/>
      <c r="AO140" s="61"/>
      <c r="AP140" s="74" t="str">
        <f aca="false">IF(AK140="","",IF(OR(N(AK140)=0,AO140=""),"",MAX(0,Settings!$B$4-AO140)))</f>
        <v/>
      </c>
      <c r="AQ140" s="73" t="str">
        <f aca="false">IF(AK140="","",IF(N(AK140)&lt;=0,"",IF(AO140="","No Due Date",IF(Settings!$B$4&lt;=AO140,"Not Yet Due",IF(Settings!$B$4-AO140&lt;=30,"1-30 Days",IF(Settings!$B$4-AO140&lt;=60,"31-60 Days",IF(Settings!$B$4-AO140&lt;=90,"61-90 Days","90+ Days")))))))</f>
        <v/>
      </c>
      <c r="AR140" s="61"/>
      <c r="AS140" s="61"/>
      <c r="AT140" s="63"/>
      <c r="AU140" s="72" t="str">
        <f aca="false">IF(Q140="","",IF(N(Q140)=0,"",N(AT140)/Q140))</f>
        <v/>
      </c>
      <c r="AV140" s="75" t="str">
        <f aca="false">IF(OR(A140="",O140="",Q140=""),"",MAX(0,Q140-N(AT140)))</f>
        <v/>
      </c>
      <c r="AW140" s="66" t="str">
        <f aca="false">IF(OR(AV140="",W140=""),"",IF(N(Q140)=0,0,AV140/Q140*AD140))</f>
        <v/>
      </c>
      <c r="AX140" s="76" t="str">
        <f aca="false">IF(A140="","",IF(O140="","No PO Yet",IF(Q140="","Order Qty Missing",IF(N(AT140)&gt;=Q140,IF(N(AT140)&gt;Q140,"All In-house (+"&amp;TEXT(N(AT140)-Q140,"#,##0")&amp;" "&amp;R140&amp;" excess)","All In-house"),IF(AY140&lt;&gt;"","Short Closed - "&amp;TEXT(AV140,"#,##0")&amp;" "&amp;R140&amp;" not received",IF(N(AT140)=0,"Not Started - "&amp;TEXT(AV140,"#,##0")&amp;" "&amp;R140&amp;" pending","Pending "&amp;TEXT(AV140,"#,##0")&amp;" "&amp;R140&amp;" ("&amp;TEXT(AU140,"0%")&amp;" received)"))))))</f>
        <v/>
      </c>
      <c r="AY140" s="61"/>
      <c r="AZ140" s="77" t="str">
        <f aca="false">IF(OR(B140="",J140=""),"",J140-B140)</f>
        <v/>
      </c>
      <c r="BA140" s="77" t="str">
        <f aca="false">IF(OR(J140="",P140=""),"",P140-J140)</f>
        <v/>
      </c>
      <c r="BB140" s="77" t="str">
        <f aca="false">IF(OR(P140="",AY140=""),"",AY140-P140)</f>
        <v/>
      </c>
      <c r="BC140" s="77" t="str">
        <f aca="false">IF(OR(B140="",AY140=""),"",AY140-B140)</f>
        <v/>
      </c>
      <c r="BD140" s="74" t="str">
        <f aca="false">IF(OR(AR140="",O140=""),"",MAX(0,IF(AY140="",Settings!$B$4,AY140)-AR140))</f>
        <v/>
      </c>
      <c r="BE140" s="73" t="str">
        <f aca="false">IF(OR(AY140="",AR140=""),"",IF(AND(AY140&lt;=AR140,N(AU140)&gt;=Settings!$B$6),"OTIF","Not OTIF"))</f>
        <v/>
      </c>
      <c r="BF140" s="60"/>
      <c r="BG140" s="62"/>
      <c r="BH140" s="78"/>
      <c r="BI140" s="76" t="str">
        <f aca="false">IF(A140="","",IF(K140="Rejected","Rejected",IF(K140&lt;&gt;"Approved","Awaiting Approval",IF(O140="","Approved - PO Pending",IF(AY140&lt;&gt;"",IF(N(AJ140)&gt;=0.999,"Closed","In-house Closed - Payment Due"),IF(AS140&lt;&gt;"","Receiving In-house","PO Issued - Awaiting Delivery"))))))</f>
        <v/>
      </c>
      <c r="BJ140" s="76" t="str">
        <f aca="false">IF(A140="","",IF(IF(AND(A140&lt;&gt;"",OR(B140="",C140="",E140="",F140="",H140="")),"PR info missing; ","")&amp;IF(AND(K140="Approved",OR(J140="",I140="")),"Approval ref/date missing; ","")&amp;IF(AND(O140&lt;&gt;"",K140&lt;&gt;"Approved"),"PO without approval; ","")&amp;IF(AND(O140&lt;&gt;"",OR(P140="",M140="",Q140="",S140="",T140="")),"PO details missing; ","")&amp;IF(AND(O140&lt;&gt;"",AR140=""),"Committed date missing; ","")&amp;IF(AND(ISNUMBER(J140),ISNUMBER(B140),N(J140)&lt;N(B140)),"Approval dated before PR; ","")&amp;IF(AND(ISNUMBER(P140),ISNUMBER(J140),N(P140)&lt;N(J140)),"PO dated before approval; ","")&amp;IF(AND(ISNUMBER(AY140),ISNUMBER(AS140),N(AY140)&lt;N(AS140)),"Close before in-house start; ","")&amp;IF(AND(AY140&lt;&gt;"",AS140=""),"In-house start date missing; ","")&amp;IF(AND(AY140&lt;&gt;"",AT140=""),"Qty received missing; ","")&amp;IF(AND(AY140&lt;&gt;"",BF140=""),"QC status missing; ","")&amp;IF(N(AT140)&gt;N(Q140)*1.05,"Received &gt; ordered +5%; ","")&amp;IF(AND(N(AI140)&gt;0,AE140=""),"Payment terms missing; ","")&amp;IF(N(AI140)&gt;N(AD140)+1,"Overpaid vs PO; ","")&amp;IF(AND(N(AK140)&gt;0,AY140&lt;&gt;"",AO140=""),"Payment due date missing; ","")="","OK",IF(AND(A140&lt;&gt;"",OR(B140="",C140="",E140="",F140="",H140="")),"PR info missing; ","")&amp;IF(AND(K140="Approved",OR(J140="",I140="")),"Approval ref/date missing; ","")&amp;IF(AND(O140&lt;&gt;"",K140&lt;&gt;"Approved"),"PO without approval; ","")&amp;IF(AND(O140&lt;&gt;"",OR(P140="",M140="",Q140="",S140="",T140="")),"PO details missing; ","")&amp;IF(AND(O140&lt;&gt;"",AR140=""),"Committed date missing; ","")&amp;IF(AND(ISNUMBER(J140),ISNUMBER(B140),N(J140)&lt;N(B140)),"Approval dated before PR; ","")&amp;IF(AND(ISNUMBER(P140),ISNUMBER(J140),N(P140)&lt;N(J140)),"PO dated before approval; ","")&amp;IF(AND(ISNUMBER(AY140),ISNUMBER(AS140),N(AY140)&lt;N(AS140)),"Close before in-house start; ","")&amp;IF(AND(AY140&lt;&gt;"",AS140=""),"In-house start date missing; ","")&amp;IF(AND(AY140&lt;&gt;"",AT140=""),"Qty received missing; ","")&amp;IF(AND(AY140&lt;&gt;"",BF140=""),"QC status missing; ","")&amp;IF(N(AT140)&gt;N(Q140)*1.05,"Received &gt; ordered +5%; ","")&amp;IF(AND(N(AI140)&gt;0,AE140=""),"Payment terms missing; ","")&amp;IF(N(AI140)&gt;N(AD140)+1,"Overpaid vs PO; ","")&amp;IF(AND(N(AK140)&gt;0,AY140&lt;&gt;"",AO140=""),"Payment due date missing; ","")))</f>
        <v/>
      </c>
      <c r="BK140" s="76" t="str">
        <f aca="false">IF(A140="","",IF(N(AP140)&gt;0,"Pay supplier: "&amp;N(AP140)&amp;" days overdue; ","")&amp;IF(AND(O140&lt;&gt;"",AY140="",N(BD140)&gt;0),"Expedite delivery: "&amp;N(BD140)&amp;" days late; ","")&amp;IF(AND(BI140="Awaiting Approval",ISNUMBER(B140),Settings!$B$4-N(B140)&gt;Settings!$B$19),"Get approval: PR waiting "&amp;(Settings!$B$4-N(B140))&amp;" days; ","")&amp;IF(AND(BI140="Approved - PO Pending",ISNUMBER(J140),Settings!$B$4-N(J140)&gt;Settings!$B$20),"Issue PO: approved "&amp;(Settings!$B$4-N(J140))&amp;" days ago; ","")&amp;IF(AND(OR(BI140="Awaiting Approval",BI140="Approved - PO Pending"),N(AB140)&gt;Settings!$B$7),"Negotiate price: "&amp;TEXT(AB140,"0%")&amp;" above budget; ","")&amp;IF(LEFT(AX140,12)="Short Closed","Short closed: claim balance / credit note"&amp;IF(N(AL140)&gt;0," BDT "&amp;TEXT(AL140,"#,##0"),"")&amp;"; ","")&amp;IF(BF140="Rejected","QC rejected: return / replace; ","")&amp;IF(AND(O140&lt;&gt;"",AY140="",N(AL140)&gt;0,N(BD140)&gt;0),"Advance at risk: BDT "&amp;TEXT(AL140,"#,##0")&amp;" paid, goods late; ","")&amp;IF(AND(BJ140&lt;&gt;"",BJ140&lt;&gt;"OK"),"Fix data entry (see Data Check); ",""))</f>
        <v/>
      </c>
      <c r="BL140" s="73" t="str">
        <f aca="false">IF(BK140="","",IF(OR(N(AP140)&gt;30,AND(AY140="",N(BD140)&gt;15),BF140="Rejected",AND(LEFT(AX140,12)="Short Closed",N(AL140)&gt;0),AND(O140&lt;&gt;"",AY140="",N(AL140)&gt;0,N(BD140)&gt;0)),"High",IF(OR(N(AP140)&gt;0,AND(AY140="",N(BD140)&gt;7),LEFT(AX140,12)="Short Closed",AND(BI140="Awaiting Approval",ISNUMBER(B140),Settings!$B$4-N(B140)&gt;2*Settings!$B$19),AND(BI140="Approved - PO Pending",ISNUMBER(J140),Settings!$B$4-N(J140)&gt;2*Settings!$B$20)),"Medium","Low")))</f>
        <v/>
      </c>
      <c r="BM140" s="77" t="str">
        <f aca="false">IF(BL140="","",IF(BL140="High",1,IF(BL140="Medium",2,3))*10000+ROW())</f>
        <v/>
      </c>
      <c r="BN140" s="62"/>
    </row>
    <row r="141" customFormat="false" ht="18" hidden="false" customHeight="true" outlineLevel="0" collapsed="false">
      <c r="A141" s="60"/>
      <c r="B141" s="61"/>
      <c r="C141" s="62"/>
      <c r="D141" s="62"/>
      <c r="E141" s="62"/>
      <c r="F141" s="62"/>
      <c r="G141" s="62"/>
      <c r="H141" s="60"/>
      <c r="I141" s="60"/>
      <c r="J141" s="61"/>
      <c r="K141" s="60"/>
      <c r="L141" s="60"/>
      <c r="M141" s="62"/>
      <c r="N141" s="60"/>
      <c r="O141" s="60"/>
      <c r="P141" s="61"/>
      <c r="Q141" s="63"/>
      <c r="R141" s="60"/>
      <c r="S141" s="64"/>
      <c r="T141" s="60"/>
      <c r="U141" s="65" t="str">
        <f aca="false">IF(AND(T141="",S141=""),"",IF(T141="",1,IFERROR(INDEX(Settings!$B$12:$B$16,MATCH(T141,Settings!$A$12:$A$16,0)),1)))</f>
        <v/>
      </c>
      <c r="V141" s="64"/>
      <c r="W141" s="66" t="str">
        <f aca="false">IF(OR(Q141="",S141=""),"",Q141*S141*U141)</f>
        <v/>
      </c>
      <c r="X141" s="65" t="str">
        <f aca="false">IF(OR(W141="",N(Q141)=0),"",W141/Q141)</f>
        <v/>
      </c>
      <c r="Y141" s="65" t="str">
        <f aca="false">IF(OR(X141="",P141="",E141=""),"",IF(_xlfn.MAXIFS($P$6:$P$205,$E$6:$E$205,E141,$P$6:$P$205,"&lt;"&amp;P141,$X$6:$X$205,"&gt;0")=0,"",IFERROR(AVERAGEIFS($X$6:$X$205,$E$6:$E$205,E141,$P$6:$P$205,_xlfn.MAXIFS($P$6:$P$205,$E$6:$E$205,E141,$P$6:$P$205,"&lt;"&amp;P141,$X$6:$X$205,"&gt;0"),$X$6:$X$205,"&gt;0"),"")))</f>
        <v/>
      </c>
      <c r="Z141" s="67" t="str">
        <f aca="false">IF(OR(Y141="",X141=""),"",X141/Y141-1)</f>
        <v/>
      </c>
      <c r="AA141" s="68" t="str">
        <f aca="false">IF(OR(W141="",V141=""),"",W141-Q141*V141)</f>
        <v/>
      </c>
      <c r="AB141" s="69" t="str">
        <f aca="false">IF(AA141="","",IF(N(V141)*N(Q141)=0,"",AA141/(Q141*V141)))</f>
        <v/>
      </c>
      <c r="AC141" s="70"/>
      <c r="AD141" s="66" t="str">
        <f aca="false">IF(W141="","",W141*(1+N(AC141)))</f>
        <v/>
      </c>
      <c r="AE141" s="62"/>
      <c r="AF141" s="71"/>
      <c r="AG141" s="71"/>
      <c r="AH141" s="71"/>
      <c r="AI141" s="66" t="str">
        <f aca="false">IF(A141="","",N(AF141)+N(AG141)+N(AH141))</f>
        <v/>
      </c>
      <c r="AJ141" s="72" t="str">
        <f aca="false">IF(AD141="","",IF(N(AD141)=0,"",AI141/AD141))</f>
        <v/>
      </c>
      <c r="AK141" s="66" t="str">
        <f aca="false">IF(AD141="","",IF(AD141-AI141&lt;1,0,ROUND(AD141-AI141,2)))</f>
        <v/>
      </c>
      <c r="AL141" s="66" t="str">
        <f aca="false">IF(OR(O141="",AD141=""),"",MAX(0,ROUND(N(AI141)-(AD141-N(AW141)),0)))</f>
        <v/>
      </c>
      <c r="AM141" s="73" t="str">
        <f aca="false">IF(A141="","",IF(O141="","No PO Yet",IF(AI141=0,"Not Paid",IF(N(AJ141)&gt;=0.999,"Fully Paid",IF(N(AG141)+N(AH141)&gt;0,"Partially Paid","Initial / Advance Paid")))))</f>
        <v/>
      </c>
      <c r="AN141" s="61"/>
      <c r="AO141" s="61"/>
      <c r="AP141" s="74" t="str">
        <f aca="false">IF(AK141="","",IF(OR(N(AK141)=0,AO141=""),"",MAX(0,Settings!$B$4-AO141)))</f>
        <v/>
      </c>
      <c r="AQ141" s="73" t="str">
        <f aca="false">IF(AK141="","",IF(N(AK141)&lt;=0,"",IF(AO141="","No Due Date",IF(Settings!$B$4&lt;=AO141,"Not Yet Due",IF(Settings!$B$4-AO141&lt;=30,"1-30 Days",IF(Settings!$B$4-AO141&lt;=60,"31-60 Days",IF(Settings!$B$4-AO141&lt;=90,"61-90 Days","90+ Days")))))))</f>
        <v/>
      </c>
      <c r="AR141" s="61"/>
      <c r="AS141" s="61"/>
      <c r="AT141" s="63"/>
      <c r="AU141" s="72" t="str">
        <f aca="false">IF(Q141="","",IF(N(Q141)=0,"",N(AT141)/Q141))</f>
        <v/>
      </c>
      <c r="AV141" s="75" t="str">
        <f aca="false">IF(OR(A141="",O141="",Q141=""),"",MAX(0,Q141-N(AT141)))</f>
        <v/>
      </c>
      <c r="AW141" s="66" t="str">
        <f aca="false">IF(OR(AV141="",W141=""),"",IF(N(Q141)=0,0,AV141/Q141*AD141))</f>
        <v/>
      </c>
      <c r="AX141" s="76" t="str">
        <f aca="false">IF(A141="","",IF(O141="","No PO Yet",IF(Q141="","Order Qty Missing",IF(N(AT141)&gt;=Q141,IF(N(AT141)&gt;Q141,"All In-house (+"&amp;TEXT(N(AT141)-Q141,"#,##0")&amp;" "&amp;R141&amp;" excess)","All In-house"),IF(AY141&lt;&gt;"","Short Closed - "&amp;TEXT(AV141,"#,##0")&amp;" "&amp;R141&amp;" not received",IF(N(AT141)=0,"Not Started - "&amp;TEXT(AV141,"#,##0")&amp;" "&amp;R141&amp;" pending","Pending "&amp;TEXT(AV141,"#,##0")&amp;" "&amp;R141&amp;" ("&amp;TEXT(AU141,"0%")&amp;" received)"))))))</f>
        <v/>
      </c>
      <c r="AY141" s="61"/>
      <c r="AZ141" s="77" t="str">
        <f aca="false">IF(OR(B141="",J141=""),"",J141-B141)</f>
        <v/>
      </c>
      <c r="BA141" s="77" t="str">
        <f aca="false">IF(OR(J141="",P141=""),"",P141-J141)</f>
        <v/>
      </c>
      <c r="BB141" s="77" t="str">
        <f aca="false">IF(OR(P141="",AY141=""),"",AY141-P141)</f>
        <v/>
      </c>
      <c r="BC141" s="77" t="str">
        <f aca="false">IF(OR(B141="",AY141=""),"",AY141-B141)</f>
        <v/>
      </c>
      <c r="BD141" s="74" t="str">
        <f aca="false">IF(OR(AR141="",O141=""),"",MAX(0,IF(AY141="",Settings!$B$4,AY141)-AR141))</f>
        <v/>
      </c>
      <c r="BE141" s="73" t="str">
        <f aca="false">IF(OR(AY141="",AR141=""),"",IF(AND(AY141&lt;=AR141,N(AU141)&gt;=Settings!$B$6),"OTIF","Not OTIF"))</f>
        <v/>
      </c>
      <c r="BF141" s="60"/>
      <c r="BG141" s="62"/>
      <c r="BH141" s="78"/>
      <c r="BI141" s="76" t="str">
        <f aca="false">IF(A141="","",IF(K141="Rejected","Rejected",IF(K141&lt;&gt;"Approved","Awaiting Approval",IF(O141="","Approved - PO Pending",IF(AY141&lt;&gt;"",IF(N(AJ141)&gt;=0.999,"Closed","In-house Closed - Payment Due"),IF(AS141&lt;&gt;"","Receiving In-house","PO Issued - Awaiting Delivery"))))))</f>
        <v/>
      </c>
      <c r="BJ141" s="76" t="str">
        <f aca="false">IF(A141="","",IF(IF(AND(A141&lt;&gt;"",OR(B141="",C141="",E141="",F141="",H141="")),"PR info missing; ","")&amp;IF(AND(K141="Approved",OR(J141="",I141="")),"Approval ref/date missing; ","")&amp;IF(AND(O141&lt;&gt;"",K141&lt;&gt;"Approved"),"PO without approval; ","")&amp;IF(AND(O141&lt;&gt;"",OR(P141="",M141="",Q141="",S141="",T141="")),"PO details missing; ","")&amp;IF(AND(O141&lt;&gt;"",AR141=""),"Committed date missing; ","")&amp;IF(AND(ISNUMBER(J141),ISNUMBER(B141),N(J141)&lt;N(B141)),"Approval dated before PR; ","")&amp;IF(AND(ISNUMBER(P141),ISNUMBER(J141),N(P141)&lt;N(J141)),"PO dated before approval; ","")&amp;IF(AND(ISNUMBER(AY141),ISNUMBER(AS141),N(AY141)&lt;N(AS141)),"Close before in-house start; ","")&amp;IF(AND(AY141&lt;&gt;"",AS141=""),"In-house start date missing; ","")&amp;IF(AND(AY141&lt;&gt;"",AT141=""),"Qty received missing; ","")&amp;IF(AND(AY141&lt;&gt;"",BF141=""),"QC status missing; ","")&amp;IF(N(AT141)&gt;N(Q141)*1.05,"Received &gt; ordered +5%; ","")&amp;IF(AND(N(AI141)&gt;0,AE141=""),"Payment terms missing; ","")&amp;IF(N(AI141)&gt;N(AD141)+1,"Overpaid vs PO; ","")&amp;IF(AND(N(AK141)&gt;0,AY141&lt;&gt;"",AO141=""),"Payment due date missing; ","")="","OK",IF(AND(A141&lt;&gt;"",OR(B141="",C141="",E141="",F141="",H141="")),"PR info missing; ","")&amp;IF(AND(K141="Approved",OR(J141="",I141="")),"Approval ref/date missing; ","")&amp;IF(AND(O141&lt;&gt;"",K141&lt;&gt;"Approved"),"PO without approval; ","")&amp;IF(AND(O141&lt;&gt;"",OR(P141="",M141="",Q141="",S141="",T141="")),"PO details missing; ","")&amp;IF(AND(O141&lt;&gt;"",AR141=""),"Committed date missing; ","")&amp;IF(AND(ISNUMBER(J141),ISNUMBER(B141),N(J141)&lt;N(B141)),"Approval dated before PR; ","")&amp;IF(AND(ISNUMBER(P141),ISNUMBER(J141),N(P141)&lt;N(J141)),"PO dated before approval; ","")&amp;IF(AND(ISNUMBER(AY141),ISNUMBER(AS141),N(AY141)&lt;N(AS141)),"Close before in-house start; ","")&amp;IF(AND(AY141&lt;&gt;"",AS141=""),"In-house start date missing; ","")&amp;IF(AND(AY141&lt;&gt;"",AT141=""),"Qty received missing; ","")&amp;IF(AND(AY141&lt;&gt;"",BF141=""),"QC status missing; ","")&amp;IF(N(AT141)&gt;N(Q141)*1.05,"Received &gt; ordered +5%; ","")&amp;IF(AND(N(AI141)&gt;0,AE141=""),"Payment terms missing; ","")&amp;IF(N(AI141)&gt;N(AD141)+1,"Overpaid vs PO; ","")&amp;IF(AND(N(AK141)&gt;0,AY141&lt;&gt;"",AO141=""),"Payment due date missing; ","")))</f>
        <v/>
      </c>
      <c r="BK141" s="76" t="str">
        <f aca="false">IF(A141="","",IF(N(AP141)&gt;0,"Pay supplier: "&amp;N(AP141)&amp;" days overdue; ","")&amp;IF(AND(O141&lt;&gt;"",AY141="",N(BD141)&gt;0),"Expedite delivery: "&amp;N(BD141)&amp;" days late; ","")&amp;IF(AND(BI141="Awaiting Approval",ISNUMBER(B141),Settings!$B$4-N(B141)&gt;Settings!$B$19),"Get approval: PR waiting "&amp;(Settings!$B$4-N(B141))&amp;" days; ","")&amp;IF(AND(BI141="Approved - PO Pending",ISNUMBER(J141),Settings!$B$4-N(J141)&gt;Settings!$B$20),"Issue PO: approved "&amp;(Settings!$B$4-N(J141))&amp;" days ago; ","")&amp;IF(AND(OR(BI141="Awaiting Approval",BI141="Approved - PO Pending"),N(AB141)&gt;Settings!$B$7),"Negotiate price: "&amp;TEXT(AB141,"0%")&amp;" above budget; ","")&amp;IF(LEFT(AX141,12)="Short Closed","Short closed: claim balance / credit note"&amp;IF(N(AL141)&gt;0," BDT "&amp;TEXT(AL141,"#,##0"),"")&amp;"; ","")&amp;IF(BF141="Rejected","QC rejected: return / replace; ","")&amp;IF(AND(O141&lt;&gt;"",AY141="",N(AL141)&gt;0,N(BD141)&gt;0),"Advance at risk: BDT "&amp;TEXT(AL141,"#,##0")&amp;" paid, goods late; ","")&amp;IF(AND(BJ141&lt;&gt;"",BJ141&lt;&gt;"OK"),"Fix data entry (see Data Check); ",""))</f>
        <v/>
      </c>
      <c r="BL141" s="73" t="str">
        <f aca="false">IF(BK141="","",IF(OR(N(AP141)&gt;30,AND(AY141="",N(BD141)&gt;15),BF141="Rejected",AND(LEFT(AX141,12)="Short Closed",N(AL141)&gt;0),AND(O141&lt;&gt;"",AY141="",N(AL141)&gt;0,N(BD141)&gt;0)),"High",IF(OR(N(AP141)&gt;0,AND(AY141="",N(BD141)&gt;7),LEFT(AX141,12)="Short Closed",AND(BI141="Awaiting Approval",ISNUMBER(B141),Settings!$B$4-N(B141)&gt;2*Settings!$B$19),AND(BI141="Approved - PO Pending",ISNUMBER(J141),Settings!$B$4-N(J141)&gt;2*Settings!$B$20)),"Medium","Low")))</f>
        <v/>
      </c>
      <c r="BM141" s="77" t="str">
        <f aca="false">IF(BL141="","",IF(BL141="High",1,IF(BL141="Medium",2,3))*10000+ROW())</f>
        <v/>
      </c>
      <c r="BN141" s="62"/>
    </row>
    <row r="142" customFormat="false" ht="18" hidden="false" customHeight="true" outlineLevel="0" collapsed="false">
      <c r="A142" s="60"/>
      <c r="B142" s="61"/>
      <c r="C142" s="62"/>
      <c r="D142" s="62"/>
      <c r="E142" s="62"/>
      <c r="F142" s="62"/>
      <c r="G142" s="62"/>
      <c r="H142" s="60"/>
      <c r="I142" s="60"/>
      <c r="J142" s="61"/>
      <c r="K142" s="60"/>
      <c r="L142" s="60"/>
      <c r="M142" s="62"/>
      <c r="N142" s="60"/>
      <c r="O142" s="60"/>
      <c r="P142" s="61"/>
      <c r="Q142" s="63"/>
      <c r="R142" s="60"/>
      <c r="S142" s="64"/>
      <c r="T142" s="60"/>
      <c r="U142" s="65" t="str">
        <f aca="false">IF(AND(T142="",S142=""),"",IF(T142="",1,IFERROR(INDEX(Settings!$B$12:$B$16,MATCH(T142,Settings!$A$12:$A$16,0)),1)))</f>
        <v/>
      </c>
      <c r="V142" s="64"/>
      <c r="W142" s="66" t="str">
        <f aca="false">IF(OR(Q142="",S142=""),"",Q142*S142*U142)</f>
        <v/>
      </c>
      <c r="X142" s="65" t="str">
        <f aca="false">IF(OR(W142="",N(Q142)=0),"",W142/Q142)</f>
        <v/>
      </c>
      <c r="Y142" s="65" t="str">
        <f aca="false">IF(OR(X142="",P142="",E142=""),"",IF(_xlfn.MAXIFS($P$6:$P$205,$E$6:$E$205,E142,$P$6:$P$205,"&lt;"&amp;P142,$X$6:$X$205,"&gt;0")=0,"",IFERROR(AVERAGEIFS($X$6:$X$205,$E$6:$E$205,E142,$P$6:$P$205,_xlfn.MAXIFS($P$6:$P$205,$E$6:$E$205,E142,$P$6:$P$205,"&lt;"&amp;P142,$X$6:$X$205,"&gt;0"),$X$6:$X$205,"&gt;0"),"")))</f>
        <v/>
      </c>
      <c r="Z142" s="67" t="str">
        <f aca="false">IF(OR(Y142="",X142=""),"",X142/Y142-1)</f>
        <v/>
      </c>
      <c r="AA142" s="68" t="str">
        <f aca="false">IF(OR(W142="",V142=""),"",W142-Q142*V142)</f>
        <v/>
      </c>
      <c r="AB142" s="69" t="str">
        <f aca="false">IF(AA142="","",IF(N(V142)*N(Q142)=0,"",AA142/(Q142*V142)))</f>
        <v/>
      </c>
      <c r="AC142" s="70"/>
      <c r="AD142" s="66" t="str">
        <f aca="false">IF(W142="","",W142*(1+N(AC142)))</f>
        <v/>
      </c>
      <c r="AE142" s="62"/>
      <c r="AF142" s="71"/>
      <c r="AG142" s="71"/>
      <c r="AH142" s="71"/>
      <c r="AI142" s="66" t="str">
        <f aca="false">IF(A142="","",N(AF142)+N(AG142)+N(AH142))</f>
        <v/>
      </c>
      <c r="AJ142" s="72" t="str">
        <f aca="false">IF(AD142="","",IF(N(AD142)=0,"",AI142/AD142))</f>
        <v/>
      </c>
      <c r="AK142" s="66" t="str">
        <f aca="false">IF(AD142="","",IF(AD142-AI142&lt;1,0,ROUND(AD142-AI142,2)))</f>
        <v/>
      </c>
      <c r="AL142" s="66" t="str">
        <f aca="false">IF(OR(O142="",AD142=""),"",MAX(0,ROUND(N(AI142)-(AD142-N(AW142)),0)))</f>
        <v/>
      </c>
      <c r="AM142" s="73" t="str">
        <f aca="false">IF(A142="","",IF(O142="","No PO Yet",IF(AI142=0,"Not Paid",IF(N(AJ142)&gt;=0.999,"Fully Paid",IF(N(AG142)+N(AH142)&gt;0,"Partially Paid","Initial / Advance Paid")))))</f>
        <v/>
      </c>
      <c r="AN142" s="61"/>
      <c r="AO142" s="61"/>
      <c r="AP142" s="74" t="str">
        <f aca="false">IF(AK142="","",IF(OR(N(AK142)=0,AO142=""),"",MAX(0,Settings!$B$4-AO142)))</f>
        <v/>
      </c>
      <c r="AQ142" s="73" t="str">
        <f aca="false">IF(AK142="","",IF(N(AK142)&lt;=0,"",IF(AO142="","No Due Date",IF(Settings!$B$4&lt;=AO142,"Not Yet Due",IF(Settings!$B$4-AO142&lt;=30,"1-30 Days",IF(Settings!$B$4-AO142&lt;=60,"31-60 Days",IF(Settings!$B$4-AO142&lt;=90,"61-90 Days","90+ Days")))))))</f>
        <v/>
      </c>
      <c r="AR142" s="61"/>
      <c r="AS142" s="61"/>
      <c r="AT142" s="63"/>
      <c r="AU142" s="72" t="str">
        <f aca="false">IF(Q142="","",IF(N(Q142)=0,"",N(AT142)/Q142))</f>
        <v/>
      </c>
      <c r="AV142" s="75" t="str">
        <f aca="false">IF(OR(A142="",O142="",Q142=""),"",MAX(0,Q142-N(AT142)))</f>
        <v/>
      </c>
      <c r="AW142" s="66" t="str">
        <f aca="false">IF(OR(AV142="",W142=""),"",IF(N(Q142)=0,0,AV142/Q142*AD142))</f>
        <v/>
      </c>
      <c r="AX142" s="76" t="str">
        <f aca="false">IF(A142="","",IF(O142="","No PO Yet",IF(Q142="","Order Qty Missing",IF(N(AT142)&gt;=Q142,IF(N(AT142)&gt;Q142,"All In-house (+"&amp;TEXT(N(AT142)-Q142,"#,##0")&amp;" "&amp;R142&amp;" excess)","All In-house"),IF(AY142&lt;&gt;"","Short Closed - "&amp;TEXT(AV142,"#,##0")&amp;" "&amp;R142&amp;" not received",IF(N(AT142)=0,"Not Started - "&amp;TEXT(AV142,"#,##0")&amp;" "&amp;R142&amp;" pending","Pending "&amp;TEXT(AV142,"#,##0")&amp;" "&amp;R142&amp;" ("&amp;TEXT(AU142,"0%")&amp;" received)"))))))</f>
        <v/>
      </c>
      <c r="AY142" s="61"/>
      <c r="AZ142" s="77" t="str">
        <f aca="false">IF(OR(B142="",J142=""),"",J142-B142)</f>
        <v/>
      </c>
      <c r="BA142" s="77" t="str">
        <f aca="false">IF(OR(J142="",P142=""),"",P142-J142)</f>
        <v/>
      </c>
      <c r="BB142" s="77" t="str">
        <f aca="false">IF(OR(P142="",AY142=""),"",AY142-P142)</f>
        <v/>
      </c>
      <c r="BC142" s="77" t="str">
        <f aca="false">IF(OR(B142="",AY142=""),"",AY142-B142)</f>
        <v/>
      </c>
      <c r="BD142" s="74" t="str">
        <f aca="false">IF(OR(AR142="",O142=""),"",MAX(0,IF(AY142="",Settings!$B$4,AY142)-AR142))</f>
        <v/>
      </c>
      <c r="BE142" s="73" t="str">
        <f aca="false">IF(OR(AY142="",AR142=""),"",IF(AND(AY142&lt;=AR142,N(AU142)&gt;=Settings!$B$6),"OTIF","Not OTIF"))</f>
        <v/>
      </c>
      <c r="BF142" s="60"/>
      <c r="BG142" s="62"/>
      <c r="BH142" s="78"/>
      <c r="BI142" s="76" t="str">
        <f aca="false">IF(A142="","",IF(K142="Rejected","Rejected",IF(K142&lt;&gt;"Approved","Awaiting Approval",IF(O142="","Approved - PO Pending",IF(AY142&lt;&gt;"",IF(N(AJ142)&gt;=0.999,"Closed","In-house Closed - Payment Due"),IF(AS142&lt;&gt;"","Receiving In-house","PO Issued - Awaiting Delivery"))))))</f>
        <v/>
      </c>
      <c r="BJ142" s="76" t="str">
        <f aca="false">IF(A142="","",IF(IF(AND(A142&lt;&gt;"",OR(B142="",C142="",E142="",F142="",H142="")),"PR info missing; ","")&amp;IF(AND(K142="Approved",OR(J142="",I142="")),"Approval ref/date missing; ","")&amp;IF(AND(O142&lt;&gt;"",K142&lt;&gt;"Approved"),"PO without approval; ","")&amp;IF(AND(O142&lt;&gt;"",OR(P142="",M142="",Q142="",S142="",T142="")),"PO details missing; ","")&amp;IF(AND(O142&lt;&gt;"",AR142=""),"Committed date missing; ","")&amp;IF(AND(ISNUMBER(J142),ISNUMBER(B142),N(J142)&lt;N(B142)),"Approval dated before PR; ","")&amp;IF(AND(ISNUMBER(P142),ISNUMBER(J142),N(P142)&lt;N(J142)),"PO dated before approval; ","")&amp;IF(AND(ISNUMBER(AY142),ISNUMBER(AS142),N(AY142)&lt;N(AS142)),"Close before in-house start; ","")&amp;IF(AND(AY142&lt;&gt;"",AS142=""),"In-house start date missing; ","")&amp;IF(AND(AY142&lt;&gt;"",AT142=""),"Qty received missing; ","")&amp;IF(AND(AY142&lt;&gt;"",BF142=""),"QC status missing; ","")&amp;IF(N(AT142)&gt;N(Q142)*1.05,"Received &gt; ordered +5%; ","")&amp;IF(AND(N(AI142)&gt;0,AE142=""),"Payment terms missing; ","")&amp;IF(N(AI142)&gt;N(AD142)+1,"Overpaid vs PO; ","")&amp;IF(AND(N(AK142)&gt;0,AY142&lt;&gt;"",AO142=""),"Payment due date missing; ","")="","OK",IF(AND(A142&lt;&gt;"",OR(B142="",C142="",E142="",F142="",H142="")),"PR info missing; ","")&amp;IF(AND(K142="Approved",OR(J142="",I142="")),"Approval ref/date missing; ","")&amp;IF(AND(O142&lt;&gt;"",K142&lt;&gt;"Approved"),"PO without approval; ","")&amp;IF(AND(O142&lt;&gt;"",OR(P142="",M142="",Q142="",S142="",T142="")),"PO details missing; ","")&amp;IF(AND(O142&lt;&gt;"",AR142=""),"Committed date missing; ","")&amp;IF(AND(ISNUMBER(J142),ISNUMBER(B142),N(J142)&lt;N(B142)),"Approval dated before PR; ","")&amp;IF(AND(ISNUMBER(P142),ISNUMBER(J142),N(P142)&lt;N(J142)),"PO dated before approval; ","")&amp;IF(AND(ISNUMBER(AY142),ISNUMBER(AS142),N(AY142)&lt;N(AS142)),"Close before in-house start; ","")&amp;IF(AND(AY142&lt;&gt;"",AS142=""),"In-house start date missing; ","")&amp;IF(AND(AY142&lt;&gt;"",AT142=""),"Qty received missing; ","")&amp;IF(AND(AY142&lt;&gt;"",BF142=""),"QC status missing; ","")&amp;IF(N(AT142)&gt;N(Q142)*1.05,"Received &gt; ordered +5%; ","")&amp;IF(AND(N(AI142)&gt;0,AE142=""),"Payment terms missing; ","")&amp;IF(N(AI142)&gt;N(AD142)+1,"Overpaid vs PO; ","")&amp;IF(AND(N(AK142)&gt;0,AY142&lt;&gt;"",AO142=""),"Payment due date missing; ","")))</f>
        <v/>
      </c>
      <c r="BK142" s="76" t="str">
        <f aca="false">IF(A142="","",IF(N(AP142)&gt;0,"Pay supplier: "&amp;N(AP142)&amp;" days overdue; ","")&amp;IF(AND(O142&lt;&gt;"",AY142="",N(BD142)&gt;0),"Expedite delivery: "&amp;N(BD142)&amp;" days late; ","")&amp;IF(AND(BI142="Awaiting Approval",ISNUMBER(B142),Settings!$B$4-N(B142)&gt;Settings!$B$19),"Get approval: PR waiting "&amp;(Settings!$B$4-N(B142))&amp;" days; ","")&amp;IF(AND(BI142="Approved - PO Pending",ISNUMBER(J142),Settings!$B$4-N(J142)&gt;Settings!$B$20),"Issue PO: approved "&amp;(Settings!$B$4-N(J142))&amp;" days ago; ","")&amp;IF(AND(OR(BI142="Awaiting Approval",BI142="Approved - PO Pending"),N(AB142)&gt;Settings!$B$7),"Negotiate price: "&amp;TEXT(AB142,"0%")&amp;" above budget; ","")&amp;IF(LEFT(AX142,12)="Short Closed","Short closed: claim balance / credit note"&amp;IF(N(AL142)&gt;0," BDT "&amp;TEXT(AL142,"#,##0"),"")&amp;"; ","")&amp;IF(BF142="Rejected","QC rejected: return / replace; ","")&amp;IF(AND(O142&lt;&gt;"",AY142="",N(AL142)&gt;0,N(BD142)&gt;0),"Advance at risk: BDT "&amp;TEXT(AL142,"#,##0")&amp;" paid, goods late; ","")&amp;IF(AND(BJ142&lt;&gt;"",BJ142&lt;&gt;"OK"),"Fix data entry (see Data Check); ",""))</f>
        <v/>
      </c>
      <c r="BL142" s="73" t="str">
        <f aca="false">IF(BK142="","",IF(OR(N(AP142)&gt;30,AND(AY142="",N(BD142)&gt;15),BF142="Rejected",AND(LEFT(AX142,12)="Short Closed",N(AL142)&gt;0),AND(O142&lt;&gt;"",AY142="",N(AL142)&gt;0,N(BD142)&gt;0)),"High",IF(OR(N(AP142)&gt;0,AND(AY142="",N(BD142)&gt;7),LEFT(AX142,12)="Short Closed",AND(BI142="Awaiting Approval",ISNUMBER(B142),Settings!$B$4-N(B142)&gt;2*Settings!$B$19),AND(BI142="Approved - PO Pending",ISNUMBER(J142),Settings!$B$4-N(J142)&gt;2*Settings!$B$20)),"Medium","Low")))</f>
        <v/>
      </c>
      <c r="BM142" s="77" t="str">
        <f aca="false">IF(BL142="","",IF(BL142="High",1,IF(BL142="Medium",2,3))*10000+ROW())</f>
        <v/>
      </c>
      <c r="BN142" s="62"/>
    </row>
    <row r="143" customFormat="false" ht="18" hidden="false" customHeight="true" outlineLevel="0" collapsed="false">
      <c r="A143" s="60"/>
      <c r="B143" s="61"/>
      <c r="C143" s="62"/>
      <c r="D143" s="62"/>
      <c r="E143" s="62"/>
      <c r="F143" s="62"/>
      <c r="G143" s="62"/>
      <c r="H143" s="60"/>
      <c r="I143" s="60"/>
      <c r="J143" s="61"/>
      <c r="K143" s="60"/>
      <c r="L143" s="60"/>
      <c r="M143" s="62"/>
      <c r="N143" s="60"/>
      <c r="O143" s="60"/>
      <c r="P143" s="61"/>
      <c r="Q143" s="63"/>
      <c r="R143" s="60"/>
      <c r="S143" s="64"/>
      <c r="T143" s="60"/>
      <c r="U143" s="65" t="str">
        <f aca="false">IF(AND(T143="",S143=""),"",IF(T143="",1,IFERROR(INDEX(Settings!$B$12:$B$16,MATCH(T143,Settings!$A$12:$A$16,0)),1)))</f>
        <v/>
      </c>
      <c r="V143" s="64"/>
      <c r="W143" s="66" t="str">
        <f aca="false">IF(OR(Q143="",S143=""),"",Q143*S143*U143)</f>
        <v/>
      </c>
      <c r="X143" s="65" t="str">
        <f aca="false">IF(OR(W143="",N(Q143)=0),"",W143/Q143)</f>
        <v/>
      </c>
      <c r="Y143" s="65" t="str">
        <f aca="false">IF(OR(X143="",P143="",E143=""),"",IF(_xlfn.MAXIFS($P$6:$P$205,$E$6:$E$205,E143,$P$6:$P$205,"&lt;"&amp;P143,$X$6:$X$205,"&gt;0")=0,"",IFERROR(AVERAGEIFS($X$6:$X$205,$E$6:$E$205,E143,$P$6:$P$205,_xlfn.MAXIFS($P$6:$P$205,$E$6:$E$205,E143,$P$6:$P$205,"&lt;"&amp;P143,$X$6:$X$205,"&gt;0"),$X$6:$X$205,"&gt;0"),"")))</f>
        <v/>
      </c>
      <c r="Z143" s="67" t="str">
        <f aca="false">IF(OR(Y143="",X143=""),"",X143/Y143-1)</f>
        <v/>
      </c>
      <c r="AA143" s="68" t="str">
        <f aca="false">IF(OR(W143="",V143=""),"",W143-Q143*V143)</f>
        <v/>
      </c>
      <c r="AB143" s="69" t="str">
        <f aca="false">IF(AA143="","",IF(N(V143)*N(Q143)=0,"",AA143/(Q143*V143)))</f>
        <v/>
      </c>
      <c r="AC143" s="70"/>
      <c r="AD143" s="66" t="str">
        <f aca="false">IF(W143="","",W143*(1+N(AC143)))</f>
        <v/>
      </c>
      <c r="AE143" s="62"/>
      <c r="AF143" s="71"/>
      <c r="AG143" s="71"/>
      <c r="AH143" s="71"/>
      <c r="AI143" s="66" t="str">
        <f aca="false">IF(A143="","",N(AF143)+N(AG143)+N(AH143))</f>
        <v/>
      </c>
      <c r="AJ143" s="72" t="str">
        <f aca="false">IF(AD143="","",IF(N(AD143)=0,"",AI143/AD143))</f>
        <v/>
      </c>
      <c r="AK143" s="66" t="str">
        <f aca="false">IF(AD143="","",IF(AD143-AI143&lt;1,0,ROUND(AD143-AI143,2)))</f>
        <v/>
      </c>
      <c r="AL143" s="66" t="str">
        <f aca="false">IF(OR(O143="",AD143=""),"",MAX(0,ROUND(N(AI143)-(AD143-N(AW143)),0)))</f>
        <v/>
      </c>
      <c r="AM143" s="73" t="str">
        <f aca="false">IF(A143="","",IF(O143="","No PO Yet",IF(AI143=0,"Not Paid",IF(N(AJ143)&gt;=0.999,"Fully Paid",IF(N(AG143)+N(AH143)&gt;0,"Partially Paid","Initial / Advance Paid")))))</f>
        <v/>
      </c>
      <c r="AN143" s="61"/>
      <c r="AO143" s="61"/>
      <c r="AP143" s="74" t="str">
        <f aca="false">IF(AK143="","",IF(OR(N(AK143)=0,AO143=""),"",MAX(0,Settings!$B$4-AO143)))</f>
        <v/>
      </c>
      <c r="AQ143" s="73" t="str">
        <f aca="false">IF(AK143="","",IF(N(AK143)&lt;=0,"",IF(AO143="","No Due Date",IF(Settings!$B$4&lt;=AO143,"Not Yet Due",IF(Settings!$B$4-AO143&lt;=30,"1-30 Days",IF(Settings!$B$4-AO143&lt;=60,"31-60 Days",IF(Settings!$B$4-AO143&lt;=90,"61-90 Days","90+ Days")))))))</f>
        <v/>
      </c>
      <c r="AR143" s="61"/>
      <c r="AS143" s="61"/>
      <c r="AT143" s="63"/>
      <c r="AU143" s="72" t="str">
        <f aca="false">IF(Q143="","",IF(N(Q143)=0,"",N(AT143)/Q143))</f>
        <v/>
      </c>
      <c r="AV143" s="75" t="str">
        <f aca="false">IF(OR(A143="",O143="",Q143=""),"",MAX(0,Q143-N(AT143)))</f>
        <v/>
      </c>
      <c r="AW143" s="66" t="str">
        <f aca="false">IF(OR(AV143="",W143=""),"",IF(N(Q143)=0,0,AV143/Q143*AD143))</f>
        <v/>
      </c>
      <c r="AX143" s="76" t="str">
        <f aca="false">IF(A143="","",IF(O143="","No PO Yet",IF(Q143="","Order Qty Missing",IF(N(AT143)&gt;=Q143,IF(N(AT143)&gt;Q143,"All In-house (+"&amp;TEXT(N(AT143)-Q143,"#,##0")&amp;" "&amp;R143&amp;" excess)","All In-house"),IF(AY143&lt;&gt;"","Short Closed - "&amp;TEXT(AV143,"#,##0")&amp;" "&amp;R143&amp;" not received",IF(N(AT143)=0,"Not Started - "&amp;TEXT(AV143,"#,##0")&amp;" "&amp;R143&amp;" pending","Pending "&amp;TEXT(AV143,"#,##0")&amp;" "&amp;R143&amp;" ("&amp;TEXT(AU143,"0%")&amp;" received)"))))))</f>
        <v/>
      </c>
      <c r="AY143" s="61"/>
      <c r="AZ143" s="77" t="str">
        <f aca="false">IF(OR(B143="",J143=""),"",J143-B143)</f>
        <v/>
      </c>
      <c r="BA143" s="77" t="str">
        <f aca="false">IF(OR(J143="",P143=""),"",P143-J143)</f>
        <v/>
      </c>
      <c r="BB143" s="77" t="str">
        <f aca="false">IF(OR(P143="",AY143=""),"",AY143-P143)</f>
        <v/>
      </c>
      <c r="BC143" s="77" t="str">
        <f aca="false">IF(OR(B143="",AY143=""),"",AY143-B143)</f>
        <v/>
      </c>
      <c r="BD143" s="74" t="str">
        <f aca="false">IF(OR(AR143="",O143=""),"",MAX(0,IF(AY143="",Settings!$B$4,AY143)-AR143))</f>
        <v/>
      </c>
      <c r="BE143" s="73" t="str">
        <f aca="false">IF(OR(AY143="",AR143=""),"",IF(AND(AY143&lt;=AR143,N(AU143)&gt;=Settings!$B$6),"OTIF","Not OTIF"))</f>
        <v/>
      </c>
      <c r="BF143" s="60"/>
      <c r="BG143" s="62"/>
      <c r="BH143" s="78"/>
      <c r="BI143" s="76" t="str">
        <f aca="false">IF(A143="","",IF(K143="Rejected","Rejected",IF(K143&lt;&gt;"Approved","Awaiting Approval",IF(O143="","Approved - PO Pending",IF(AY143&lt;&gt;"",IF(N(AJ143)&gt;=0.999,"Closed","In-house Closed - Payment Due"),IF(AS143&lt;&gt;"","Receiving In-house","PO Issued - Awaiting Delivery"))))))</f>
        <v/>
      </c>
      <c r="BJ143" s="76" t="str">
        <f aca="false">IF(A143="","",IF(IF(AND(A143&lt;&gt;"",OR(B143="",C143="",E143="",F143="",H143="")),"PR info missing; ","")&amp;IF(AND(K143="Approved",OR(J143="",I143="")),"Approval ref/date missing; ","")&amp;IF(AND(O143&lt;&gt;"",K143&lt;&gt;"Approved"),"PO without approval; ","")&amp;IF(AND(O143&lt;&gt;"",OR(P143="",M143="",Q143="",S143="",T143="")),"PO details missing; ","")&amp;IF(AND(O143&lt;&gt;"",AR143=""),"Committed date missing; ","")&amp;IF(AND(ISNUMBER(J143),ISNUMBER(B143),N(J143)&lt;N(B143)),"Approval dated before PR; ","")&amp;IF(AND(ISNUMBER(P143),ISNUMBER(J143),N(P143)&lt;N(J143)),"PO dated before approval; ","")&amp;IF(AND(ISNUMBER(AY143),ISNUMBER(AS143),N(AY143)&lt;N(AS143)),"Close before in-house start; ","")&amp;IF(AND(AY143&lt;&gt;"",AS143=""),"In-house start date missing; ","")&amp;IF(AND(AY143&lt;&gt;"",AT143=""),"Qty received missing; ","")&amp;IF(AND(AY143&lt;&gt;"",BF143=""),"QC status missing; ","")&amp;IF(N(AT143)&gt;N(Q143)*1.05,"Received &gt; ordered +5%; ","")&amp;IF(AND(N(AI143)&gt;0,AE143=""),"Payment terms missing; ","")&amp;IF(N(AI143)&gt;N(AD143)+1,"Overpaid vs PO; ","")&amp;IF(AND(N(AK143)&gt;0,AY143&lt;&gt;"",AO143=""),"Payment due date missing; ","")="","OK",IF(AND(A143&lt;&gt;"",OR(B143="",C143="",E143="",F143="",H143="")),"PR info missing; ","")&amp;IF(AND(K143="Approved",OR(J143="",I143="")),"Approval ref/date missing; ","")&amp;IF(AND(O143&lt;&gt;"",K143&lt;&gt;"Approved"),"PO without approval; ","")&amp;IF(AND(O143&lt;&gt;"",OR(P143="",M143="",Q143="",S143="",T143="")),"PO details missing; ","")&amp;IF(AND(O143&lt;&gt;"",AR143=""),"Committed date missing; ","")&amp;IF(AND(ISNUMBER(J143),ISNUMBER(B143),N(J143)&lt;N(B143)),"Approval dated before PR; ","")&amp;IF(AND(ISNUMBER(P143),ISNUMBER(J143),N(P143)&lt;N(J143)),"PO dated before approval; ","")&amp;IF(AND(ISNUMBER(AY143),ISNUMBER(AS143),N(AY143)&lt;N(AS143)),"Close before in-house start; ","")&amp;IF(AND(AY143&lt;&gt;"",AS143=""),"In-house start date missing; ","")&amp;IF(AND(AY143&lt;&gt;"",AT143=""),"Qty received missing; ","")&amp;IF(AND(AY143&lt;&gt;"",BF143=""),"QC status missing; ","")&amp;IF(N(AT143)&gt;N(Q143)*1.05,"Received &gt; ordered +5%; ","")&amp;IF(AND(N(AI143)&gt;0,AE143=""),"Payment terms missing; ","")&amp;IF(N(AI143)&gt;N(AD143)+1,"Overpaid vs PO; ","")&amp;IF(AND(N(AK143)&gt;0,AY143&lt;&gt;"",AO143=""),"Payment due date missing; ","")))</f>
        <v/>
      </c>
      <c r="BK143" s="76" t="str">
        <f aca="false">IF(A143="","",IF(N(AP143)&gt;0,"Pay supplier: "&amp;N(AP143)&amp;" days overdue; ","")&amp;IF(AND(O143&lt;&gt;"",AY143="",N(BD143)&gt;0),"Expedite delivery: "&amp;N(BD143)&amp;" days late; ","")&amp;IF(AND(BI143="Awaiting Approval",ISNUMBER(B143),Settings!$B$4-N(B143)&gt;Settings!$B$19),"Get approval: PR waiting "&amp;(Settings!$B$4-N(B143))&amp;" days; ","")&amp;IF(AND(BI143="Approved - PO Pending",ISNUMBER(J143),Settings!$B$4-N(J143)&gt;Settings!$B$20),"Issue PO: approved "&amp;(Settings!$B$4-N(J143))&amp;" days ago; ","")&amp;IF(AND(OR(BI143="Awaiting Approval",BI143="Approved - PO Pending"),N(AB143)&gt;Settings!$B$7),"Negotiate price: "&amp;TEXT(AB143,"0%")&amp;" above budget; ","")&amp;IF(LEFT(AX143,12)="Short Closed","Short closed: claim balance / credit note"&amp;IF(N(AL143)&gt;0," BDT "&amp;TEXT(AL143,"#,##0"),"")&amp;"; ","")&amp;IF(BF143="Rejected","QC rejected: return / replace; ","")&amp;IF(AND(O143&lt;&gt;"",AY143="",N(AL143)&gt;0,N(BD143)&gt;0),"Advance at risk: BDT "&amp;TEXT(AL143,"#,##0")&amp;" paid, goods late; ","")&amp;IF(AND(BJ143&lt;&gt;"",BJ143&lt;&gt;"OK"),"Fix data entry (see Data Check); ",""))</f>
        <v/>
      </c>
      <c r="BL143" s="73" t="str">
        <f aca="false">IF(BK143="","",IF(OR(N(AP143)&gt;30,AND(AY143="",N(BD143)&gt;15),BF143="Rejected",AND(LEFT(AX143,12)="Short Closed",N(AL143)&gt;0),AND(O143&lt;&gt;"",AY143="",N(AL143)&gt;0,N(BD143)&gt;0)),"High",IF(OR(N(AP143)&gt;0,AND(AY143="",N(BD143)&gt;7),LEFT(AX143,12)="Short Closed",AND(BI143="Awaiting Approval",ISNUMBER(B143),Settings!$B$4-N(B143)&gt;2*Settings!$B$19),AND(BI143="Approved - PO Pending",ISNUMBER(J143),Settings!$B$4-N(J143)&gt;2*Settings!$B$20)),"Medium","Low")))</f>
        <v/>
      </c>
      <c r="BM143" s="77" t="str">
        <f aca="false">IF(BL143="","",IF(BL143="High",1,IF(BL143="Medium",2,3))*10000+ROW())</f>
        <v/>
      </c>
      <c r="BN143" s="62"/>
    </row>
    <row r="144" customFormat="false" ht="18" hidden="false" customHeight="true" outlineLevel="0" collapsed="false">
      <c r="A144" s="60"/>
      <c r="B144" s="61"/>
      <c r="C144" s="62"/>
      <c r="D144" s="62"/>
      <c r="E144" s="62"/>
      <c r="F144" s="62"/>
      <c r="G144" s="62"/>
      <c r="H144" s="60"/>
      <c r="I144" s="60"/>
      <c r="J144" s="61"/>
      <c r="K144" s="60"/>
      <c r="L144" s="60"/>
      <c r="M144" s="62"/>
      <c r="N144" s="60"/>
      <c r="O144" s="60"/>
      <c r="P144" s="61"/>
      <c r="Q144" s="63"/>
      <c r="R144" s="60"/>
      <c r="S144" s="64"/>
      <c r="T144" s="60"/>
      <c r="U144" s="65" t="str">
        <f aca="false">IF(AND(T144="",S144=""),"",IF(T144="",1,IFERROR(INDEX(Settings!$B$12:$B$16,MATCH(T144,Settings!$A$12:$A$16,0)),1)))</f>
        <v/>
      </c>
      <c r="V144" s="64"/>
      <c r="W144" s="66" t="str">
        <f aca="false">IF(OR(Q144="",S144=""),"",Q144*S144*U144)</f>
        <v/>
      </c>
      <c r="X144" s="65" t="str">
        <f aca="false">IF(OR(W144="",N(Q144)=0),"",W144/Q144)</f>
        <v/>
      </c>
      <c r="Y144" s="65" t="str">
        <f aca="false">IF(OR(X144="",P144="",E144=""),"",IF(_xlfn.MAXIFS($P$6:$P$205,$E$6:$E$205,E144,$P$6:$P$205,"&lt;"&amp;P144,$X$6:$X$205,"&gt;0")=0,"",IFERROR(AVERAGEIFS($X$6:$X$205,$E$6:$E$205,E144,$P$6:$P$205,_xlfn.MAXIFS($P$6:$P$205,$E$6:$E$205,E144,$P$6:$P$205,"&lt;"&amp;P144,$X$6:$X$205,"&gt;0"),$X$6:$X$205,"&gt;0"),"")))</f>
        <v/>
      </c>
      <c r="Z144" s="67" t="str">
        <f aca="false">IF(OR(Y144="",X144=""),"",X144/Y144-1)</f>
        <v/>
      </c>
      <c r="AA144" s="68" t="str">
        <f aca="false">IF(OR(W144="",V144=""),"",W144-Q144*V144)</f>
        <v/>
      </c>
      <c r="AB144" s="69" t="str">
        <f aca="false">IF(AA144="","",IF(N(V144)*N(Q144)=0,"",AA144/(Q144*V144)))</f>
        <v/>
      </c>
      <c r="AC144" s="70"/>
      <c r="AD144" s="66" t="str">
        <f aca="false">IF(W144="","",W144*(1+N(AC144)))</f>
        <v/>
      </c>
      <c r="AE144" s="62"/>
      <c r="AF144" s="71"/>
      <c r="AG144" s="71"/>
      <c r="AH144" s="71"/>
      <c r="AI144" s="66" t="str">
        <f aca="false">IF(A144="","",N(AF144)+N(AG144)+N(AH144))</f>
        <v/>
      </c>
      <c r="AJ144" s="72" t="str">
        <f aca="false">IF(AD144="","",IF(N(AD144)=0,"",AI144/AD144))</f>
        <v/>
      </c>
      <c r="AK144" s="66" t="str">
        <f aca="false">IF(AD144="","",IF(AD144-AI144&lt;1,0,ROUND(AD144-AI144,2)))</f>
        <v/>
      </c>
      <c r="AL144" s="66" t="str">
        <f aca="false">IF(OR(O144="",AD144=""),"",MAX(0,ROUND(N(AI144)-(AD144-N(AW144)),0)))</f>
        <v/>
      </c>
      <c r="AM144" s="73" t="str">
        <f aca="false">IF(A144="","",IF(O144="","No PO Yet",IF(AI144=0,"Not Paid",IF(N(AJ144)&gt;=0.999,"Fully Paid",IF(N(AG144)+N(AH144)&gt;0,"Partially Paid","Initial / Advance Paid")))))</f>
        <v/>
      </c>
      <c r="AN144" s="61"/>
      <c r="AO144" s="61"/>
      <c r="AP144" s="74" t="str">
        <f aca="false">IF(AK144="","",IF(OR(N(AK144)=0,AO144=""),"",MAX(0,Settings!$B$4-AO144)))</f>
        <v/>
      </c>
      <c r="AQ144" s="73" t="str">
        <f aca="false">IF(AK144="","",IF(N(AK144)&lt;=0,"",IF(AO144="","No Due Date",IF(Settings!$B$4&lt;=AO144,"Not Yet Due",IF(Settings!$B$4-AO144&lt;=30,"1-30 Days",IF(Settings!$B$4-AO144&lt;=60,"31-60 Days",IF(Settings!$B$4-AO144&lt;=90,"61-90 Days","90+ Days")))))))</f>
        <v/>
      </c>
      <c r="AR144" s="61"/>
      <c r="AS144" s="61"/>
      <c r="AT144" s="63"/>
      <c r="AU144" s="72" t="str">
        <f aca="false">IF(Q144="","",IF(N(Q144)=0,"",N(AT144)/Q144))</f>
        <v/>
      </c>
      <c r="AV144" s="75" t="str">
        <f aca="false">IF(OR(A144="",O144="",Q144=""),"",MAX(0,Q144-N(AT144)))</f>
        <v/>
      </c>
      <c r="AW144" s="66" t="str">
        <f aca="false">IF(OR(AV144="",W144=""),"",IF(N(Q144)=0,0,AV144/Q144*AD144))</f>
        <v/>
      </c>
      <c r="AX144" s="76" t="str">
        <f aca="false">IF(A144="","",IF(O144="","No PO Yet",IF(Q144="","Order Qty Missing",IF(N(AT144)&gt;=Q144,IF(N(AT144)&gt;Q144,"All In-house (+"&amp;TEXT(N(AT144)-Q144,"#,##0")&amp;" "&amp;R144&amp;" excess)","All In-house"),IF(AY144&lt;&gt;"","Short Closed - "&amp;TEXT(AV144,"#,##0")&amp;" "&amp;R144&amp;" not received",IF(N(AT144)=0,"Not Started - "&amp;TEXT(AV144,"#,##0")&amp;" "&amp;R144&amp;" pending","Pending "&amp;TEXT(AV144,"#,##0")&amp;" "&amp;R144&amp;" ("&amp;TEXT(AU144,"0%")&amp;" received)"))))))</f>
        <v/>
      </c>
      <c r="AY144" s="61"/>
      <c r="AZ144" s="77" t="str">
        <f aca="false">IF(OR(B144="",J144=""),"",J144-B144)</f>
        <v/>
      </c>
      <c r="BA144" s="77" t="str">
        <f aca="false">IF(OR(J144="",P144=""),"",P144-J144)</f>
        <v/>
      </c>
      <c r="BB144" s="77" t="str">
        <f aca="false">IF(OR(P144="",AY144=""),"",AY144-P144)</f>
        <v/>
      </c>
      <c r="BC144" s="77" t="str">
        <f aca="false">IF(OR(B144="",AY144=""),"",AY144-B144)</f>
        <v/>
      </c>
      <c r="BD144" s="74" t="str">
        <f aca="false">IF(OR(AR144="",O144=""),"",MAX(0,IF(AY144="",Settings!$B$4,AY144)-AR144))</f>
        <v/>
      </c>
      <c r="BE144" s="73" t="str">
        <f aca="false">IF(OR(AY144="",AR144=""),"",IF(AND(AY144&lt;=AR144,N(AU144)&gt;=Settings!$B$6),"OTIF","Not OTIF"))</f>
        <v/>
      </c>
      <c r="BF144" s="60"/>
      <c r="BG144" s="62"/>
      <c r="BH144" s="78"/>
      <c r="BI144" s="76" t="str">
        <f aca="false">IF(A144="","",IF(K144="Rejected","Rejected",IF(K144&lt;&gt;"Approved","Awaiting Approval",IF(O144="","Approved - PO Pending",IF(AY144&lt;&gt;"",IF(N(AJ144)&gt;=0.999,"Closed","In-house Closed - Payment Due"),IF(AS144&lt;&gt;"","Receiving In-house","PO Issued - Awaiting Delivery"))))))</f>
        <v/>
      </c>
      <c r="BJ144" s="76" t="str">
        <f aca="false">IF(A144="","",IF(IF(AND(A144&lt;&gt;"",OR(B144="",C144="",E144="",F144="",H144="")),"PR info missing; ","")&amp;IF(AND(K144="Approved",OR(J144="",I144="")),"Approval ref/date missing; ","")&amp;IF(AND(O144&lt;&gt;"",K144&lt;&gt;"Approved"),"PO without approval; ","")&amp;IF(AND(O144&lt;&gt;"",OR(P144="",M144="",Q144="",S144="",T144="")),"PO details missing; ","")&amp;IF(AND(O144&lt;&gt;"",AR144=""),"Committed date missing; ","")&amp;IF(AND(ISNUMBER(J144),ISNUMBER(B144),N(J144)&lt;N(B144)),"Approval dated before PR; ","")&amp;IF(AND(ISNUMBER(P144),ISNUMBER(J144),N(P144)&lt;N(J144)),"PO dated before approval; ","")&amp;IF(AND(ISNUMBER(AY144),ISNUMBER(AS144),N(AY144)&lt;N(AS144)),"Close before in-house start; ","")&amp;IF(AND(AY144&lt;&gt;"",AS144=""),"In-house start date missing; ","")&amp;IF(AND(AY144&lt;&gt;"",AT144=""),"Qty received missing; ","")&amp;IF(AND(AY144&lt;&gt;"",BF144=""),"QC status missing; ","")&amp;IF(N(AT144)&gt;N(Q144)*1.05,"Received &gt; ordered +5%; ","")&amp;IF(AND(N(AI144)&gt;0,AE144=""),"Payment terms missing; ","")&amp;IF(N(AI144)&gt;N(AD144)+1,"Overpaid vs PO; ","")&amp;IF(AND(N(AK144)&gt;0,AY144&lt;&gt;"",AO144=""),"Payment due date missing; ","")="","OK",IF(AND(A144&lt;&gt;"",OR(B144="",C144="",E144="",F144="",H144="")),"PR info missing; ","")&amp;IF(AND(K144="Approved",OR(J144="",I144="")),"Approval ref/date missing; ","")&amp;IF(AND(O144&lt;&gt;"",K144&lt;&gt;"Approved"),"PO without approval; ","")&amp;IF(AND(O144&lt;&gt;"",OR(P144="",M144="",Q144="",S144="",T144="")),"PO details missing; ","")&amp;IF(AND(O144&lt;&gt;"",AR144=""),"Committed date missing; ","")&amp;IF(AND(ISNUMBER(J144),ISNUMBER(B144),N(J144)&lt;N(B144)),"Approval dated before PR; ","")&amp;IF(AND(ISNUMBER(P144),ISNUMBER(J144),N(P144)&lt;N(J144)),"PO dated before approval; ","")&amp;IF(AND(ISNUMBER(AY144),ISNUMBER(AS144),N(AY144)&lt;N(AS144)),"Close before in-house start; ","")&amp;IF(AND(AY144&lt;&gt;"",AS144=""),"In-house start date missing; ","")&amp;IF(AND(AY144&lt;&gt;"",AT144=""),"Qty received missing; ","")&amp;IF(AND(AY144&lt;&gt;"",BF144=""),"QC status missing; ","")&amp;IF(N(AT144)&gt;N(Q144)*1.05,"Received &gt; ordered +5%; ","")&amp;IF(AND(N(AI144)&gt;0,AE144=""),"Payment terms missing; ","")&amp;IF(N(AI144)&gt;N(AD144)+1,"Overpaid vs PO; ","")&amp;IF(AND(N(AK144)&gt;0,AY144&lt;&gt;"",AO144=""),"Payment due date missing; ","")))</f>
        <v/>
      </c>
      <c r="BK144" s="76" t="str">
        <f aca="false">IF(A144="","",IF(N(AP144)&gt;0,"Pay supplier: "&amp;N(AP144)&amp;" days overdue; ","")&amp;IF(AND(O144&lt;&gt;"",AY144="",N(BD144)&gt;0),"Expedite delivery: "&amp;N(BD144)&amp;" days late; ","")&amp;IF(AND(BI144="Awaiting Approval",ISNUMBER(B144),Settings!$B$4-N(B144)&gt;Settings!$B$19),"Get approval: PR waiting "&amp;(Settings!$B$4-N(B144))&amp;" days; ","")&amp;IF(AND(BI144="Approved - PO Pending",ISNUMBER(J144),Settings!$B$4-N(J144)&gt;Settings!$B$20),"Issue PO: approved "&amp;(Settings!$B$4-N(J144))&amp;" days ago; ","")&amp;IF(AND(OR(BI144="Awaiting Approval",BI144="Approved - PO Pending"),N(AB144)&gt;Settings!$B$7),"Negotiate price: "&amp;TEXT(AB144,"0%")&amp;" above budget; ","")&amp;IF(LEFT(AX144,12)="Short Closed","Short closed: claim balance / credit note"&amp;IF(N(AL144)&gt;0," BDT "&amp;TEXT(AL144,"#,##0"),"")&amp;"; ","")&amp;IF(BF144="Rejected","QC rejected: return / replace; ","")&amp;IF(AND(O144&lt;&gt;"",AY144="",N(AL144)&gt;0,N(BD144)&gt;0),"Advance at risk: BDT "&amp;TEXT(AL144,"#,##0")&amp;" paid, goods late; ","")&amp;IF(AND(BJ144&lt;&gt;"",BJ144&lt;&gt;"OK"),"Fix data entry (see Data Check); ",""))</f>
        <v/>
      </c>
      <c r="BL144" s="73" t="str">
        <f aca="false">IF(BK144="","",IF(OR(N(AP144)&gt;30,AND(AY144="",N(BD144)&gt;15),BF144="Rejected",AND(LEFT(AX144,12)="Short Closed",N(AL144)&gt;0),AND(O144&lt;&gt;"",AY144="",N(AL144)&gt;0,N(BD144)&gt;0)),"High",IF(OR(N(AP144)&gt;0,AND(AY144="",N(BD144)&gt;7),LEFT(AX144,12)="Short Closed",AND(BI144="Awaiting Approval",ISNUMBER(B144),Settings!$B$4-N(B144)&gt;2*Settings!$B$19),AND(BI144="Approved - PO Pending",ISNUMBER(J144),Settings!$B$4-N(J144)&gt;2*Settings!$B$20)),"Medium","Low")))</f>
        <v/>
      </c>
      <c r="BM144" s="77" t="str">
        <f aca="false">IF(BL144="","",IF(BL144="High",1,IF(BL144="Medium",2,3))*10000+ROW())</f>
        <v/>
      </c>
      <c r="BN144" s="62"/>
    </row>
    <row r="145" customFormat="false" ht="18" hidden="false" customHeight="true" outlineLevel="0" collapsed="false">
      <c r="A145" s="60"/>
      <c r="B145" s="61"/>
      <c r="C145" s="62"/>
      <c r="D145" s="62"/>
      <c r="E145" s="62"/>
      <c r="F145" s="62"/>
      <c r="G145" s="62"/>
      <c r="H145" s="60"/>
      <c r="I145" s="60"/>
      <c r="J145" s="61"/>
      <c r="K145" s="60"/>
      <c r="L145" s="60"/>
      <c r="M145" s="62"/>
      <c r="N145" s="60"/>
      <c r="O145" s="60"/>
      <c r="P145" s="61"/>
      <c r="Q145" s="63"/>
      <c r="R145" s="60"/>
      <c r="S145" s="64"/>
      <c r="T145" s="60"/>
      <c r="U145" s="65" t="str">
        <f aca="false">IF(AND(T145="",S145=""),"",IF(T145="",1,IFERROR(INDEX(Settings!$B$12:$B$16,MATCH(T145,Settings!$A$12:$A$16,0)),1)))</f>
        <v/>
      </c>
      <c r="V145" s="64"/>
      <c r="W145" s="66" t="str">
        <f aca="false">IF(OR(Q145="",S145=""),"",Q145*S145*U145)</f>
        <v/>
      </c>
      <c r="X145" s="65" t="str">
        <f aca="false">IF(OR(W145="",N(Q145)=0),"",W145/Q145)</f>
        <v/>
      </c>
      <c r="Y145" s="65" t="str">
        <f aca="false">IF(OR(X145="",P145="",E145=""),"",IF(_xlfn.MAXIFS($P$6:$P$205,$E$6:$E$205,E145,$P$6:$P$205,"&lt;"&amp;P145,$X$6:$X$205,"&gt;0")=0,"",IFERROR(AVERAGEIFS($X$6:$X$205,$E$6:$E$205,E145,$P$6:$P$205,_xlfn.MAXIFS($P$6:$P$205,$E$6:$E$205,E145,$P$6:$P$205,"&lt;"&amp;P145,$X$6:$X$205,"&gt;0"),$X$6:$X$205,"&gt;0"),"")))</f>
        <v/>
      </c>
      <c r="Z145" s="67" t="str">
        <f aca="false">IF(OR(Y145="",X145=""),"",X145/Y145-1)</f>
        <v/>
      </c>
      <c r="AA145" s="68" t="str">
        <f aca="false">IF(OR(W145="",V145=""),"",W145-Q145*V145)</f>
        <v/>
      </c>
      <c r="AB145" s="69" t="str">
        <f aca="false">IF(AA145="","",IF(N(V145)*N(Q145)=0,"",AA145/(Q145*V145)))</f>
        <v/>
      </c>
      <c r="AC145" s="70"/>
      <c r="AD145" s="66" t="str">
        <f aca="false">IF(W145="","",W145*(1+N(AC145)))</f>
        <v/>
      </c>
      <c r="AE145" s="62"/>
      <c r="AF145" s="71"/>
      <c r="AG145" s="71"/>
      <c r="AH145" s="71"/>
      <c r="AI145" s="66" t="str">
        <f aca="false">IF(A145="","",N(AF145)+N(AG145)+N(AH145))</f>
        <v/>
      </c>
      <c r="AJ145" s="72" t="str">
        <f aca="false">IF(AD145="","",IF(N(AD145)=0,"",AI145/AD145))</f>
        <v/>
      </c>
      <c r="AK145" s="66" t="str">
        <f aca="false">IF(AD145="","",IF(AD145-AI145&lt;1,0,ROUND(AD145-AI145,2)))</f>
        <v/>
      </c>
      <c r="AL145" s="66" t="str">
        <f aca="false">IF(OR(O145="",AD145=""),"",MAX(0,ROUND(N(AI145)-(AD145-N(AW145)),0)))</f>
        <v/>
      </c>
      <c r="AM145" s="73" t="str">
        <f aca="false">IF(A145="","",IF(O145="","No PO Yet",IF(AI145=0,"Not Paid",IF(N(AJ145)&gt;=0.999,"Fully Paid",IF(N(AG145)+N(AH145)&gt;0,"Partially Paid","Initial / Advance Paid")))))</f>
        <v/>
      </c>
      <c r="AN145" s="61"/>
      <c r="AO145" s="61"/>
      <c r="AP145" s="74" t="str">
        <f aca="false">IF(AK145="","",IF(OR(N(AK145)=0,AO145=""),"",MAX(0,Settings!$B$4-AO145)))</f>
        <v/>
      </c>
      <c r="AQ145" s="73" t="str">
        <f aca="false">IF(AK145="","",IF(N(AK145)&lt;=0,"",IF(AO145="","No Due Date",IF(Settings!$B$4&lt;=AO145,"Not Yet Due",IF(Settings!$B$4-AO145&lt;=30,"1-30 Days",IF(Settings!$B$4-AO145&lt;=60,"31-60 Days",IF(Settings!$B$4-AO145&lt;=90,"61-90 Days","90+ Days")))))))</f>
        <v/>
      </c>
      <c r="AR145" s="61"/>
      <c r="AS145" s="61"/>
      <c r="AT145" s="63"/>
      <c r="AU145" s="72" t="str">
        <f aca="false">IF(Q145="","",IF(N(Q145)=0,"",N(AT145)/Q145))</f>
        <v/>
      </c>
      <c r="AV145" s="75" t="str">
        <f aca="false">IF(OR(A145="",O145="",Q145=""),"",MAX(0,Q145-N(AT145)))</f>
        <v/>
      </c>
      <c r="AW145" s="66" t="str">
        <f aca="false">IF(OR(AV145="",W145=""),"",IF(N(Q145)=0,0,AV145/Q145*AD145))</f>
        <v/>
      </c>
      <c r="AX145" s="76" t="str">
        <f aca="false">IF(A145="","",IF(O145="","No PO Yet",IF(Q145="","Order Qty Missing",IF(N(AT145)&gt;=Q145,IF(N(AT145)&gt;Q145,"All In-house (+"&amp;TEXT(N(AT145)-Q145,"#,##0")&amp;" "&amp;R145&amp;" excess)","All In-house"),IF(AY145&lt;&gt;"","Short Closed - "&amp;TEXT(AV145,"#,##0")&amp;" "&amp;R145&amp;" not received",IF(N(AT145)=0,"Not Started - "&amp;TEXT(AV145,"#,##0")&amp;" "&amp;R145&amp;" pending","Pending "&amp;TEXT(AV145,"#,##0")&amp;" "&amp;R145&amp;" ("&amp;TEXT(AU145,"0%")&amp;" received)"))))))</f>
        <v/>
      </c>
      <c r="AY145" s="61"/>
      <c r="AZ145" s="77" t="str">
        <f aca="false">IF(OR(B145="",J145=""),"",J145-B145)</f>
        <v/>
      </c>
      <c r="BA145" s="77" t="str">
        <f aca="false">IF(OR(J145="",P145=""),"",P145-J145)</f>
        <v/>
      </c>
      <c r="BB145" s="77" t="str">
        <f aca="false">IF(OR(P145="",AY145=""),"",AY145-P145)</f>
        <v/>
      </c>
      <c r="BC145" s="77" t="str">
        <f aca="false">IF(OR(B145="",AY145=""),"",AY145-B145)</f>
        <v/>
      </c>
      <c r="BD145" s="74" t="str">
        <f aca="false">IF(OR(AR145="",O145=""),"",MAX(0,IF(AY145="",Settings!$B$4,AY145)-AR145))</f>
        <v/>
      </c>
      <c r="BE145" s="73" t="str">
        <f aca="false">IF(OR(AY145="",AR145=""),"",IF(AND(AY145&lt;=AR145,N(AU145)&gt;=Settings!$B$6),"OTIF","Not OTIF"))</f>
        <v/>
      </c>
      <c r="BF145" s="60"/>
      <c r="BG145" s="62"/>
      <c r="BH145" s="78"/>
      <c r="BI145" s="76" t="str">
        <f aca="false">IF(A145="","",IF(K145="Rejected","Rejected",IF(K145&lt;&gt;"Approved","Awaiting Approval",IF(O145="","Approved - PO Pending",IF(AY145&lt;&gt;"",IF(N(AJ145)&gt;=0.999,"Closed","In-house Closed - Payment Due"),IF(AS145&lt;&gt;"","Receiving In-house","PO Issued - Awaiting Delivery"))))))</f>
        <v/>
      </c>
      <c r="BJ145" s="76" t="str">
        <f aca="false">IF(A145="","",IF(IF(AND(A145&lt;&gt;"",OR(B145="",C145="",E145="",F145="",H145="")),"PR info missing; ","")&amp;IF(AND(K145="Approved",OR(J145="",I145="")),"Approval ref/date missing; ","")&amp;IF(AND(O145&lt;&gt;"",K145&lt;&gt;"Approved"),"PO without approval; ","")&amp;IF(AND(O145&lt;&gt;"",OR(P145="",M145="",Q145="",S145="",T145="")),"PO details missing; ","")&amp;IF(AND(O145&lt;&gt;"",AR145=""),"Committed date missing; ","")&amp;IF(AND(ISNUMBER(J145),ISNUMBER(B145),N(J145)&lt;N(B145)),"Approval dated before PR; ","")&amp;IF(AND(ISNUMBER(P145),ISNUMBER(J145),N(P145)&lt;N(J145)),"PO dated before approval; ","")&amp;IF(AND(ISNUMBER(AY145),ISNUMBER(AS145),N(AY145)&lt;N(AS145)),"Close before in-house start; ","")&amp;IF(AND(AY145&lt;&gt;"",AS145=""),"In-house start date missing; ","")&amp;IF(AND(AY145&lt;&gt;"",AT145=""),"Qty received missing; ","")&amp;IF(AND(AY145&lt;&gt;"",BF145=""),"QC status missing; ","")&amp;IF(N(AT145)&gt;N(Q145)*1.05,"Received &gt; ordered +5%; ","")&amp;IF(AND(N(AI145)&gt;0,AE145=""),"Payment terms missing; ","")&amp;IF(N(AI145)&gt;N(AD145)+1,"Overpaid vs PO; ","")&amp;IF(AND(N(AK145)&gt;0,AY145&lt;&gt;"",AO145=""),"Payment due date missing; ","")="","OK",IF(AND(A145&lt;&gt;"",OR(B145="",C145="",E145="",F145="",H145="")),"PR info missing; ","")&amp;IF(AND(K145="Approved",OR(J145="",I145="")),"Approval ref/date missing; ","")&amp;IF(AND(O145&lt;&gt;"",K145&lt;&gt;"Approved"),"PO without approval; ","")&amp;IF(AND(O145&lt;&gt;"",OR(P145="",M145="",Q145="",S145="",T145="")),"PO details missing; ","")&amp;IF(AND(O145&lt;&gt;"",AR145=""),"Committed date missing; ","")&amp;IF(AND(ISNUMBER(J145),ISNUMBER(B145),N(J145)&lt;N(B145)),"Approval dated before PR; ","")&amp;IF(AND(ISNUMBER(P145),ISNUMBER(J145),N(P145)&lt;N(J145)),"PO dated before approval; ","")&amp;IF(AND(ISNUMBER(AY145),ISNUMBER(AS145),N(AY145)&lt;N(AS145)),"Close before in-house start; ","")&amp;IF(AND(AY145&lt;&gt;"",AS145=""),"In-house start date missing; ","")&amp;IF(AND(AY145&lt;&gt;"",AT145=""),"Qty received missing; ","")&amp;IF(AND(AY145&lt;&gt;"",BF145=""),"QC status missing; ","")&amp;IF(N(AT145)&gt;N(Q145)*1.05,"Received &gt; ordered +5%; ","")&amp;IF(AND(N(AI145)&gt;0,AE145=""),"Payment terms missing; ","")&amp;IF(N(AI145)&gt;N(AD145)+1,"Overpaid vs PO; ","")&amp;IF(AND(N(AK145)&gt;0,AY145&lt;&gt;"",AO145=""),"Payment due date missing; ","")))</f>
        <v/>
      </c>
      <c r="BK145" s="76" t="str">
        <f aca="false">IF(A145="","",IF(N(AP145)&gt;0,"Pay supplier: "&amp;N(AP145)&amp;" days overdue; ","")&amp;IF(AND(O145&lt;&gt;"",AY145="",N(BD145)&gt;0),"Expedite delivery: "&amp;N(BD145)&amp;" days late; ","")&amp;IF(AND(BI145="Awaiting Approval",ISNUMBER(B145),Settings!$B$4-N(B145)&gt;Settings!$B$19),"Get approval: PR waiting "&amp;(Settings!$B$4-N(B145))&amp;" days; ","")&amp;IF(AND(BI145="Approved - PO Pending",ISNUMBER(J145),Settings!$B$4-N(J145)&gt;Settings!$B$20),"Issue PO: approved "&amp;(Settings!$B$4-N(J145))&amp;" days ago; ","")&amp;IF(AND(OR(BI145="Awaiting Approval",BI145="Approved - PO Pending"),N(AB145)&gt;Settings!$B$7),"Negotiate price: "&amp;TEXT(AB145,"0%")&amp;" above budget; ","")&amp;IF(LEFT(AX145,12)="Short Closed","Short closed: claim balance / credit note"&amp;IF(N(AL145)&gt;0," BDT "&amp;TEXT(AL145,"#,##0"),"")&amp;"; ","")&amp;IF(BF145="Rejected","QC rejected: return / replace; ","")&amp;IF(AND(O145&lt;&gt;"",AY145="",N(AL145)&gt;0,N(BD145)&gt;0),"Advance at risk: BDT "&amp;TEXT(AL145,"#,##0")&amp;" paid, goods late; ","")&amp;IF(AND(BJ145&lt;&gt;"",BJ145&lt;&gt;"OK"),"Fix data entry (see Data Check); ",""))</f>
        <v/>
      </c>
      <c r="BL145" s="73" t="str">
        <f aca="false">IF(BK145="","",IF(OR(N(AP145)&gt;30,AND(AY145="",N(BD145)&gt;15),BF145="Rejected",AND(LEFT(AX145,12)="Short Closed",N(AL145)&gt;0),AND(O145&lt;&gt;"",AY145="",N(AL145)&gt;0,N(BD145)&gt;0)),"High",IF(OR(N(AP145)&gt;0,AND(AY145="",N(BD145)&gt;7),LEFT(AX145,12)="Short Closed",AND(BI145="Awaiting Approval",ISNUMBER(B145),Settings!$B$4-N(B145)&gt;2*Settings!$B$19),AND(BI145="Approved - PO Pending",ISNUMBER(J145),Settings!$B$4-N(J145)&gt;2*Settings!$B$20)),"Medium","Low")))</f>
        <v/>
      </c>
      <c r="BM145" s="77" t="str">
        <f aca="false">IF(BL145="","",IF(BL145="High",1,IF(BL145="Medium",2,3))*10000+ROW())</f>
        <v/>
      </c>
      <c r="BN145" s="62"/>
    </row>
    <row r="146" customFormat="false" ht="18" hidden="false" customHeight="true" outlineLevel="0" collapsed="false">
      <c r="A146" s="60"/>
      <c r="B146" s="61"/>
      <c r="C146" s="62"/>
      <c r="D146" s="62"/>
      <c r="E146" s="62"/>
      <c r="F146" s="62"/>
      <c r="G146" s="62"/>
      <c r="H146" s="60"/>
      <c r="I146" s="60"/>
      <c r="J146" s="61"/>
      <c r="K146" s="60"/>
      <c r="L146" s="60"/>
      <c r="M146" s="62"/>
      <c r="N146" s="60"/>
      <c r="O146" s="60"/>
      <c r="P146" s="61"/>
      <c r="Q146" s="63"/>
      <c r="R146" s="60"/>
      <c r="S146" s="64"/>
      <c r="T146" s="60"/>
      <c r="U146" s="65" t="str">
        <f aca="false">IF(AND(T146="",S146=""),"",IF(T146="",1,IFERROR(INDEX(Settings!$B$12:$B$16,MATCH(T146,Settings!$A$12:$A$16,0)),1)))</f>
        <v/>
      </c>
      <c r="V146" s="64"/>
      <c r="W146" s="66" t="str">
        <f aca="false">IF(OR(Q146="",S146=""),"",Q146*S146*U146)</f>
        <v/>
      </c>
      <c r="X146" s="65" t="str">
        <f aca="false">IF(OR(W146="",N(Q146)=0),"",W146/Q146)</f>
        <v/>
      </c>
      <c r="Y146" s="65" t="str">
        <f aca="false">IF(OR(X146="",P146="",E146=""),"",IF(_xlfn.MAXIFS($P$6:$P$205,$E$6:$E$205,E146,$P$6:$P$205,"&lt;"&amp;P146,$X$6:$X$205,"&gt;0")=0,"",IFERROR(AVERAGEIFS($X$6:$X$205,$E$6:$E$205,E146,$P$6:$P$205,_xlfn.MAXIFS($P$6:$P$205,$E$6:$E$205,E146,$P$6:$P$205,"&lt;"&amp;P146,$X$6:$X$205,"&gt;0"),$X$6:$X$205,"&gt;0"),"")))</f>
        <v/>
      </c>
      <c r="Z146" s="67" t="str">
        <f aca="false">IF(OR(Y146="",X146=""),"",X146/Y146-1)</f>
        <v/>
      </c>
      <c r="AA146" s="68" t="str">
        <f aca="false">IF(OR(W146="",V146=""),"",W146-Q146*V146)</f>
        <v/>
      </c>
      <c r="AB146" s="69" t="str">
        <f aca="false">IF(AA146="","",IF(N(V146)*N(Q146)=0,"",AA146/(Q146*V146)))</f>
        <v/>
      </c>
      <c r="AC146" s="70"/>
      <c r="AD146" s="66" t="str">
        <f aca="false">IF(W146="","",W146*(1+N(AC146)))</f>
        <v/>
      </c>
      <c r="AE146" s="62"/>
      <c r="AF146" s="71"/>
      <c r="AG146" s="71"/>
      <c r="AH146" s="71"/>
      <c r="AI146" s="66" t="str">
        <f aca="false">IF(A146="","",N(AF146)+N(AG146)+N(AH146))</f>
        <v/>
      </c>
      <c r="AJ146" s="72" t="str">
        <f aca="false">IF(AD146="","",IF(N(AD146)=0,"",AI146/AD146))</f>
        <v/>
      </c>
      <c r="AK146" s="66" t="str">
        <f aca="false">IF(AD146="","",IF(AD146-AI146&lt;1,0,ROUND(AD146-AI146,2)))</f>
        <v/>
      </c>
      <c r="AL146" s="66" t="str">
        <f aca="false">IF(OR(O146="",AD146=""),"",MAX(0,ROUND(N(AI146)-(AD146-N(AW146)),0)))</f>
        <v/>
      </c>
      <c r="AM146" s="73" t="str">
        <f aca="false">IF(A146="","",IF(O146="","No PO Yet",IF(AI146=0,"Not Paid",IF(N(AJ146)&gt;=0.999,"Fully Paid",IF(N(AG146)+N(AH146)&gt;0,"Partially Paid","Initial / Advance Paid")))))</f>
        <v/>
      </c>
      <c r="AN146" s="61"/>
      <c r="AO146" s="61"/>
      <c r="AP146" s="74" t="str">
        <f aca="false">IF(AK146="","",IF(OR(N(AK146)=0,AO146=""),"",MAX(0,Settings!$B$4-AO146)))</f>
        <v/>
      </c>
      <c r="AQ146" s="73" t="str">
        <f aca="false">IF(AK146="","",IF(N(AK146)&lt;=0,"",IF(AO146="","No Due Date",IF(Settings!$B$4&lt;=AO146,"Not Yet Due",IF(Settings!$B$4-AO146&lt;=30,"1-30 Days",IF(Settings!$B$4-AO146&lt;=60,"31-60 Days",IF(Settings!$B$4-AO146&lt;=90,"61-90 Days","90+ Days")))))))</f>
        <v/>
      </c>
      <c r="AR146" s="61"/>
      <c r="AS146" s="61"/>
      <c r="AT146" s="63"/>
      <c r="AU146" s="72" t="str">
        <f aca="false">IF(Q146="","",IF(N(Q146)=0,"",N(AT146)/Q146))</f>
        <v/>
      </c>
      <c r="AV146" s="75" t="str">
        <f aca="false">IF(OR(A146="",O146="",Q146=""),"",MAX(0,Q146-N(AT146)))</f>
        <v/>
      </c>
      <c r="AW146" s="66" t="str">
        <f aca="false">IF(OR(AV146="",W146=""),"",IF(N(Q146)=0,0,AV146/Q146*AD146))</f>
        <v/>
      </c>
      <c r="AX146" s="76" t="str">
        <f aca="false">IF(A146="","",IF(O146="","No PO Yet",IF(Q146="","Order Qty Missing",IF(N(AT146)&gt;=Q146,IF(N(AT146)&gt;Q146,"All In-house (+"&amp;TEXT(N(AT146)-Q146,"#,##0")&amp;" "&amp;R146&amp;" excess)","All In-house"),IF(AY146&lt;&gt;"","Short Closed - "&amp;TEXT(AV146,"#,##0")&amp;" "&amp;R146&amp;" not received",IF(N(AT146)=0,"Not Started - "&amp;TEXT(AV146,"#,##0")&amp;" "&amp;R146&amp;" pending","Pending "&amp;TEXT(AV146,"#,##0")&amp;" "&amp;R146&amp;" ("&amp;TEXT(AU146,"0%")&amp;" received)"))))))</f>
        <v/>
      </c>
      <c r="AY146" s="61"/>
      <c r="AZ146" s="77" t="str">
        <f aca="false">IF(OR(B146="",J146=""),"",J146-B146)</f>
        <v/>
      </c>
      <c r="BA146" s="77" t="str">
        <f aca="false">IF(OR(J146="",P146=""),"",P146-J146)</f>
        <v/>
      </c>
      <c r="BB146" s="77" t="str">
        <f aca="false">IF(OR(P146="",AY146=""),"",AY146-P146)</f>
        <v/>
      </c>
      <c r="BC146" s="77" t="str">
        <f aca="false">IF(OR(B146="",AY146=""),"",AY146-B146)</f>
        <v/>
      </c>
      <c r="BD146" s="74" t="str">
        <f aca="false">IF(OR(AR146="",O146=""),"",MAX(0,IF(AY146="",Settings!$B$4,AY146)-AR146))</f>
        <v/>
      </c>
      <c r="BE146" s="73" t="str">
        <f aca="false">IF(OR(AY146="",AR146=""),"",IF(AND(AY146&lt;=AR146,N(AU146)&gt;=Settings!$B$6),"OTIF","Not OTIF"))</f>
        <v/>
      </c>
      <c r="BF146" s="60"/>
      <c r="BG146" s="62"/>
      <c r="BH146" s="78"/>
      <c r="BI146" s="76" t="str">
        <f aca="false">IF(A146="","",IF(K146="Rejected","Rejected",IF(K146&lt;&gt;"Approved","Awaiting Approval",IF(O146="","Approved - PO Pending",IF(AY146&lt;&gt;"",IF(N(AJ146)&gt;=0.999,"Closed","In-house Closed - Payment Due"),IF(AS146&lt;&gt;"","Receiving In-house","PO Issued - Awaiting Delivery"))))))</f>
        <v/>
      </c>
      <c r="BJ146" s="76" t="str">
        <f aca="false">IF(A146="","",IF(IF(AND(A146&lt;&gt;"",OR(B146="",C146="",E146="",F146="",H146="")),"PR info missing; ","")&amp;IF(AND(K146="Approved",OR(J146="",I146="")),"Approval ref/date missing; ","")&amp;IF(AND(O146&lt;&gt;"",K146&lt;&gt;"Approved"),"PO without approval; ","")&amp;IF(AND(O146&lt;&gt;"",OR(P146="",M146="",Q146="",S146="",T146="")),"PO details missing; ","")&amp;IF(AND(O146&lt;&gt;"",AR146=""),"Committed date missing; ","")&amp;IF(AND(ISNUMBER(J146),ISNUMBER(B146),N(J146)&lt;N(B146)),"Approval dated before PR; ","")&amp;IF(AND(ISNUMBER(P146),ISNUMBER(J146),N(P146)&lt;N(J146)),"PO dated before approval; ","")&amp;IF(AND(ISNUMBER(AY146),ISNUMBER(AS146),N(AY146)&lt;N(AS146)),"Close before in-house start; ","")&amp;IF(AND(AY146&lt;&gt;"",AS146=""),"In-house start date missing; ","")&amp;IF(AND(AY146&lt;&gt;"",AT146=""),"Qty received missing; ","")&amp;IF(AND(AY146&lt;&gt;"",BF146=""),"QC status missing; ","")&amp;IF(N(AT146)&gt;N(Q146)*1.05,"Received &gt; ordered +5%; ","")&amp;IF(AND(N(AI146)&gt;0,AE146=""),"Payment terms missing; ","")&amp;IF(N(AI146)&gt;N(AD146)+1,"Overpaid vs PO; ","")&amp;IF(AND(N(AK146)&gt;0,AY146&lt;&gt;"",AO146=""),"Payment due date missing; ","")="","OK",IF(AND(A146&lt;&gt;"",OR(B146="",C146="",E146="",F146="",H146="")),"PR info missing; ","")&amp;IF(AND(K146="Approved",OR(J146="",I146="")),"Approval ref/date missing; ","")&amp;IF(AND(O146&lt;&gt;"",K146&lt;&gt;"Approved"),"PO without approval; ","")&amp;IF(AND(O146&lt;&gt;"",OR(P146="",M146="",Q146="",S146="",T146="")),"PO details missing; ","")&amp;IF(AND(O146&lt;&gt;"",AR146=""),"Committed date missing; ","")&amp;IF(AND(ISNUMBER(J146),ISNUMBER(B146),N(J146)&lt;N(B146)),"Approval dated before PR; ","")&amp;IF(AND(ISNUMBER(P146),ISNUMBER(J146),N(P146)&lt;N(J146)),"PO dated before approval; ","")&amp;IF(AND(ISNUMBER(AY146),ISNUMBER(AS146),N(AY146)&lt;N(AS146)),"Close before in-house start; ","")&amp;IF(AND(AY146&lt;&gt;"",AS146=""),"In-house start date missing; ","")&amp;IF(AND(AY146&lt;&gt;"",AT146=""),"Qty received missing; ","")&amp;IF(AND(AY146&lt;&gt;"",BF146=""),"QC status missing; ","")&amp;IF(N(AT146)&gt;N(Q146)*1.05,"Received &gt; ordered +5%; ","")&amp;IF(AND(N(AI146)&gt;0,AE146=""),"Payment terms missing; ","")&amp;IF(N(AI146)&gt;N(AD146)+1,"Overpaid vs PO; ","")&amp;IF(AND(N(AK146)&gt;0,AY146&lt;&gt;"",AO146=""),"Payment due date missing; ","")))</f>
        <v/>
      </c>
      <c r="BK146" s="76" t="str">
        <f aca="false">IF(A146="","",IF(N(AP146)&gt;0,"Pay supplier: "&amp;N(AP146)&amp;" days overdue; ","")&amp;IF(AND(O146&lt;&gt;"",AY146="",N(BD146)&gt;0),"Expedite delivery: "&amp;N(BD146)&amp;" days late; ","")&amp;IF(AND(BI146="Awaiting Approval",ISNUMBER(B146),Settings!$B$4-N(B146)&gt;Settings!$B$19),"Get approval: PR waiting "&amp;(Settings!$B$4-N(B146))&amp;" days; ","")&amp;IF(AND(BI146="Approved - PO Pending",ISNUMBER(J146),Settings!$B$4-N(J146)&gt;Settings!$B$20),"Issue PO: approved "&amp;(Settings!$B$4-N(J146))&amp;" days ago; ","")&amp;IF(AND(OR(BI146="Awaiting Approval",BI146="Approved - PO Pending"),N(AB146)&gt;Settings!$B$7),"Negotiate price: "&amp;TEXT(AB146,"0%")&amp;" above budget; ","")&amp;IF(LEFT(AX146,12)="Short Closed","Short closed: claim balance / credit note"&amp;IF(N(AL146)&gt;0," BDT "&amp;TEXT(AL146,"#,##0"),"")&amp;"; ","")&amp;IF(BF146="Rejected","QC rejected: return / replace; ","")&amp;IF(AND(O146&lt;&gt;"",AY146="",N(AL146)&gt;0,N(BD146)&gt;0),"Advance at risk: BDT "&amp;TEXT(AL146,"#,##0")&amp;" paid, goods late; ","")&amp;IF(AND(BJ146&lt;&gt;"",BJ146&lt;&gt;"OK"),"Fix data entry (see Data Check); ",""))</f>
        <v/>
      </c>
      <c r="BL146" s="73" t="str">
        <f aca="false">IF(BK146="","",IF(OR(N(AP146)&gt;30,AND(AY146="",N(BD146)&gt;15),BF146="Rejected",AND(LEFT(AX146,12)="Short Closed",N(AL146)&gt;0),AND(O146&lt;&gt;"",AY146="",N(AL146)&gt;0,N(BD146)&gt;0)),"High",IF(OR(N(AP146)&gt;0,AND(AY146="",N(BD146)&gt;7),LEFT(AX146,12)="Short Closed",AND(BI146="Awaiting Approval",ISNUMBER(B146),Settings!$B$4-N(B146)&gt;2*Settings!$B$19),AND(BI146="Approved - PO Pending",ISNUMBER(J146),Settings!$B$4-N(J146)&gt;2*Settings!$B$20)),"Medium","Low")))</f>
        <v/>
      </c>
      <c r="BM146" s="77" t="str">
        <f aca="false">IF(BL146="","",IF(BL146="High",1,IF(BL146="Medium",2,3))*10000+ROW())</f>
        <v/>
      </c>
      <c r="BN146" s="62"/>
    </row>
    <row r="147" customFormat="false" ht="18" hidden="false" customHeight="true" outlineLevel="0" collapsed="false">
      <c r="A147" s="60"/>
      <c r="B147" s="61"/>
      <c r="C147" s="62"/>
      <c r="D147" s="62"/>
      <c r="E147" s="62"/>
      <c r="F147" s="62"/>
      <c r="G147" s="62"/>
      <c r="H147" s="60"/>
      <c r="I147" s="60"/>
      <c r="J147" s="61"/>
      <c r="K147" s="60"/>
      <c r="L147" s="60"/>
      <c r="M147" s="62"/>
      <c r="N147" s="60"/>
      <c r="O147" s="60"/>
      <c r="P147" s="61"/>
      <c r="Q147" s="63"/>
      <c r="R147" s="60"/>
      <c r="S147" s="64"/>
      <c r="T147" s="60"/>
      <c r="U147" s="65" t="str">
        <f aca="false">IF(AND(T147="",S147=""),"",IF(T147="",1,IFERROR(INDEX(Settings!$B$12:$B$16,MATCH(T147,Settings!$A$12:$A$16,0)),1)))</f>
        <v/>
      </c>
      <c r="V147" s="64"/>
      <c r="W147" s="66" t="str">
        <f aca="false">IF(OR(Q147="",S147=""),"",Q147*S147*U147)</f>
        <v/>
      </c>
      <c r="X147" s="65" t="str">
        <f aca="false">IF(OR(W147="",N(Q147)=0),"",W147/Q147)</f>
        <v/>
      </c>
      <c r="Y147" s="65" t="str">
        <f aca="false">IF(OR(X147="",P147="",E147=""),"",IF(_xlfn.MAXIFS($P$6:$P$205,$E$6:$E$205,E147,$P$6:$P$205,"&lt;"&amp;P147,$X$6:$X$205,"&gt;0")=0,"",IFERROR(AVERAGEIFS($X$6:$X$205,$E$6:$E$205,E147,$P$6:$P$205,_xlfn.MAXIFS($P$6:$P$205,$E$6:$E$205,E147,$P$6:$P$205,"&lt;"&amp;P147,$X$6:$X$205,"&gt;0"),$X$6:$X$205,"&gt;0"),"")))</f>
        <v/>
      </c>
      <c r="Z147" s="67" t="str">
        <f aca="false">IF(OR(Y147="",X147=""),"",X147/Y147-1)</f>
        <v/>
      </c>
      <c r="AA147" s="68" t="str">
        <f aca="false">IF(OR(W147="",V147=""),"",W147-Q147*V147)</f>
        <v/>
      </c>
      <c r="AB147" s="69" t="str">
        <f aca="false">IF(AA147="","",IF(N(V147)*N(Q147)=0,"",AA147/(Q147*V147)))</f>
        <v/>
      </c>
      <c r="AC147" s="70"/>
      <c r="AD147" s="66" t="str">
        <f aca="false">IF(W147="","",W147*(1+N(AC147)))</f>
        <v/>
      </c>
      <c r="AE147" s="62"/>
      <c r="AF147" s="71"/>
      <c r="AG147" s="71"/>
      <c r="AH147" s="71"/>
      <c r="AI147" s="66" t="str">
        <f aca="false">IF(A147="","",N(AF147)+N(AG147)+N(AH147))</f>
        <v/>
      </c>
      <c r="AJ147" s="72" t="str">
        <f aca="false">IF(AD147="","",IF(N(AD147)=0,"",AI147/AD147))</f>
        <v/>
      </c>
      <c r="AK147" s="66" t="str">
        <f aca="false">IF(AD147="","",IF(AD147-AI147&lt;1,0,ROUND(AD147-AI147,2)))</f>
        <v/>
      </c>
      <c r="AL147" s="66" t="str">
        <f aca="false">IF(OR(O147="",AD147=""),"",MAX(0,ROUND(N(AI147)-(AD147-N(AW147)),0)))</f>
        <v/>
      </c>
      <c r="AM147" s="73" t="str">
        <f aca="false">IF(A147="","",IF(O147="","No PO Yet",IF(AI147=0,"Not Paid",IF(N(AJ147)&gt;=0.999,"Fully Paid",IF(N(AG147)+N(AH147)&gt;0,"Partially Paid","Initial / Advance Paid")))))</f>
        <v/>
      </c>
      <c r="AN147" s="61"/>
      <c r="AO147" s="61"/>
      <c r="AP147" s="74" t="str">
        <f aca="false">IF(AK147="","",IF(OR(N(AK147)=0,AO147=""),"",MAX(0,Settings!$B$4-AO147)))</f>
        <v/>
      </c>
      <c r="AQ147" s="73" t="str">
        <f aca="false">IF(AK147="","",IF(N(AK147)&lt;=0,"",IF(AO147="","No Due Date",IF(Settings!$B$4&lt;=AO147,"Not Yet Due",IF(Settings!$B$4-AO147&lt;=30,"1-30 Days",IF(Settings!$B$4-AO147&lt;=60,"31-60 Days",IF(Settings!$B$4-AO147&lt;=90,"61-90 Days","90+ Days")))))))</f>
        <v/>
      </c>
      <c r="AR147" s="61"/>
      <c r="AS147" s="61"/>
      <c r="AT147" s="63"/>
      <c r="AU147" s="72" t="str">
        <f aca="false">IF(Q147="","",IF(N(Q147)=0,"",N(AT147)/Q147))</f>
        <v/>
      </c>
      <c r="AV147" s="75" t="str">
        <f aca="false">IF(OR(A147="",O147="",Q147=""),"",MAX(0,Q147-N(AT147)))</f>
        <v/>
      </c>
      <c r="AW147" s="66" t="str">
        <f aca="false">IF(OR(AV147="",W147=""),"",IF(N(Q147)=0,0,AV147/Q147*AD147))</f>
        <v/>
      </c>
      <c r="AX147" s="76" t="str">
        <f aca="false">IF(A147="","",IF(O147="","No PO Yet",IF(Q147="","Order Qty Missing",IF(N(AT147)&gt;=Q147,IF(N(AT147)&gt;Q147,"All In-house (+"&amp;TEXT(N(AT147)-Q147,"#,##0")&amp;" "&amp;R147&amp;" excess)","All In-house"),IF(AY147&lt;&gt;"","Short Closed - "&amp;TEXT(AV147,"#,##0")&amp;" "&amp;R147&amp;" not received",IF(N(AT147)=0,"Not Started - "&amp;TEXT(AV147,"#,##0")&amp;" "&amp;R147&amp;" pending","Pending "&amp;TEXT(AV147,"#,##0")&amp;" "&amp;R147&amp;" ("&amp;TEXT(AU147,"0%")&amp;" received)"))))))</f>
        <v/>
      </c>
      <c r="AY147" s="61"/>
      <c r="AZ147" s="77" t="str">
        <f aca="false">IF(OR(B147="",J147=""),"",J147-B147)</f>
        <v/>
      </c>
      <c r="BA147" s="77" t="str">
        <f aca="false">IF(OR(J147="",P147=""),"",P147-J147)</f>
        <v/>
      </c>
      <c r="BB147" s="77" t="str">
        <f aca="false">IF(OR(P147="",AY147=""),"",AY147-P147)</f>
        <v/>
      </c>
      <c r="BC147" s="77" t="str">
        <f aca="false">IF(OR(B147="",AY147=""),"",AY147-B147)</f>
        <v/>
      </c>
      <c r="BD147" s="74" t="str">
        <f aca="false">IF(OR(AR147="",O147=""),"",MAX(0,IF(AY147="",Settings!$B$4,AY147)-AR147))</f>
        <v/>
      </c>
      <c r="BE147" s="73" t="str">
        <f aca="false">IF(OR(AY147="",AR147=""),"",IF(AND(AY147&lt;=AR147,N(AU147)&gt;=Settings!$B$6),"OTIF","Not OTIF"))</f>
        <v/>
      </c>
      <c r="BF147" s="60"/>
      <c r="BG147" s="62"/>
      <c r="BH147" s="78"/>
      <c r="BI147" s="76" t="str">
        <f aca="false">IF(A147="","",IF(K147="Rejected","Rejected",IF(K147&lt;&gt;"Approved","Awaiting Approval",IF(O147="","Approved - PO Pending",IF(AY147&lt;&gt;"",IF(N(AJ147)&gt;=0.999,"Closed","In-house Closed - Payment Due"),IF(AS147&lt;&gt;"","Receiving In-house","PO Issued - Awaiting Delivery"))))))</f>
        <v/>
      </c>
      <c r="BJ147" s="76" t="str">
        <f aca="false">IF(A147="","",IF(IF(AND(A147&lt;&gt;"",OR(B147="",C147="",E147="",F147="",H147="")),"PR info missing; ","")&amp;IF(AND(K147="Approved",OR(J147="",I147="")),"Approval ref/date missing; ","")&amp;IF(AND(O147&lt;&gt;"",K147&lt;&gt;"Approved"),"PO without approval; ","")&amp;IF(AND(O147&lt;&gt;"",OR(P147="",M147="",Q147="",S147="",T147="")),"PO details missing; ","")&amp;IF(AND(O147&lt;&gt;"",AR147=""),"Committed date missing; ","")&amp;IF(AND(ISNUMBER(J147),ISNUMBER(B147),N(J147)&lt;N(B147)),"Approval dated before PR; ","")&amp;IF(AND(ISNUMBER(P147),ISNUMBER(J147),N(P147)&lt;N(J147)),"PO dated before approval; ","")&amp;IF(AND(ISNUMBER(AY147),ISNUMBER(AS147),N(AY147)&lt;N(AS147)),"Close before in-house start; ","")&amp;IF(AND(AY147&lt;&gt;"",AS147=""),"In-house start date missing; ","")&amp;IF(AND(AY147&lt;&gt;"",AT147=""),"Qty received missing; ","")&amp;IF(AND(AY147&lt;&gt;"",BF147=""),"QC status missing; ","")&amp;IF(N(AT147)&gt;N(Q147)*1.05,"Received &gt; ordered +5%; ","")&amp;IF(AND(N(AI147)&gt;0,AE147=""),"Payment terms missing; ","")&amp;IF(N(AI147)&gt;N(AD147)+1,"Overpaid vs PO; ","")&amp;IF(AND(N(AK147)&gt;0,AY147&lt;&gt;"",AO147=""),"Payment due date missing; ","")="","OK",IF(AND(A147&lt;&gt;"",OR(B147="",C147="",E147="",F147="",H147="")),"PR info missing; ","")&amp;IF(AND(K147="Approved",OR(J147="",I147="")),"Approval ref/date missing; ","")&amp;IF(AND(O147&lt;&gt;"",K147&lt;&gt;"Approved"),"PO without approval; ","")&amp;IF(AND(O147&lt;&gt;"",OR(P147="",M147="",Q147="",S147="",T147="")),"PO details missing; ","")&amp;IF(AND(O147&lt;&gt;"",AR147=""),"Committed date missing; ","")&amp;IF(AND(ISNUMBER(J147),ISNUMBER(B147),N(J147)&lt;N(B147)),"Approval dated before PR; ","")&amp;IF(AND(ISNUMBER(P147),ISNUMBER(J147),N(P147)&lt;N(J147)),"PO dated before approval; ","")&amp;IF(AND(ISNUMBER(AY147),ISNUMBER(AS147),N(AY147)&lt;N(AS147)),"Close before in-house start; ","")&amp;IF(AND(AY147&lt;&gt;"",AS147=""),"In-house start date missing; ","")&amp;IF(AND(AY147&lt;&gt;"",AT147=""),"Qty received missing; ","")&amp;IF(AND(AY147&lt;&gt;"",BF147=""),"QC status missing; ","")&amp;IF(N(AT147)&gt;N(Q147)*1.05,"Received &gt; ordered +5%; ","")&amp;IF(AND(N(AI147)&gt;0,AE147=""),"Payment terms missing; ","")&amp;IF(N(AI147)&gt;N(AD147)+1,"Overpaid vs PO; ","")&amp;IF(AND(N(AK147)&gt;0,AY147&lt;&gt;"",AO147=""),"Payment due date missing; ","")))</f>
        <v/>
      </c>
      <c r="BK147" s="76" t="str">
        <f aca="false">IF(A147="","",IF(N(AP147)&gt;0,"Pay supplier: "&amp;N(AP147)&amp;" days overdue; ","")&amp;IF(AND(O147&lt;&gt;"",AY147="",N(BD147)&gt;0),"Expedite delivery: "&amp;N(BD147)&amp;" days late; ","")&amp;IF(AND(BI147="Awaiting Approval",ISNUMBER(B147),Settings!$B$4-N(B147)&gt;Settings!$B$19),"Get approval: PR waiting "&amp;(Settings!$B$4-N(B147))&amp;" days; ","")&amp;IF(AND(BI147="Approved - PO Pending",ISNUMBER(J147),Settings!$B$4-N(J147)&gt;Settings!$B$20),"Issue PO: approved "&amp;(Settings!$B$4-N(J147))&amp;" days ago; ","")&amp;IF(AND(OR(BI147="Awaiting Approval",BI147="Approved - PO Pending"),N(AB147)&gt;Settings!$B$7),"Negotiate price: "&amp;TEXT(AB147,"0%")&amp;" above budget; ","")&amp;IF(LEFT(AX147,12)="Short Closed","Short closed: claim balance / credit note"&amp;IF(N(AL147)&gt;0," BDT "&amp;TEXT(AL147,"#,##0"),"")&amp;"; ","")&amp;IF(BF147="Rejected","QC rejected: return / replace; ","")&amp;IF(AND(O147&lt;&gt;"",AY147="",N(AL147)&gt;0,N(BD147)&gt;0),"Advance at risk: BDT "&amp;TEXT(AL147,"#,##0")&amp;" paid, goods late; ","")&amp;IF(AND(BJ147&lt;&gt;"",BJ147&lt;&gt;"OK"),"Fix data entry (see Data Check); ",""))</f>
        <v/>
      </c>
      <c r="BL147" s="73" t="str">
        <f aca="false">IF(BK147="","",IF(OR(N(AP147)&gt;30,AND(AY147="",N(BD147)&gt;15),BF147="Rejected",AND(LEFT(AX147,12)="Short Closed",N(AL147)&gt;0),AND(O147&lt;&gt;"",AY147="",N(AL147)&gt;0,N(BD147)&gt;0)),"High",IF(OR(N(AP147)&gt;0,AND(AY147="",N(BD147)&gt;7),LEFT(AX147,12)="Short Closed",AND(BI147="Awaiting Approval",ISNUMBER(B147),Settings!$B$4-N(B147)&gt;2*Settings!$B$19),AND(BI147="Approved - PO Pending",ISNUMBER(J147),Settings!$B$4-N(J147)&gt;2*Settings!$B$20)),"Medium","Low")))</f>
        <v/>
      </c>
      <c r="BM147" s="77" t="str">
        <f aca="false">IF(BL147="","",IF(BL147="High",1,IF(BL147="Medium",2,3))*10000+ROW())</f>
        <v/>
      </c>
      <c r="BN147" s="62"/>
    </row>
    <row r="148" customFormat="false" ht="18" hidden="false" customHeight="true" outlineLevel="0" collapsed="false">
      <c r="A148" s="60"/>
      <c r="B148" s="61"/>
      <c r="C148" s="62"/>
      <c r="D148" s="62"/>
      <c r="E148" s="62"/>
      <c r="F148" s="62"/>
      <c r="G148" s="62"/>
      <c r="H148" s="60"/>
      <c r="I148" s="60"/>
      <c r="J148" s="61"/>
      <c r="K148" s="60"/>
      <c r="L148" s="60"/>
      <c r="M148" s="62"/>
      <c r="N148" s="60"/>
      <c r="O148" s="60"/>
      <c r="P148" s="61"/>
      <c r="Q148" s="63"/>
      <c r="R148" s="60"/>
      <c r="S148" s="64"/>
      <c r="T148" s="60"/>
      <c r="U148" s="65" t="str">
        <f aca="false">IF(AND(T148="",S148=""),"",IF(T148="",1,IFERROR(INDEX(Settings!$B$12:$B$16,MATCH(T148,Settings!$A$12:$A$16,0)),1)))</f>
        <v/>
      </c>
      <c r="V148" s="64"/>
      <c r="W148" s="66" t="str">
        <f aca="false">IF(OR(Q148="",S148=""),"",Q148*S148*U148)</f>
        <v/>
      </c>
      <c r="X148" s="65" t="str">
        <f aca="false">IF(OR(W148="",N(Q148)=0),"",W148/Q148)</f>
        <v/>
      </c>
      <c r="Y148" s="65" t="str">
        <f aca="false">IF(OR(X148="",P148="",E148=""),"",IF(_xlfn.MAXIFS($P$6:$P$205,$E$6:$E$205,E148,$P$6:$P$205,"&lt;"&amp;P148,$X$6:$X$205,"&gt;0")=0,"",IFERROR(AVERAGEIFS($X$6:$X$205,$E$6:$E$205,E148,$P$6:$P$205,_xlfn.MAXIFS($P$6:$P$205,$E$6:$E$205,E148,$P$6:$P$205,"&lt;"&amp;P148,$X$6:$X$205,"&gt;0"),$X$6:$X$205,"&gt;0"),"")))</f>
        <v/>
      </c>
      <c r="Z148" s="67" t="str">
        <f aca="false">IF(OR(Y148="",X148=""),"",X148/Y148-1)</f>
        <v/>
      </c>
      <c r="AA148" s="68" t="str">
        <f aca="false">IF(OR(W148="",V148=""),"",W148-Q148*V148)</f>
        <v/>
      </c>
      <c r="AB148" s="69" t="str">
        <f aca="false">IF(AA148="","",IF(N(V148)*N(Q148)=0,"",AA148/(Q148*V148)))</f>
        <v/>
      </c>
      <c r="AC148" s="70"/>
      <c r="AD148" s="66" t="str">
        <f aca="false">IF(W148="","",W148*(1+N(AC148)))</f>
        <v/>
      </c>
      <c r="AE148" s="62"/>
      <c r="AF148" s="71"/>
      <c r="AG148" s="71"/>
      <c r="AH148" s="71"/>
      <c r="AI148" s="66" t="str">
        <f aca="false">IF(A148="","",N(AF148)+N(AG148)+N(AH148))</f>
        <v/>
      </c>
      <c r="AJ148" s="72" t="str">
        <f aca="false">IF(AD148="","",IF(N(AD148)=0,"",AI148/AD148))</f>
        <v/>
      </c>
      <c r="AK148" s="66" t="str">
        <f aca="false">IF(AD148="","",IF(AD148-AI148&lt;1,0,ROUND(AD148-AI148,2)))</f>
        <v/>
      </c>
      <c r="AL148" s="66" t="str">
        <f aca="false">IF(OR(O148="",AD148=""),"",MAX(0,ROUND(N(AI148)-(AD148-N(AW148)),0)))</f>
        <v/>
      </c>
      <c r="AM148" s="73" t="str">
        <f aca="false">IF(A148="","",IF(O148="","No PO Yet",IF(AI148=0,"Not Paid",IF(N(AJ148)&gt;=0.999,"Fully Paid",IF(N(AG148)+N(AH148)&gt;0,"Partially Paid","Initial / Advance Paid")))))</f>
        <v/>
      </c>
      <c r="AN148" s="61"/>
      <c r="AO148" s="61"/>
      <c r="AP148" s="74" t="str">
        <f aca="false">IF(AK148="","",IF(OR(N(AK148)=0,AO148=""),"",MAX(0,Settings!$B$4-AO148)))</f>
        <v/>
      </c>
      <c r="AQ148" s="73" t="str">
        <f aca="false">IF(AK148="","",IF(N(AK148)&lt;=0,"",IF(AO148="","No Due Date",IF(Settings!$B$4&lt;=AO148,"Not Yet Due",IF(Settings!$B$4-AO148&lt;=30,"1-30 Days",IF(Settings!$B$4-AO148&lt;=60,"31-60 Days",IF(Settings!$B$4-AO148&lt;=90,"61-90 Days","90+ Days")))))))</f>
        <v/>
      </c>
      <c r="AR148" s="61"/>
      <c r="AS148" s="61"/>
      <c r="AT148" s="63"/>
      <c r="AU148" s="72" t="str">
        <f aca="false">IF(Q148="","",IF(N(Q148)=0,"",N(AT148)/Q148))</f>
        <v/>
      </c>
      <c r="AV148" s="75" t="str">
        <f aca="false">IF(OR(A148="",O148="",Q148=""),"",MAX(0,Q148-N(AT148)))</f>
        <v/>
      </c>
      <c r="AW148" s="66" t="str">
        <f aca="false">IF(OR(AV148="",W148=""),"",IF(N(Q148)=0,0,AV148/Q148*AD148))</f>
        <v/>
      </c>
      <c r="AX148" s="76" t="str">
        <f aca="false">IF(A148="","",IF(O148="","No PO Yet",IF(Q148="","Order Qty Missing",IF(N(AT148)&gt;=Q148,IF(N(AT148)&gt;Q148,"All In-house (+"&amp;TEXT(N(AT148)-Q148,"#,##0")&amp;" "&amp;R148&amp;" excess)","All In-house"),IF(AY148&lt;&gt;"","Short Closed - "&amp;TEXT(AV148,"#,##0")&amp;" "&amp;R148&amp;" not received",IF(N(AT148)=0,"Not Started - "&amp;TEXT(AV148,"#,##0")&amp;" "&amp;R148&amp;" pending","Pending "&amp;TEXT(AV148,"#,##0")&amp;" "&amp;R148&amp;" ("&amp;TEXT(AU148,"0%")&amp;" received)"))))))</f>
        <v/>
      </c>
      <c r="AY148" s="61"/>
      <c r="AZ148" s="77" t="str">
        <f aca="false">IF(OR(B148="",J148=""),"",J148-B148)</f>
        <v/>
      </c>
      <c r="BA148" s="77" t="str">
        <f aca="false">IF(OR(J148="",P148=""),"",P148-J148)</f>
        <v/>
      </c>
      <c r="BB148" s="77" t="str">
        <f aca="false">IF(OR(P148="",AY148=""),"",AY148-P148)</f>
        <v/>
      </c>
      <c r="BC148" s="77" t="str">
        <f aca="false">IF(OR(B148="",AY148=""),"",AY148-B148)</f>
        <v/>
      </c>
      <c r="BD148" s="74" t="str">
        <f aca="false">IF(OR(AR148="",O148=""),"",MAX(0,IF(AY148="",Settings!$B$4,AY148)-AR148))</f>
        <v/>
      </c>
      <c r="BE148" s="73" t="str">
        <f aca="false">IF(OR(AY148="",AR148=""),"",IF(AND(AY148&lt;=AR148,N(AU148)&gt;=Settings!$B$6),"OTIF","Not OTIF"))</f>
        <v/>
      </c>
      <c r="BF148" s="60"/>
      <c r="BG148" s="62"/>
      <c r="BH148" s="78"/>
      <c r="BI148" s="76" t="str">
        <f aca="false">IF(A148="","",IF(K148="Rejected","Rejected",IF(K148&lt;&gt;"Approved","Awaiting Approval",IF(O148="","Approved - PO Pending",IF(AY148&lt;&gt;"",IF(N(AJ148)&gt;=0.999,"Closed","In-house Closed - Payment Due"),IF(AS148&lt;&gt;"","Receiving In-house","PO Issued - Awaiting Delivery"))))))</f>
        <v/>
      </c>
      <c r="BJ148" s="76" t="str">
        <f aca="false">IF(A148="","",IF(IF(AND(A148&lt;&gt;"",OR(B148="",C148="",E148="",F148="",H148="")),"PR info missing; ","")&amp;IF(AND(K148="Approved",OR(J148="",I148="")),"Approval ref/date missing; ","")&amp;IF(AND(O148&lt;&gt;"",K148&lt;&gt;"Approved"),"PO without approval; ","")&amp;IF(AND(O148&lt;&gt;"",OR(P148="",M148="",Q148="",S148="",T148="")),"PO details missing; ","")&amp;IF(AND(O148&lt;&gt;"",AR148=""),"Committed date missing; ","")&amp;IF(AND(ISNUMBER(J148),ISNUMBER(B148),N(J148)&lt;N(B148)),"Approval dated before PR; ","")&amp;IF(AND(ISNUMBER(P148),ISNUMBER(J148),N(P148)&lt;N(J148)),"PO dated before approval; ","")&amp;IF(AND(ISNUMBER(AY148),ISNUMBER(AS148),N(AY148)&lt;N(AS148)),"Close before in-house start; ","")&amp;IF(AND(AY148&lt;&gt;"",AS148=""),"In-house start date missing; ","")&amp;IF(AND(AY148&lt;&gt;"",AT148=""),"Qty received missing; ","")&amp;IF(AND(AY148&lt;&gt;"",BF148=""),"QC status missing; ","")&amp;IF(N(AT148)&gt;N(Q148)*1.05,"Received &gt; ordered +5%; ","")&amp;IF(AND(N(AI148)&gt;0,AE148=""),"Payment terms missing; ","")&amp;IF(N(AI148)&gt;N(AD148)+1,"Overpaid vs PO; ","")&amp;IF(AND(N(AK148)&gt;0,AY148&lt;&gt;"",AO148=""),"Payment due date missing; ","")="","OK",IF(AND(A148&lt;&gt;"",OR(B148="",C148="",E148="",F148="",H148="")),"PR info missing; ","")&amp;IF(AND(K148="Approved",OR(J148="",I148="")),"Approval ref/date missing; ","")&amp;IF(AND(O148&lt;&gt;"",K148&lt;&gt;"Approved"),"PO without approval; ","")&amp;IF(AND(O148&lt;&gt;"",OR(P148="",M148="",Q148="",S148="",T148="")),"PO details missing; ","")&amp;IF(AND(O148&lt;&gt;"",AR148=""),"Committed date missing; ","")&amp;IF(AND(ISNUMBER(J148),ISNUMBER(B148),N(J148)&lt;N(B148)),"Approval dated before PR; ","")&amp;IF(AND(ISNUMBER(P148),ISNUMBER(J148),N(P148)&lt;N(J148)),"PO dated before approval; ","")&amp;IF(AND(ISNUMBER(AY148),ISNUMBER(AS148),N(AY148)&lt;N(AS148)),"Close before in-house start; ","")&amp;IF(AND(AY148&lt;&gt;"",AS148=""),"In-house start date missing; ","")&amp;IF(AND(AY148&lt;&gt;"",AT148=""),"Qty received missing; ","")&amp;IF(AND(AY148&lt;&gt;"",BF148=""),"QC status missing; ","")&amp;IF(N(AT148)&gt;N(Q148)*1.05,"Received &gt; ordered +5%; ","")&amp;IF(AND(N(AI148)&gt;0,AE148=""),"Payment terms missing; ","")&amp;IF(N(AI148)&gt;N(AD148)+1,"Overpaid vs PO; ","")&amp;IF(AND(N(AK148)&gt;0,AY148&lt;&gt;"",AO148=""),"Payment due date missing; ","")))</f>
        <v/>
      </c>
      <c r="BK148" s="76" t="str">
        <f aca="false">IF(A148="","",IF(N(AP148)&gt;0,"Pay supplier: "&amp;N(AP148)&amp;" days overdue; ","")&amp;IF(AND(O148&lt;&gt;"",AY148="",N(BD148)&gt;0),"Expedite delivery: "&amp;N(BD148)&amp;" days late; ","")&amp;IF(AND(BI148="Awaiting Approval",ISNUMBER(B148),Settings!$B$4-N(B148)&gt;Settings!$B$19),"Get approval: PR waiting "&amp;(Settings!$B$4-N(B148))&amp;" days; ","")&amp;IF(AND(BI148="Approved - PO Pending",ISNUMBER(J148),Settings!$B$4-N(J148)&gt;Settings!$B$20),"Issue PO: approved "&amp;(Settings!$B$4-N(J148))&amp;" days ago; ","")&amp;IF(AND(OR(BI148="Awaiting Approval",BI148="Approved - PO Pending"),N(AB148)&gt;Settings!$B$7),"Negotiate price: "&amp;TEXT(AB148,"0%")&amp;" above budget; ","")&amp;IF(LEFT(AX148,12)="Short Closed","Short closed: claim balance / credit note"&amp;IF(N(AL148)&gt;0," BDT "&amp;TEXT(AL148,"#,##0"),"")&amp;"; ","")&amp;IF(BF148="Rejected","QC rejected: return / replace; ","")&amp;IF(AND(O148&lt;&gt;"",AY148="",N(AL148)&gt;0,N(BD148)&gt;0),"Advance at risk: BDT "&amp;TEXT(AL148,"#,##0")&amp;" paid, goods late; ","")&amp;IF(AND(BJ148&lt;&gt;"",BJ148&lt;&gt;"OK"),"Fix data entry (see Data Check); ",""))</f>
        <v/>
      </c>
      <c r="BL148" s="73" t="str">
        <f aca="false">IF(BK148="","",IF(OR(N(AP148)&gt;30,AND(AY148="",N(BD148)&gt;15),BF148="Rejected",AND(LEFT(AX148,12)="Short Closed",N(AL148)&gt;0),AND(O148&lt;&gt;"",AY148="",N(AL148)&gt;0,N(BD148)&gt;0)),"High",IF(OR(N(AP148)&gt;0,AND(AY148="",N(BD148)&gt;7),LEFT(AX148,12)="Short Closed",AND(BI148="Awaiting Approval",ISNUMBER(B148),Settings!$B$4-N(B148)&gt;2*Settings!$B$19),AND(BI148="Approved - PO Pending",ISNUMBER(J148),Settings!$B$4-N(J148)&gt;2*Settings!$B$20)),"Medium","Low")))</f>
        <v/>
      </c>
      <c r="BM148" s="77" t="str">
        <f aca="false">IF(BL148="","",IF(BL148="High",1,IF(BL148="Medium",2,3))*10000+ROW())</f>
        <v/>
      </c>
      <c r="BN148" s="62"/>
    </row>
    <row r="149" customFormat="false" ht="18" hidden="false" customHeight="true" outlineLevel="0" collapsed="false">
      <c r="A149" s="60"/>
      <c r="B149" s="61"/>
      <c r="C149" s="62"/>
      <c r="D149" s="62"/>
      <c r="E149" s="62"/>
      <c r="F149" s="62"/>
      <c r="G149" s="62"/>
      <c r="H149" s="60"/>
      <c r="I149" s="60"/>
      <c r="J149" s="61"/>
      <c r="K149" s="60"/>
      <c r="L149" s="60"/>
      <c r="M149" s="62"/>
      <c r="N149" s="60"/>
      <c r="O149" s="60"/>
      <c r="P149" s="61"/>
      <c r="Q149" s="63"/>
      <c r="R149" s="60"/>
      <c r="S149" s="64"/>
      <c r="T149" s="60"/>
      <c r="U149" s="65" t="str">
        <f aca="false">IF(AND(T149="",S149=""),"",IF(T149="",1,IFERROR(INDEX(Settings!$B$12:$B$16,MATCH(T149,Settings!$A$12:$A$16,0)),1)))</f>
        <v/>
      </c>
      <c r="V149" s="64"/>
      <c r="W149" s="66" t="str">
        <f aca="false">IF(OR(Q149="",S149=""),"",Q149*S149*U149)</f>
        <v/>
      </c>
      <c r="X149" s="65" t="str">
        <f aca="false">IF(OR(W149="",N(Q149)=0),"",W149/Q149)</f>
        <v/>
      </c>
      <c r="Y149" s="65" t="str">
        <f aca="false">IF(OR(X149="",P149="",E149=""),"",IF(_xlfn.MAXIFS($P$6:$P$205,$E$6:$E$205,E149,$P$6:$P$205,"&lt;"&amp;P149,$X$6:$X$205,"&gt;0")=0,"",IFERROR(AVERAGEIFS($X$6:$X$205,$E$6:$E$205,E149,$P$6:$P$205,_xlfn.MAXIFS($P$6:$P$205,$E$6:$E$205,E149,$P$6:$P$205,"&lt;"&amp;P149,$X$6:$X$205,"&gt;0"),$X$6:$X$205,"&gt;0"),"")))</f>
        <v/>
      </c>
      <c r="Z149" s="67" t="str">
        <f aca="false">IF(OR(Y149="",X149=""),"",X149/Y149-1)</f>
        <v/>
      </c>
      <c r="AA149" s="68" t="str">
        <f aca="false">IF(OR(W149="",V149=""),"",W149-Q149*V149)</f>
        <v/>
      </c>
      <c r="AB149" s="69" t="str">
        <f aca="false">IF(AA149="","",IF(N(V149)*N(Q149)=0,"",AA149/(Q149*V149)))</f>
        <v/>
      </c>
      <c r="AC149" s="70"/>
      <c r="AD149" s="66" t="str">
        <f aca="false">IF(W149="","",W149*(1+N(AC149)))</f>
        <v/>
      </c>
      <c r="AE149" s="62"/>
      <c r="AF149" s="71"/>
      <c r="AG149" s="71"/>
      <c r="AH149" s="71"/>
      <c r="AI149" s="66" t="str">
        <f aca="false">IF(A149="","",N(AF149)+N(AG149)+N(AH149))</f>
        <v/>
      </c>
      <c r="AJ149" s="72" t="str">
        <f aca="false">IF(AD149="","",IF(N(AD149)=0,"",AI149/AD149))</f>
        <v/>
      </c>
      <c r="AK149" s="66" t="str">
        <f aca="false">IF(AD149="","",IF(AD149-AI149&lt;1,0,ROUND(AD149-AI149,2)))</f>
        <v/>
      </c>
      <c r="AL149" s="66" t="str">
        <f aca="false">IF(OR(O149="",AD149=""),"",MAX(0,ROUND(N(AI149)-(AD149-N(AW149)),0)))</f>
        <v/>
      </c>
      <c r="AM149" s="73" t="str">
        <f aca="false">IF(A149="","",IF(O149="","No PO Yet",IF(AI149=0,"Not Paid",IF(N(AJ149)&gt;=0.999,"Fully Paid",IF(N(AG149)+N(AH149)&gt;0,"Partially Paid","Initial / Advance Paid")))))</f>
        <v/>
      </c>
      <c r="AN149" s="61"/>
      <c r="AO149" s="61"/>
      <c r="AP149" s="74" t="str">
        <f aca="false">IF(AK149="","",IF(OR(N(AK149)=0,AO149=""),"",MAX(0,Settings!$B$4-AO149)))</f>
        <v/>
      </c>
      <c r="AQ149" s="73" t="str">
        <f aca="false">IF(AK149="","",IF(N(AK149)&lt;=0,"",IF(AO149="","No Due Date",IF(Settings!$B$4&lt;=AO149,"Not Yet Due",IF(Settings!$B$4-AO149&lt;=30,"1-30 Days",IF(Settings!$B$4-AO149&lt;=60,"31-60 Days",IF(Settings!$B$4-AO149&lt;=90,"61-90 Days","90+ Days")))))))</f>
        <v/>
      </c>
      <c r="AR149" s="61"/>
      <c r="AS149" s="61"/>
      <c r="AT149" s="63"/>
      <c r="AU149" s="72" t="str">
        <f aca="false">IF(Q149="","",IF(N(Q149)=0,"",N(AT149)/Q149))</f>
        <v/>
      </c>
      <c r="AV149" s="75" t="str">
        <f aca="false">IF(OR(A149="",O149="",Q149=""),"",MAX(0,Q149-N(AT149)))</f>
        <v/>
      </c>
      <c r="AW149" s="66" t="str">
        <f aca="false">IF(OR(AV149="",W149=""),"",IF(N(Q149)=0,0,AV149/Q149*AD149))</f>
        <v/>
      </c>
      <c r="AX149" s="76" t="str">
        <f aca="false">IF(A149="","",IF(O149="","No PO Yet",IF(Q149="","Order Qty Missing",IF(N(AT149)&gt;=Q149,IF(N(AT149)&gt;Q149,"All In-house (+"&amp;TEXT(N(AT149)-Q149,"#,##0")&amp;" "&amp;R149&amp;" excess)","All In-house"),IF(AY149&lt;&gt;"","Short Closed - "&amp;TEXT(AV149,"#,##0")&amp;" "&amp;R149&amp;" not received",IF(N(AT149)=0,"Not Started - "&amp;TEXT(AV149,"#,##0")&amp;" "&amp;R149&amp;" pending","Pending "&amp;TEXT(AV149,"#,##0")&amp;" "&amp;R149&amp;" ("&amp;TEXT(AU149,"0%")&amp;" received)"))))))</f>
        <v/>
      </c>
      <c r="AY149" s="61"/>
      <c r="AZ149" s="77" t="str">
        <f aca="false">IF(OR(B149="",J149=""),"",J149-B149)</f>
        <v/>
      </c>
      <c r="BA149" s="77" t="str">
        <f aca="false">IF(OR(J149="",P149=""),"",P149-J149)</f>
        <v/>
      </c>
      <c r="BB149" s="77" t="str">
        <f aca="false">IF(OR(P149="",AY149=""),"",AY149-P149)</f>
        <v/>
      </c>
      <c r="BC149" s="77" t="str">
        <f aca="false">IF(OR(B149="",AY149=""),"",AY149-B149)</f>
        <v/>
      </c>
      <c r="BD149" s="74" t="str">
        <f aca="false">IF(OR(AR149="",O149=""),"",MAX(0,IF(AY149="",Settings!$B$4,AY149)-AR149))</f>
        <v/>
      </c>
      <c r="BE149" s="73" t="str">
        <f aca="false">IF(OR(AY149="",AR149=""),"",IF(AND(AY149&lt;=AR149,N(AU149)&gt;=Settings!$B$6),"OTIF","Not OTIF"))</f>
        <v/>
      </c>
      <c r="BF149" s="60"/>
      <c r="BG149" s="62"/>
      <c r="BH149" s="78"/>
      <c r="BI149" s="76" t="str">
        <f aca="false">IF(A149="","",IF(K149="Rejected","Rejected",IF(K149&lt;&gt;"Approved","Awaiting Approval",IF(O149="","Approved - PO Pending",IF(AY149&lt;&gt;"",IF(N(AJ149)&gt;=0.999,"Closed","In-house Closed - Payment Due"),IF(AS149&lt;&gt;"","Receiving In-house","PO Issued - Awaiting Delivery"))))))</f>
        <v/>
      </c>
      <c r="BJ149" s="76" t="str">
        <f aca="false">IF(A149="","",IF(IF(AND(A149&lt;&gt;"",OR(B149="",C149="",E149="",F149="",H149="")),"PR info missing; ","")&amp;IF(AND(K149="Approved",OR(J149="",I149="")),"Approval ref/date missing; ","")&amp;IF(AND(O149&lt;&gt;"",K149&lt;&gt;"Approved"),"PO without approval; ","")&amp;IF(AND(O149&lt;&gt;"",OR(P149="",M149="",Q149="",S149="",T149="")),"PO details missing; ","")&amp;IF(AND(O149&lt;&gt;"",AR149=""),"Committed date missing; ","")&amp;IF(AND(ISNUMBER(J149),ISNUMBER(B149),N(J149)&lt;N(B149)),"Approval dated before PR; ","")&amp;IF(AND(ISNUMBER(P149),ISNUMBER(J149),N(P149)&lt;N(J149)),"PO dated before approval; ","")&amp;IF(AND(ISNUMBER(AY149),ISNUMBER(AS149),N(AY149)&lt;N(AS149)),"Close before in-house start; ","")&amp;IF(AND(AY149&lt;&gt;"",AS149=""),"In-house start date missing; ","")&amp;IF(AND(AY149&lt;&gt;"",AT149=""),"Qty received missing; ","")&amp;IF(AND(AY149&lt;&gt;"",BF149=""),"QC status missing; ","")&amp;IF(N(AT149)&gt;N(Q149)*1.05,"Received &gt; ordered +5%; ","")&amp;IF(AND(N(AI149)&gt;0,AE149=""),"Payment terms missing; ","")&amp;IF(N(AI149)&gt;N(AD149)+1,"Overpaid vs PO; ","")&amp;IF(AND(N(AK149)&gt;0,AY149&lt;&gt;"",AO149=""),"Payment due date missing; ","")="","OK",IF(AND(A149&lt;&gt;"",OR(B149="",C149="",E149="",F149="",H149="")),"PR info missing; ","")&amp;IF(AND(K149="Approved",OR(J149="",I149="")),"Approval ref/date missing; ","")&amp;IF(AND(O149&lt;&gt;"",K149&lt;&gt;"Approved"),"PO without approval; ","")&amp;IF(AND(O149&lt;&gt;"",OR(P149="",M149="",Q149="",S149="",T149="")),"PO details missing; ","")&amp;IF(AND(O149&lt;&gt;"",AR149=""),"Committed date missing; ","")&amp;IF(AND(ISNUMBER(J149),ISNUMBER(B149),N(J149)&lt;N(B149)),"Approval dated before PR; ","")&amp;IF(AND(ISNUMBER(P149),ISNUMBER(J149),N(P149)&lt;N(J149)),"PO dated before approval; ","")&amp;IF(AND(ISNUMBER(AY149),ISNUMBER(AS149),N(AY149)&lt;N(AS149)),"Close before in-house start; ","")&amp;IF(AND(AY149&lt;&gt;"",AS149=""),"In-house start date missing; ","")&amp;IF(AND(AY149&lt;&gt;"",AT149=""),"Qty received missing; ","")&amp;IF(AND(AY149&lt;&gt;"",BF149=""),"QC status missing; ","")&amp;IF(N(AT149)&gt;N(Q149)*1.05,"Received &gt; ordered +5%; ","")&amp;IF(AND(N(AI149)&gt;0,AE149=""),"Payment terms missing; ","")&amp;IF(N(AI149)&gt;N(AD149)+1,"Overpaid vs PO; ","")&amp;IF(AND(N(AK149)&gt;0,AY149&lt;&gt;"",AO149=""),"Payment due date missing; ","")))</f>
        <v/>
      </c>
      <c r="BK149" s="76" t="str">
        <f aca="false">IF(A149="","",IF(N(AP149)&gt;0,"Pay supplier: "&amp;N(AP149)&amp;" days overdue; ","")&amp;IF(AND(O149&lt;&gt;"",AY149="",N(BD149)&gt;0),"Expedite delivery: "&amp;N(BD149)&amp;" days late; ","")&amp;IF(AND(BI149="Awaiting Approval",ISNUMBER(B149),Settings!$B$4-N(B149)&gt;Settings!$B$19),"Get approval: PR waiting "&amp;(Settings!$B$4-N(B149))&amp;" days; ","")&amp;IF(AND(BI149="Approved - PO Pending",ISNUMBER(J149),Settings!$B$4-N(J149)&gt;Settings!$B$20),"Issue PO: approved "&amp;(Settings!$B$4-N(J149))&amp;" days ago; ","")&amp;IF(AND(OR(BI149="Awaiting Approval",BI149="Approved - PO Pending"),N(AB149)&gt;Settings!$B$7),"Negotiate price: "&amp;TEXT(AB149,"0%")&amp;" above budget; ","")&amp;IF(LEFT(AX149,12)="Short Closed","Short closed: claim balance / credit note"&amp;IF(N(AL149)&gt;0," BDT "&amp;TEXT(AL149,"#,##0"),"")&amp;"; ","")&amp;IF(BF149="Rejected","QC rejected: return / replace; ","")&amp;IF(AND(O149&lt;&gt;"",AY149="",N(AL149)&gt;0,N(BD149)&gt;0),"Advance at risk: BDT "&amp;TEXT(AL149,"#,##0")&amp;" paid, goods late; ","")&amp;IF(AND(BJ149&lt;&gt;"",BJ149&lt;&gt;"OK"),"Fix data entry (see Data Check); ",""))</f>
        <v/>
      </c>
      <c r="BL149" s="73" t="str">
        <f aca="false">IF(BK149="","",IF(OR(N(AP149)&gt;30,AND(AY149="",N(BD149)&gt;15),BF149="Rejected",AND(LEFT(AX149,12)="Short Closed",N(AL149)&gt;0),AND(O149&lt;&gt;"",AY149="",N(AL149)&gt;0,N(BD149)&gt;0)),"High",IF(OR(N(AP149)&gt;0,AND(AY149="",N(BD149)&gt;7),LEFT(AX149,12)="Short Closed",AND(BI149="Awaiting Approval",ISNUMBER(B149),Settings!$B$4-N(B149)&gt;2*Settings!$B$19),AND(BI149="Approved - PO Pending",ISNUMBER(J149),Settings!$B$4-N(J149)&gt;2*Settings!$B$20)),"Medium","Low")))</f>
        <v/>
      </c>
      <c r="BM149" s="77" t="str">
        <f aca="false">IF(BL149="","",IF(BL149="High",1,IF(BL149="Medium",2,3))*10000+ROW())</f>
        <v/>
      </c>
      <c r="BN149" s="62"/>
    </row>
    <row r="150" customFormat="false" ht="18" hidden="false" customHeight="true" outlineLevel="0" collapsed="false">
      <c r="A150" s="60"/>
      <c r="B150" s="61"/>
      <c r="C150" s="62"/>
      <c r="D150" s="62"/>
      <c r="E150" s="62"/>
      <c r="F150" s="62"/>
      <c r="G150" s="62"/>
      <c r="H150" s="60"/>
      <c r="I150" s="60"/>
      <c r="J150" s="61"/>
      <c r="K150" s="60"/>
      <c r="L150" s="60"/>
      <c r="M150" s="62"/>
      <c r="N150" s="60"/>
      <c r="O150" s="60"/>
      <c r="P150" s="61"/>
      <c r="Q150" s="63"/>
      <c r="R150" s="60"/>
      <c r="S150" s="64"/>
      <c r="T150" s="60"/>
      <c r="U150" s="65" t="str">
        <f aca="false">IF(AND(T150="",S150=""),"",IF(T150="",1,IFERROR(INDEX(Settings!$B$12:$B$16,MATCH(T150,Settings!$A$12:$A$16,0)),1)))</f>
        <v/>
      </c>
      <c r="V150" s="64"/>
      <c r="W150" s="66" t="str">
        <f aca="false">IF(OR(Q150="",S150=""),"",Q150*S150*U150)</f>
        <v/>
      </c>
      <c r="X150" s="65" t="str">
        <f aca="false">IF(OR(W150="",N(Q150)=0),"",W150/Q150)</f>
        <v/>
      </c>
      <c r="Y150" s="65" t="str">
        <f aca="false">IF(OR(X150="",P150="",E150=""),"",IF(_xlfn.MAXIFS($P$6:$P$205,$E$6:$E$205,E150,$P$6:$P$205,"&lt;"&amp;P150,$X$6:$X$205,"&gt;0")=0,"",IFERROR(AVERAGEIFS($X$6:$X$205,$E$6:$E$205,E150,$P$6:$P$205,_xlfn.MAXIFS($P$6:$P$205,$E$6:$E$205,E150,$P$6:$P$205,"&lt;"&amp;P150,$X$6:$X$205,"&gt;0"),$X$6:$X$205,"&gt;0"),"")))</f>
        <v/>
      </c>
      <c r="Z150" s="67" t="str">
        <f aca="false">IF(OR(Y150="",X150=""),"",X150/Y150-1)</f>
        <v/>
      </c>
      <c r="AA150" s="68" t="str">
        <f aca="false">IF(OR(W150="",V150=""),"",W150-Q150*V150)</f>
        <v/>
      </c>
      <c r="AB150" s="69" t="str">
        <f aca="false">IF(AA150="","",IF(N(V150)*N(Q150)=0,"",AA150/(Q150*V150)))</f>
        <v/>
      </c>
      <c r="AC150" s="70"/>
      <c r="AD150" s="66" t="str">
        <f aca="false">IF(W150="","",W150*(1+N(AC150)))</f>
        <v/>
      </c>
      <c r="AE150" s="62"/>
      <c r="AF150" s="71"/>
      <c r="AG150" s="71"/>
      <c r="AH150" s="71"/>
      <c r="AI150" s="66" t="str">
        <f aca="false">IF(A150="","",N(AF150)+N(AG150)+N(AH150))</f>
        <v/>
      </c>
      <c r="AJ150" s="72" t="str">
        <f aca="false">IF(AD150="","",IF(N(AD150)=0,"",AI150/AD150))</f>
        <v/>
      </c>
      <c r="AK150" s="66" t="str">
        <f aca="false">IF(AD150="","",IF(AD150-AI150&lt;1,0,ROUND(AD150-AI150,2)))</f>
        <v/>
      </c>
      <c r="AL150" s="66" t="str">
        <f aca="false">IF(OR(O150="",AD150=""),"",MAX(0,ROUND(N(AI150)-(AD150-N(AW150)),0)))</f>
        <v/>
      </c>
      <c r="AM150" s="73" t="str">
        <f aca="false">IF(A150="","",IF(O150="","No PO Yet",IF(AI150=0,"Not Paid",IF(N(AJ150)&gt;=0.999,"Fully Paid",IF(N(AG150)+N(AH150)&gt;0,"Partially Paid","Initial / Advance Paid")))))</f>
        <v/>
      </c>
      <c r="AN150" s="61"/>
      <c r="AO150" s="61"/>
      <c r="AP150" s="74" t="str">
        <f aca="false">IF(AK150="","",IF(OR(N(AK150)=0,AO150=""),"",MAX(0,Settings!$B$4-AO150)))</f>
        <v/>
      </c>
      <c r="AQ150" s="73" t="str">
        <f aca="false">IF(AK150="","",IF(N(AK150)&lt;=0,"",IF(AO150="","No Due Date",IF(Settings!$B$4&lt;=AO150,"Not Yet Due",IF(Settings!$B$4-AO150&lt;=30,"1-30 Days",IF(Settings!$B$4-AO150&lt;=60,"31-60 Days",IF(Settings!$B$4-AO150&lt;=90,"61-90 Days","90+ Days")))))))</f>
        <v/>
      </c>
      <c r="AR150" s="61"/>
      <c r="AS150" s="61"/>
      <c r="AT150" s="63"/>
      <c r="AU150" s="72" t="str">
        <f aca="false">IF(Q150="","",IF(N(Q150)=0,"",N(AT150)/Q150))</f>
        <v/>
      </c>
      <c r="AV150" s="75" t="str">
        <f aca="false">IF(OR(A150="",O150="",Q150=""),"",MAX(0,Q150-N(AT150)))</f>
        <v/>
      </c>
      <c r="AW150" s="66" t="str">
        <f aca="false">IF(OR(AV150="",W150=""),"",IF(N(Q150)=0,0,AV150/Q150*AD150))</f>
        <v/>
      </c>
      <c r="AX150" s="76" t="str">
        <f aca="false">IF(A150="","",IF(O150="","No PO Yet",IF(Q150="","Order Qty Missing",IF(N(AT150)&gt;=Q150,IF(N(AT150)&gt;Q150,"All In-house (+"&amp;TEXT(N(AT150)-Q150,"#,##0")&amp;" "&amp;R150&amp;" excess)","All In-house"),IF(AY150&lt;&gt;"","Short Closed - "&amp;TEXT(AV150,"#,##0")&amp;" "&amp;R150&amp;" not received",IF(N(AT150)=0,"Not Started - "&amp;TEXT(AV150,"#,##0")&amp;" "&amp;R150&amp;" pending","Pending "&amp;TEXT(AV150,"#,##0")&amp;" "&amp;R150&amp;" ("&amp;TEXT(AU150,"0%")&amp;" received)"))))))</f>
        <v/>
      </c>
      <c r="AY150" s="61"/>
      <c r="AZ150" s="77" t="str">
        <f aca="false">IF(OR(B150="",J150=""),"",J150-B150)</f>
        <v/>
      </c>
      <c r="BA150" s="77" t="str">
        <f aca="false">IF(OR(J150="",P150=""),"",P150-J150)</f>
        <v/>
      </c>
      <c r="BB150" s="77" t="str">
        <f aca="false">IF(OR(P150="",AY150=""),"",AY150-P150)</f>
        <v/>
      </c>
      <c r="BC150" s="77" t="str">
        <f aca="false">IF(OR(B150="",AY150=""),"",AY150-B150)</f>
        <v/>
      </c>
      <c r="BD150" s="74" t="str">
        <f aca="false">IF(OR(AR150="",O150=""),"",MAX(0,IF(AY150="",Settings!$B$4,AY150)-AR150))</f>
        <v/>
      </c>
      <c r="BE150" s="73" t="str">
        <f aca="false">IF(OR(AY150="",AR150=""),"",IF(AND(AY150&lt;=AR150,N(AU150)&gt;=Settings!$B$6),"OTIF","Not OTIF"))</f>
        <v/>
      </c>
      <c r="BF150" s="60"/>
      <c r="BG150" s="62"/>
      <c r="BH150" s="78"/>
      <c r="BI150" s="76" t="str">
        <f aca="false">IF(A150="","",IF(K150="Rejected","Rejected",IF(K150&lt;&gt;"Approved","Awaiting Approval",IF(O150="","Approved - PO Pending",IF(AY150&lt;&gt;"",IF(N(AJ150)&gt;=0.999,"Closed","In-house Closed - Payment Due"),IF(AS150&lt;&gt;"","Receiving In-house","PO Issued - Awaiting Delivery"))))))</f>
        <v/>
      </c>
      <c r="BJ150" s="76" t="str">
        <f aca="false">IF(A150="","",IF(IF(AND(A150&lt;&gt;"",OR(B150="",C150="",E150="",F150="",H150="")),"PR info missing; ","")&amp;IF(AND(K150="Approved",OR(J150="",I150="")),"Approval ref/date missing; ","")&amp;IF(AND(O150&lt;&gt;"",K150&lt;&gt;"Approved"),"PO without approval; ","")&amp;IF(AND(O150&lt;&gt;"",OR(P150="",M150="",Q150="",S150="",T150="")),"PO details missing; ","")&amp;IF(AND(O150&lt;&gt;"",AR150=""),"Committed date missing; ","")&amp;IF(AND(ISNUMBER(J150),ISNUMBER(B150),N(J150)&lt;N(B150)),"Approval dated before PR; ","")&amp;IF(AND(ISNUMBER(P150),ISNUMBER(J150),N(P150)&lt;N(J150)),"PO dated before approval; ","")&amp;IF(AND(ISNUMBER(AY150),ISNUMBER(AS150),N(AY150)&lt;N(AS150)),"Close before in-house start; ","")&amp;IF(AND(AY150&lt;&gt;"",AS150=""),"In-house start date missing; ","")&amp;IF(AND(AY150&lt;&gt;"",AT150=""),"Qty received missing; ","")&amp;IF(AND(AY150&lt;&gt;"",BF150=""),"QC status missing; ","")&amp;IF(N(AT150)&gt;N(Q150)*1.05,"Received &gt; ordered +5%; ","")&amp;IF(AND(N(AI150)&gt;0,AE150=""),"Payment terms missing; ","")&amp;IF(N(AI150)&gt;N(AD150)+1,"Overpaid vs PO; ","")&amp;IF(AND(N(AK150)&gt;0,AY150&lt;&gt;"",AO150=""),"Payment due date missing; ","")="","OK",IF(AND(A150&lt;&gt;"",OR(B150="",C150="",E150="",F150="",H150="")),"PR info missing; ","")&amp;IF(AND(K150="Approved",OR(J150="",I150="")),"Approval ref/date missing; ","")&amp;IF(AND(O150&lt;&gt;"",K150&lt;&gt;"Approved"),"PO without approval; ","")&amp;IF(AND(O150&lt;&gt;"",OR(P150="",M150="",Q150="",S150="",T150="")),"PO details missing; ","")&amp;IF(AND(O150&lt;&gt;"",AR150=""),"Committed date missing; ","")&amp;IF(AND(ISNUMBER(J150),ISNUMBER(B150),N(J150)&lt;N(B150)),"Approval dated before PR; ","")&amp;IF(AND(ISNUMBER(P150),ISNUMBER(J150),N(P150)&lt;N(J150)),"PO dated before approval; ","")&amp;IF(AND(ISNUMBER(AY150),ISNUMBER(AS150),N(AY150)&lt;N(AS150)),"Close before in-house start; ","")&amp;IF(AND(AY150&lt;&gt;"",AS150=""),"In-house start date missing; ","")&amp;IF(AND(AY150&lt;&gt;"",AT150=""),"Qty received missing; ","")&amp;IF(AND(AY150&lt;&gt;"",BF150=""),"QC status missing; ","")&amp;IF(N(AT150)&gt;N(Q150)*1.05,"Received &gt; ordered +5%; ","")&amp;IF(AND(N(AI150)&gt;0,AE150=""),"Payment terms missing; ","")&amp;IF(N(AI150)&gt;N(AD150)+1,"Overpaid vs PO; ","")&amp;IF(AND(N(AK150)&gt;0,AY150&lt;&gt;"",AO150=""),"Payment due date missing; ","")))</f>
        <v/>
      </c>
      <c r="BK150" s="76" t="str">
        <f aca="false">IF(A150="","",IF(N(AP150)&gt;0,"Pay supplier: "&amp;N(AP150)&amp;" days overdue; ","")&amp;IF(AND(O150&lt;&gt;"",AY150="",N(BD150)&gt;0),"Expedite delivery: "&amp;N(BD150)&amp;" days late; ","")&amp;IF(AND(BI150="Awaiting Approval",ISNUMBER(B150),Settings!$B$4-N(B150)&gt;Settings!$B$19),"Get approval: PR waiting "&amp;(Settings!$B$4-N(B150))&amp;" days; ","")&amp;IF(AND(BI150="Approved - PO Pending",ISNUMBER(J150),Settings!$B$4-N(J150)&gt;Settings!$B$20),"Issue PO: approved "&amp;(Settings!$B$4-N(J150))&amp;" days ago; ","")&amp;IF(AND(OR(BI150="Awaiting Approval",BI150="Approved - PO Pending"),N(AB150)&gt;Settings!$B$7),"Negotiate price: "&amp;TEXT(AB150,"0%")&amp;" above budget; ","")&amp;IF(LEFT(AX150,12)="Short Closed","Short closed: claim balance / credit note"&amp;IF(N(AL150)&gt;0," BDT "&amp;TEXT(AL150,"#,##0"),"")&amp;"; ","")&amp;IF(BF150="Rejected","QC rejected: return / replace; ","")&amp;IF(AND(O150&lt;&gt;"",AY150="",N(AL150)&gt;0,N(BD150)&gt;0),"Advance at risk: BDT "&amp;TEXT(AL150,"#,##0")&amp;" paid, goods late; ","")&amp;IF(AND(BJ150&lt;&gt;"",BJ150&lt;&gt;"OK"),"Fix data entry (see Data Check); ",""))</f>
        <v/>
      </c>
      <c r="BL150" s="73" t="str">
        <f aca="false">IF(BK150="","",IF(OR(N(AP150)&gt;30,AND(AY150="",N(BD150)&gt;15),BF150="Rejected",AND(LEFT(AX150,12)="Short Closed",N(AL150)&gt;0),AND(O150&lt;&gt;"",AY150="",N(AL150)&gt;0,N(BD150)&gt;0)),"High",IF(OR(N(AP150)&gt;0,AND(AY150="",N(BD150)&gt;7),LEFT(AX150,12)="Short Closed",AND(BI150="Awaiting Approval",ISNUMBER(B150),Settings!$B$4-N(B150)&gt;2*Settings!$B$19),AND(BI150="Approved - PO Pending",ISNUMBER(J150),Settings!$B$4-N(J150)&gt;2*Settings!$B$20)),"Medium","Low")))</f>
        <v/>
      </c>
      <c r="BM150" s="77" t="str">
        <f aca="false">IF(BL150="","",IF(BL150="High",1,IF(BL150="Medium",2,3))*10000+ROW())</f>
        <v/>
      </c>
      <c r="BN150" s="62"/>
    </row>
    <row r="151" customFormat="false" ht="18" hidden="false" customHeight="true" outlineLevel="0" collapsed="false">
      <c r="A151" s="60"/>
      <c r="B151" s="61"/>
      <c r="C151" s="62"/>
      <c r="D151" s="62"/>
      <c r="E151" s="62"/>
      <c r="F151" s="62"/>
      <c r="G151" s="62"/>
      <c r="H151" s="60"/>
      <c r="I151" s="60"/>
      <c r="J151" s="61"/>
      <c r="K151" s="60"/>
      <c r="L151" s="60"/>
      <c r="M151" s="62"/>
      <c r="N151" s="60"/>
      <c r="O151" s="60"/>
      <c r="P151" s="61"/>
      <c r="Q151" s="63"/>
      <c r="R151" s="60"/>
      <c r="S151" s="64"/>
      <c r="T151" s="60"/>
      <c r="U151" s="65" t="str">
        <f aca="false">IF(AND(T151="",S151=""),"",IF(T151="",1,IFERROR(INDEX(Settings!$B$12:$B$16,MATCH(T151,Settings!$A$12:$A$16,0)),1)))</f>
        <v/>
      </c>
      <c r="V151" s="64"/>
      <c r="W151" s="66" t="str">
        <f aca="false">IF(OR(Q151="",S151=""),"",Q151*S151*U151)</f>
        <v/>
      </c>
      <c r="X151" s="65" t="str">
        <f aca="false">IF(OR(W151="",N(Q151)=0),"",W151/Q151)</f>
        <v/>
      </c>
      <c r="Y151" s="65" t="str">
        <f aca="false">IF(OR(X151="",P151="",E151=""),"",IF(_xlfn.MAXIFS($P$6:$P$205,$E$6:$E$205,E151,$P$6:$P$205,"&lt;"&amp;P151,$X$6:$X$205,"&gt;0")=0,"",IFERROR(AVERAGEIFS($X$6:$X$205,$E$6:$E$205,E151,$P$6:$P$205,_xlfn.MAXIFS($P$6:$P$205,$E$6:$E$205,E151,$P$6:$P$205,"&lt;"&amp;P151,$X$6:$X$205,"&gt;0"),$X$6:$X$205,"&gt;0"),"")))</f>
        <v/>
      </c>
      <c r="Z151" s="67" t="str">
        <f aca="false">IF(OR(Y151="",X151=""),"",X151/Y151-1)</f>
        <v/>
      </c>
      <c r="AA151" s="68" t="str">
        <f aca="false">IF(OR(W151="",V151=""),"",W151-Q151*V151)</f>
        <v/>
      </c>
      <c r="AB151" s="69" t="str">
        <f aca="false">IF(AA151="","",IF(N(V151)*N(Q151)=0,"",AA151/(Q151*V151)))</f>
        <v/>
      </c>
      <c r="AC151" s="70"/>
      <c r="AD151" s="66" t="str">
        <f aca="false">IF(W151="","",W151*(1+N(AC151)))</f>
        <v/>
      </c>
      <c r="AE151" s="62"/>
      <c r="AF151" s="71"/>
      <c r="AG151" s="71"/>
      <c r="AH151" s="71"/>
      <c r="AI151" s="66" t="str">
        <f aca="false">IF(A151="","",N(AF151)+N(AG151)+N(AH151))</f>
        <v/>
      </c>
      <c r="AJ151" s="72" t="str">
        <f aca="false">IF(AD151="","",IF(N(AD151)=0,"",AI151/AD151))</f>
        <v/>
      </c>
      <c r="AK151" s="66" t="str">
        <f aca="false">IF(AD151="","",IF(AD151-AI151&lt;1,0,ROUND(AD151-AI151,2)))</f>
        <v/>
      </c>
      <c r="AL151" s="66" t="str">
        <f aca="false">IF(OR(O151="",AD151=""),"",MAX(0,ROUND(N(AI151)-(AD151-N(AW151)),0)))</f>
        <v/>
      </c>
      <c r="AM151" s="73" t="str">
        <f aca="false">IF(A151="","",IF(O151="","No PO Yet",IF(AI151=0,"Not Paid",IF(N(AJ151)&gt;=0.999,"Fully Paid",IF(N(AG151)+N(AH151)&gt;0,"Partially Paid","Initial / Advance Paid")))))</f>
        <v/>
      </c>
      <c r="AN151" s="61"/>
      <c r="AO151" s="61"/>
      <c r="AP151" s="74" t="str">
        <f aca="false">IF(AK151="","",IF(OR(N(AK151)=0,AO151=""),"",MAX(0,Settings!$B$4-AO151)))</f>
        <v/>
      </c>
      <c r="AQ151" s="73" t="str">
        <f aca="false">IF(AK151="","",IF(N(AK151)&lt;=0,"",IF(AO151="","No Due Date",IF(Settings!$B$4&lt;=AO151,"Not Yet Due",IF(Settings!$B$4-AO151&lt;=30,"1-30 Days",IF(Settings!$B$4-AO151&lt;=60,"31-60 Days",IF(Settings!$B$4-AO151&lt;=90,"61-90 Days","90+ Days")))))))</f>
        <v/>
      </c>
      <c r="AR151" s="61"/>
      <c r="AS151" s="61"/>
      <c r="AT151" s="63"/>
      <c r="AU151" s="72" t="str">
        <f aca="false">IF(Q151="","",IF(N(Q151)=0,"",N(AT151)/Q151))</f>
        <v/>
      </c>
      <c r="AV151" s="75" t="str">
        <f aca="false">IF(OR(A151="",O151="",Q151=""),"",MAX(0,Q151-N(AT151)))</f>
        <v/>
      </c>
      <c r="AW151" s="66" t="str">
        <f aca="false">IF(OR(AV151="",W151=""),"",IF(N(Q151)=0,0,AV151/Q151*AD151))</f>
        <v/>
      </c>
      <c r="AX151" s="76" t="str">
        <f aca="false">IF(A151="","",IF(O151="","No PO Yet",IF(Q151="","Order Qty Missing",IF(N(AT151)&gt;=Q151,IF(N(AT151)&gt;Q151,"All In-house (+"&amp;TEXT(N(AT151)-Q151,"#,##0")&amp;" "&amp;R151&amp;" excess)","All In-house"),IF(AY151&lt;&gt;"","Short Closed - "&amp;TEXT(AV151,"#,##0")&amp;" "&amp;R151&amp;" not received",IF(N(AT151)=0,"Not Started - "&amp;TEXT(AV151,"#,##0")&amp;" "&amp;R151&amp;" pending","Pending "&amp;TEXT(AV151,"#,##0")&amp;" "&amp;R151&amp;" ("&amp;TEXT(AU151,"0%")&amp;" received)"))))))</f>
        <v/>
      </c>
      <c r="AY151" s="61"/>
      <c r="AZ151" s="77" t="str">
        <f aca="false">IF(OR(B151="",J151=""),"",J151-B151)</f>
        <v/>
      </c>
      <c r="BA151" s="77" t="str">
        <f aca="false">IF(OR(J151="",P151=""),"",P151-J151)</f>
        <v/>
      </c>
      <c r="BB151" s="77" t="str">
        <f aca="false">IF(OR(P151="",AY151=""),"",AY151-P151)</f>
        <v/>
      </c>
      <c r="BC151" s="77" t="str">
        <f aca="false">IF(OR(B151="",AY151=""),"",AY151-B151)</f>
        <v/>
      </c>
      <c r="BD151" s="74" t="str">
        <f aca="false">IF(OR(AR151="",O151=""),"",MAX(0,IF(AY151="",Settings!$B$4,AY151)-AR151))</f>
        <v/>
      </c>
      <c r="BE151" s="73" t="str">
        <f aca="false">IF(OR(AY151="",AR151=""),"",IF(AND(AY151&lt;=AR151,N(AU151)&gt;=Settings!$B$6),"OTIF","Not OTIF"))</f>
        <v/>
      </c>
      <c r="BF151" s="60"/>
      <c r="BG151" s="62"/>
      <c r="BH151" s="78"/>
      <c r="BI151" s="76" t="str">
        <f aca="false">IF(A151="","",IF(K151="Rejected","Rejected",IF(K151&lt;&gt;"Approved","Awaiting Approval",IF(O151="","Approved - PO Pending",IF(AY151&lt;&gt;"",IF(N(AJ151)&gt;=0.999,"Closed","In-house Closed - Payment Due"),IF(AS151&lt;&gt;"","Receiving In-house","PO Issued - Awaiting Delivery"))))))</f>
        <v/>
      </c>
      <c r="BJ151" s="76" t="str">
        <f aca="false">IF(A151="","",IF(IF(AND(A151&lt;&gt;"",OR(B151="",C151="",E151="",F151="",H151="")),"PR info missing; ","")&amp;IF(AND(K151="Approved",OR(J151="",I151="")),"Approval ref/date missing; ","")&amp;IF(AND(O151&lt;&gt;"",K151&lt;&gt;"Approved"),"PO without approval; ","")&amp;IF(AND(O151&lt;&gt;"",OR(P151="",M151="",Q151="",S151="",T151="")),"PO details missing; ","")&amp;IF(AND(O151&lt;&gt;"",AR151=""),"Committed date missing; ","")&amp;IF(AND(ISNUMBER(J151),ISNUMBER(B151),N(J151)&lt;N(B151)),"Approval dated before PR; ","")&amp;IF(AND(ISNUMBER(P151),ISNUMBER(J151),N(P151)&lt;N(J151)),"PO dated before approval; ","")&amp;IF(AND(ISNUMBER(AY151),ISNUMBER(AS151),N(AY151)&lt;N(AS151)),"Close before in-house start; ","")&amp;IF(AND(AY151&lt;&gt;"",AS151=""),"In-house start date missing; ","")&amp;IF(AND(AY151&lt;&gt;"",AT151=""),"Qty received missing; ","")&amp;IF(AND(AY151&lt;&gt;"",BF151=""),"QC status missing; ","")&amp;IF(N(AT151)&gt;N(Q151)*1.05,"Received &gt; ordered +5%; ","")&amp;IF(AND(N(AI151)&gt;0,AE151=""),"Payment terms missing; ","")&amp;IF(N(AI151)&gt;N(AD151)+1,"Overpaid vs PO; ","")&amp;IF(AND(N(AK151)&gt;0,AY151&lt;&gt;"",AO151=""),"Payment due date missing; ","")="","OK",IF(AND(A151&lt;&gt;"",OR(B151="",C151="",E151="",F151="",H151="")),"PR info missing; ","")&amp;IF(AND(K151="Approved",OR(J151="",I151="")),"Approval ref/date missing; ","")&amp;IF(AND(O151&lt;&gt;"",K151&lt;&gt;"Approved"),"PO without approval; ","")&amp;IF(AND(O151&lt;&gt;"",OR(P151="",M151="",Q151="",S151="",T151="")),"PO details missing; ","")&amp;IF(AND(O151&lt;&gt;"",AR151=""),"Committed date missing; ","")&amp;IF(AND(ISNUMBER(J151),ISNUMBER(B151),N(J151)&lt;N(B151)),"Approval dated before PR; ","")&amp;IF(AND(ISNUMBER(P151),ISNUMBER(J151),N(P151)&lt;N(J151)),"PO dated before approval; ","")&amp;IF(AND(ISNUMBER(AY151),ISNUMBER(AS151),N(AY151)&lt;N(AS151)),"Close before in-house start; ","")&amp;IF(AND(AY151&lt;&gt;"",AS151=""),"In-house start date missing; ","")&amp;IF(AND(AY151&lt;&gt;"",AT151=""),"Qty received missing; ","")&amp;IF(AND(AY151&lt;&gt;"",BF151=""),"QC status missing; ","")&amp;IF(N(AT151)&gt;N(Q151)*1.05,"Received &gt; ordered +5%; ","")&amp;IF(AND(N(AI151)&gt;0,AE151=""),"Payment terms missing; ","")&amp;IF(N(AI151)&gt;N(AD151)+1,"Overpaid vs PO; ","")&amp;IF(AND(N(AK151)&gt;0,AY151&lt;&gt;"",AO151=""),"Payment due date missing; ","")))</f>
        <v/>
      </c>
      <c r="BK151" s="76" t="str">
        <f aca="false">IF(A151="","",IF(N(AP151)&gt;0,"Pay supplier: "&amp;N(AP151)&amp;" days overdue; ","")&amp;IF(AND(O151&lt;&gt;"",AY151="",N(BD151)&gt;0),"Expedite delivery: "&amp;N(BD151)&amp;" days late; ","")&amp;IF(AND(BI151="Awaiting Approval",ISNUMBER(B151),Settings!$B$4-N(B151)&gt;Settings!$B$19),"Get approval: PR waiting "&amp;(Settings!$B$4-N(B151))&amp;" days; ","")&amp;IF(AND(BI151="Approved - PO Pending",ISNUMBER(J151),Settings!$B$4-N(J151)&gt;Settings!$B$20),"Issue PO: approved "&amp;(Settings!$B$4-N(J151))&amp;" days ago; ","")&amp;IF(AND(OR(BI151="Awaiting Approval",BI151="Approved - PO Pending"),N(AB151)&gt;Settings!$B$7),"Negotiate price: "&amp;TEXT(AB151,"0%")&amp;" above budget; ","")&amp;IF(LEFT(AX151,12)="Short Closed","Short closed: claim balance / credit note"&amp;IF(N(AL151)&gt;0," BDT "&amp;TEXT(AL151,"#,##0"),"")&amp;"; ","")&amp;IF(BF151="Rejected","QC rejected: return / replace; ","")&amp;IF(AND(O151&lt;&gt;"",AY151="",N(AL151)&gt;0,N(BD151)&gt;0),"Advance at risk: BDT "&amp;TEXT(AL151,"#,##0")&amp;" paid, goods late; ","")&amp;IF(AND(BJ151&lt;&gt;"",BJ151&lt;&gt;"OK"),"Fix data entry (see Data Check); ",""))</f>
        <v/>
      </c>
      <c r="BL151" s="73" t="str">
        <f aca="false">IF(BK151="","",IF(OR(N(AP151)&gt;30,AND(AY151="",N(BD151)&gt;15),BF151="Rejected",AND(LEFT(AX151,12)="Short Closed",N(AL151)&gt;0),AND(O151&lt;&gt;"",AY151="",N(AL151)&gt;0,N(BD151)&gt;0)),"High",IF(OR(N(AP151)&gt;0,AND(AY151="",N(BD151)&gt;7),LEFT(AX151,12)="Short Closed",AND(BI151="Awaiting Approval",ISNUMBER(B151),Settings!$B$4-N(B151)&gt;2*Settings!$B$19),AND(BI151="Approved - PO Pending",ISNUMBER(J151),Settings!$B$4-N(J151)&gt;2*Settings!$B$20)),"Medium","Low")))</f>
        <v/>
      </c>
      <c r="BM151" s="77" t="str">
        <f aca="false">IF(BL151="","",IF(BL151="High",1,IF(BL151="Medium",2,3))*10000+ROW())</f>
        <v/>
      </c>
      <c r="BN151" s="62"/>
    </row>
    <row r="152" customFormat="false" ht="18" hidden="false" customHeight="true" outlineLevel="0" collapsed="false">
      <c r="A152" s="60"/>
      <c r="B152" s="61"/>
      <c r="C152" s="62"/>
      <c r="D152" s="62"/>
      <c r="E152" s="62"/>
      <c r="F152" s="62"/>
      <c r="G152" s="62"/>
      <c r="H152" s="60"/>
      <c r="I152" s="60"/>
      <c r="J152" s="61"/>
      <c r="K152" s="60"/>
      <c r="L152" s="60"/>
      <c r="M152" s="62"/>
      <c r="N152" s="60"/>
      <c r="O152" s="60"/>
      <c r="P152" s="61"/>
      <c r="Q152" s="63"/>
      <c r="R152" s="60"/>
      <c r="S152" s="64"/>
      <c r="T152" s="60"/>
      <c r="U152" s="65" t="str">
        <f aca="false">IF(AND(T152="",S152=""),"",IF(T152="",1,IFERROR(INDEX(Settings!$B$12:$B$16,MATCH(T152,Settings!$A$12:$A$16,0)),1)))</f>
        <v/>
      </c>
      <c r="V152" s="64"/>
      <c r="W152" s="66" t="str">
        <f aca="false">IF(OR(Q152="",S152=""),"",Q152*S152*U152)</f>
        <v/>
      </c>
      <c r="X152" s="65" t="str">
        <f aca="false">IF(OR(W152="",N(Q152)=0),"",W152/Q152)</f>
        <v/>
      </c>
      <c r="Y152" s="65" t="str">
        <f aca="false">IF(OR(X152="",P152="",E152=""),"",IF(_xlfn.MAXIFS($P$6:$P$205,$E$6:$E$205,E152,$P$6:$P$205,"&lt;"&amp;P152,$X$6:$X$205,"&gt;0")=0,"",IFERROR(AVERAGEIFS($X$6:$X$205,$E$6:$E$205,E152,$P$6:$P$205,_xlfn.MAXIFS($P$6:$P$205,$E$6:$E$205,E152,$P$6:$P$205,"&lt;"&amp;P152,$X$6:$X$205,"&gt;0"),$X$6:$X$205,"&gt;0"),"")))</f>
        <v/>
      </c>
      <c r="Z152" s="67" t="str">
        <f aca="false">IF(OR(Y152="",X152=""),"",X152/Y152-1)</f>
        <v/>
      </c>
      <c r="AA152" s="68" t="str">
        <f aca="false">IF(OR(W152="",V152=""),"",W152-Q152*V152)</f>
        <v/>
      </c>
      <c r="AB152" s="69" t="str">
        <f aca="false">IF(AA152="","",IF(N(V152)*N(Q152)=0,"",AA152/(Q152*V152)))</f>
        <v/>
      </c>
      <c r="AC152" s="70"/>
      <c r="AD152" s="66" t="str">
        <f aca="false">IF(W152="","",W152*(1+N(AC152)))</f>
        <v/>
      </c>
      <c r="AE152" s="62"/>
      <c r="AF152" s="71"/>
      <c r="AG152" s="71"/>
      <c r="AH152" s="71"/>
      <c r="AI152" s="66" t="str">
        <f aca="false">IF(A152="","",N(AF152)+N(AG152)+N(AH152))</f>
        <v/>
      </c>
      <c r="AJ152" s="72" t="str">
        <f aca="false">IF(AD152="","",IF(N(AD152)=0,"",AI152/AD152))</f>
        <v/>
      </c>
      <c r="AK152" s="66" t="str">
        <f aca="false">IF(AD152="","",IF(AD152-AI152&lt;1,0,ROUND(AD152-AI152,2)))</f>
        <v/>
      </c>
      <c r="AL152" s="66" t="str">
        <f aca="false">IF(OR(O152="",AD152=""),"",MAX(0,ROUND(N(AI152)-(AD152-N(AW152)),0)))</f>
        <v/>
      </c>
      <c r="AM152" s="73" t="str">
        <f aca="false">IF(A152="","",IF(O152="","No PO Yet",IF(AI152=0,"Not Paid",IF(N(AJ152)&gt;=0.999,"Fully Paid",IF(N(AG152)+N(AH152)&gt;0,"Partially Paid","Initial / Advance Paid")))))</f>
        <v/>
      </c>
      <c r="AN152" s="61"/>
      <c r="AO152" s="61"/>
      <c r="AP152" s="74" t="str">
        <f aca="false">IF(AK152="","",IF(OR(N(AK152)=0,AO152=""),"",MAX(0,Settings!$B$4-AO152)))</f>
        <v/>
      </c>
      <c r="AQ152" s="73" t="str">
        <f aca="false">IF(AK152="","",IF(N(AK152)&lt;=0,"",IF(AO152="","No Due Date",IF(Settings!$B$4&lt;=AO152,"Not Yet Due",IF(Settings!$B$4-AO152&lt;=30,"1-30 Days",IF(Settings!$B$4-AO152&lt;=60,"31-60 Days",IF(Settings!$B$4-AO152&lt;=90,"61-90 Days","90+ Days")))))))</f>
        <v/>
      </c>
      <c r="AR152" s="61"/>
      <c r="AS152" s="61"/>
      <c r="AT152" s="63"/>
      <c r="AU152" s="72" t="str">
        <f aca="false">IF(Q152="","",IF(N(Q152)=0,"",N(AT152)/Q152))</f>
        <v/>
      </c>
      <c r="AV152" s="75" t="str">
        <f aca="false">IF(OR(A152="",O152="",Q152=""),"",MAX(0,Q152-N(AT152)))</f>
        <v/>
      </c>
      <c r="AW152" s="66" t="str">
        <f aca="false">IF(OR(AV152="",W152=""),"",IF(N(Q152)=0,0,AV152/Q152*AD152))</f>
        <v/>
      </c>
      <c r="AX152" s="76" t="str">
        <f aca="false">IF(A152="","",IF(O152="","No PO Yet",IF(Q152="","Order Qty Missing",IF(N(AT152)&gt;=Q152,IF(N(AT152)&gt;Q152,"All In-house (+"&amp;TEXT(N(AT152)-Q152,"#,##0")&amp;" "&amp;R152&amp;" excess)","All In-house"),IF(AY152&lt;&gt;"","Short Closed - "&amp;TEXT(AV152,"#,##0")&amp;" "&amp;R152&amp;" not received",IF(N(AT152)=0,"Not Started - "&amp;TEXT(AV152,"#,##0")&amp;" "&amp;R152&amp;" pending","Pending "&amp;TEXT(AV152,"#,##0")&amp;" "&amp;R152&amp;" ("&amp;TEXT(AU152,"0%")&amp;" received)"))))))</f>
        <v/>
      </c>
      <c r="AY152" s="61"/>
      <c r="AZ152" s="77" t="str">
        <f aca="false">IF(OR(B152="",J152=""),"",J152-B152)</f>
        <v/>
      </c>
      <c r="BA152" s="77" t="str">
        <f aca="false">IF(OR(J152="",P152=""),"",P152-J152)</f>
        <v/>
      </c>
      <c r="BB152" s="77" t="str">
        <f aca="false">IF(OR(P152="",AY152=""),"",AY152-P152)</f>
        <v/>
      </c>
      <c r="BC152" s="77" t="str">
        <f aca="false">IF(OR(B152="",AY152=""),"",AY152-B152)</f>
        <v/>
      </c>
      <c r="BD152" s="74" t="str">
        <f aca="false">IF(OR(AR152="",O152=""),"",MAX(0,IF(AY152="",Settings!$B$4,AY152)-AR152))</f>
        <v/>
      </c>
      <c r="BE152" s="73" t="str">
        <f aca="false">IF(OR(AY152="",AR152=""),"",IF(AND(AY152&lt;=AR152,N(AU152)&gt;=Settings!$B$6),"OTIF","Not OTIF"))</f>
        <v/>
      </c>
      <c r="BF152" s="60"/>
      <c r="BG152" s="62"/>
      <c r="BH152" s="78"/>
      <c r="BI152" s="76" t="str">
        <f aca="false">IF(A152="","",IF(K152="Rejected","Rejected",IF(K152&lt;&gt;"Approved","Awaiting Approval",IF(O152="","Approved - PO Pending",IF(AY152&lt;&gt;"",IF(N(AJ152)&gt;=0.999,"Closed","In-house Closed - Payment Due"),IF(AS152&lt;&gt;"","Receiving In-house","PO Issued - Awaiting Delivery"))))))</f>
        <v/>
      </c>
      <c r="BJ152" s="76" t="str">
        <f aca="false">IF(A152="","",IF(IF(AND(A152&lt;&gt;"",OR(B152="",C152="",E152="",F152="",H152="")),"PR info missing; ","")&amp;IF(AND(K152="Approved",OR(J152="",I152="")),"Approval ref/date missing; ","")&amp;IF(AND(O152&lt;&gt;"",K152&lt;&gt;"Approved"),"PO without approval; ","")&amp;IF(AND(O152&lt;&gt;"",OR(P152="",M152="",Q152="",S152="",T152="")),"PO details missing; ","")&amp;IF(AND(O152&lt;&gt;"",AR152=""),"Committed date missing; ","")&amp;IF(AND(ISNUMBER(J152),ISNUMBER(B152),N(J152)&lt;N(B152)),"Approval dated before PR; ","")&amp;IF(AND(ISNUMBER(P152),ISNUMBER(J152),N(P152)&lt;N(J152)),"PO dated before approval; ","")&amp;IF(AND(ISNUMBER(AY152),ISNUMBER(AS152),N(AY152)&lt;N(AS152)),"Close before in-house start; ","")&amp;IF(AND(AY152&lt;&gt;"",AS152=""),"In-house start date missing; ","")&amp;IF(AND(AY152&lt;&gt;"",AT152=""),"Qty received missing; ","")&amp;IF(AND(AY152&lt;&gt;"",BF152=""),"QC status missing; ","")&amp;IF(N(AT152)&gt;N(Q152)*1.05,"Received &gt; ordered +5%; ","")&amp;IF(AND(N(AI152)&gt;0,AE152=""),"Payment terms missing; ","")&amp;IF(N(AI152)&gt;N(AD152)+1,"Overpaid vs PO; ","")&amp;IF(AND(N(AK152)&gt;0,AY152&lt;&gt;"",AO152=""),"Payment due date missing; ","")="","OK",IF(AND(A152&lt;&gt;"",OR(B152="",C152="",E152="",F152="",H152="")),"PR info missing; ","")&amp;IF(AND(K152="Approved",OR(J152="",I152="")),"Approval ref/date missing; ","")&amp;IF(AND(O152&lt;&gt;"",K152&lt;&gt;"Approved"),"PO without approval; ","")&amp;IF(AND(O152&lt;&gt;"",OR(P152="",M152="",Q152="",S152="",T152="")),"PO details missing; ","")&amp;IF(AND(O152&lt;&gt;"",AR152=""),"Committed date missing; ","")&amp;IF(AND(ISNUMBER(J152),ISNUMBER(B152),N(J152)&lt;N(B152)),"Approval dated before PR; ","")&amp;IF(AND(ISNUMBER(P152),ISNUMBER(J152),N(P152)&lt;N(J152)),"PO dated before approval; ","")&amp;IF(AND(ISNUMBER(AY152),ISNUMBER(AS152),N(AY152)&lt;N(AS152)),"Close before in-house start; ","")&amp;IF(AND(AY152&lt;&gt;"",AS152=""),"In-house start date missing; ","")&amp;IF(AND(AY152&lt;&gt;"",AT152=""),"Qty received missing; ","")&amp;IF(AND(AY152&lt;&gt;"",BF152=""),"QC status missing; ","")&amp;IF(N(AT152)&gt;N(Q152)*1.05,"Received &gt; ordered +5%; ","")&amp;IF(AND(N(AI152)&gt;0,AE152=""),"Payment terms missing; ","")&amp;IF(N(AI152)&gt;N(AD152)+1,"Overpaid vs PO; ","")&amp;IF(AND(N(AK152)&gt;0,AY152&lt;&gt;"",AO152=""),"Payment due date missing; ","")))</f>
        <v/>
      </c>
      <c r="BK152" s="76" t="str">
        <f aca="false">IF(A152="","",IF(N(AP152)&gt;0,"Pay supplier: "&amp;N(AP152)&amp;" days overdue; ","")&amp;IF(AND(O152&lt;&gt;"",AY152="",N(BD152)&gt;0),"Expedite delivery: "&amp;N(BD152)&amp;" days late; ","")&amp;IF(AND(BI152="Awaiting Approval",ISNUMBER(B152),Settings!$B$4-N(B152)&gt;Settings!$B$19),"Get approval: PR waiting "&amp;(Settings!$B$4-N(B152))&amp;" days; ","")&amp;IF(AND(BI152="Approved - PO Pending",ISNUMBER(J152),Settings!$B$4-N(J152)&gt;Settings!$B$20),"Issue PO: approved "&amp;(Settings!$B$4-N(J152))&amp;" days ago; ","")&amp;IF(AND(OR(BI152="Awaiting Approval",BI152="Approved - PO Pending"),N(AB152)&gt;Settings!$B$7),"Negotiate price: "&amp;TEXT(AB152,"0%")&amp;" above budget; ","")&amp;IF(LEFT(AX152,12)="Short Closed","Short closed: claim balance / credit note"&amp;IF(N(AL152)&gt;0," BDT "&amp;TEXT(AL152,"#,##0"),"")&amp;"; ","")&amp;IF(BF152="Rejected","QC rejected: return / replace; ","")&amp;IF(AND(O152&lt;&gt;"",AY152="",N(AL152)&gt;0,N(BD152)&gt;0),"Advance at risk: BDT "&amp;TEXT(AL152,"#,##0")&amp;" paid, goods late; ","")&amp;IF(AND(BJ152&lt;&gt;"",BJ152&lt;&gt;"OK"),"Fix data entry (see Data Check); ",""))</f>
        <v/>
      </c>
      <c r="BL152" s="73" t="str">
        <f aca="false">IF(BK152="","",IF(OR(N(AP152)&gt;30,AND(AY152="",N(BD152)&gt;15),BF152="Rejected",AND(LEFT(AX152,12)="Short Closed",N(AL152)&gt;0),AND(O152&lt;&gt;"",AY152="",N(AL152)&gt;0,N(BD152)&gt;0)),"High",IF(OR(N(AP152)&gt;0,AND(AY152="",N(BD152)&gt;7),LEFT(AX152,12)="Short Closed",AND(BI152="Awaiting Approval",ISNUMBER(B152),Settings!$B$4-N(B152)&gt;2*Settings!$B$19),AND(BI152="Approved - PO Pending",ISNUMBER(J152),Settings!$B$4-N(J152)&gt;2*Settings!$B$20)),"Medium","Low")))</f>
        <v/>
      </c>
      <c r="BM152" s="77" t="str">
        <f aca="false">IF(BL152="","",IF(BL152="High",1,IF(BL152="Medium",2,3))*10000+ROW())</f>
        <v/>
      </c>
      <c r="BN152" s="62"/>
    </row>
    <row r="153" customFormat="false" ht="18" hidden="false" customHeight="true" outlineLevel="0" collapsed="false">
      <c r="A153" s="60"/>
      <c r="B153" s="61"/>
      <c r="C153" s="62"/>
      <c r="D153" s="62"/>
      <c r="E153" s="62"/>
      <c r="F153" s="62"/>
      <c r="G153" s="62"/>
      <c r="H153" s="60"/>
      <c r="I153" s="60"/>
      <c r="J153" s="61"/>
      <c r="K153" s="60"/>
      <c r="L153" s="60"/>
      <c r="M153" s="62"/>
      <c r="N153" s="60"/>
      <c r="O153" s="60"/>
      <c r="P153" s="61"/>
      <c r="Q153" s="63"/>
      <c r="R153" s="60"/>
      <c r="S153" s="64"/>
      <c r="T153" s="60"/>
      <c r="U153" s="65" t="str">
        <f aca="false">IF(AND(T153="",S153=""),"",IF(T153="",1,IFERROR(INDEX(Settings!$B$12:$B$16,MATCH(T153,Settings!$A$12:$A$16,0)),1)))</f>
        <v/>
      </c>
      <c r="V153" s="64"/>
      <c r="W153" s="66" t="str">
        <f aca="false">IF(OR(Q153="",S153=""),"",Q153*S153*U153)</f>
        <v/>
      </c>
      <c r="X153" s="65" t="str">
        <f aca="false">IF(OR(W153="",N(Q153)=0),"",W153/Q153)</f>
        <v/>
      </c>
      <c r="Y153" s="65" t="str">
        <f aca="false">IF(OR(X153="",P153="",E153=""),"",IF(_xlfn.MAXIFS($P$6:$P$205,$E$6:$E$205,E153,$P$6:$P$205,"&lt;"&amp;P153,$X$6:$X$205,"&gt;0")=0,"",IFERROR(AVERAGEIFS($X$6:$X$205,$E$6:$E$205,E153,$P$6:$P$205,_xlfn.MAXIFS($P$6:$P$205,$E$6:$E$205,E153,$P$6:$P$205,"&lt;"&amp;P153,$X$6:$X$205,"&gt;0"),$X$6:$X$205,"&gt;0"),"")))</f>
        <v/>
      </c>
      <c r="Z153" s="67" t="str">
        <f aca="false">IF(OR(Y153="",X153=""),"",X153/Y153-1)</f>
        <v/>
      </c>
      <c r="AA153" s="68" t="str">
        <f aca="false">IF(OR(W153="",V153=""),"",W153-Q153*V153)</f>
        <v/>
      </c>
      <c r="AB153" s="69" t="str">
        <f aca="false">IF(AA153="","",IF(N(V153)*N(Q153)=0,"",AA153/(Q153*V153)))</f>
        <v/>
      </c>
      <c r="AC153" s="70"/>
      <c r="AD153" s="66" t="str">
        <f aca="false">IF(W153="","",W153*(1+N(AC153)))</f>
        <v/>
      </c>
      <c r="AE153" s="62"/>
      <c r="AF153" s="71"/>
      <c r="AG153" s="71"/>
      <c r="AH153" s="71"/>
      <c r="AI153" s="66" t="str">
        <f aca="false">IF(A153="","",N(AF153)+N(AG153)+N(AH153))</f>
        <v/>
      </c>
      <c r="AJ153" s="72" t="str">
        <f aca="false">IF(AD153="","",IF(N(AD153)=0,"",AI153/AD153))</f>
        <v/>
      </c>
      <c r="AK153" s="66" t="str">
        <f aca="false">IF(AD153="","",IF(AD153-AI153&lt;1,0,ROUND(AD153-AI153,2)))</f>
        <v/>
      </c>
      <c r="AL153" s="66" t="str">
        <f aca="false">IF(OR(O153="",AD153=""),"",MAX(0,ROUND(N(AI153)-(AD153-N(AW153)),0)))</f>
        <v/>
      </c>
      <c r="AM153" s="73" t="str">
        <f aca="false">IF(A153="","",IF(O153="","No PO Yet",IF(AI153=0,"Not Paid",IF(N(AJ153)&gt;=0.999,"Fully Paid",IF(N(AG153)+N(AH153)&gt;0,"Partially Paid","Initial / Advance Paid")))))</f>
        <v/>
      </c>
      <c r="AN153" s="61"/>
      <c r="AO153" s="61"/>
      <c r="AP153" s="74" t="str">
        <f aca="false">IF(AK153="","",IF(OR(N(AK153)=0,AO153=""),"",MAX(0,Settings!$B$4-AO153)))</f>
        <v/>
      </c>
      <c r="AQ153" s="73" t="str">
        <f aca="false">IF(AK153="","",IF(N(AK153)&lt;=0,"",IF(AO153="","No Due Date",IF(Settings!$B$4&lt;=AO153,"Not Yet Due",IF(Settings!$B$4-AO153&lt;=30,"1-30 Days",IF(Settings!$B$4-AO153&lt;=60,"31-60 Days",IF(Settings!$B$4-AO153&lt;=90,"61-90 Days","90+ Days")))))))</f>
        <v/>
      </c>
      <c r="AR153" s="61"/>
      <c r="AS153" s="61"/>
      <c r="AT153" s="63"/>
      <c r="AU153" s="72" t="str">
        <f aca="false">IF(Q153="","",IF(N(Q153)=0,"",N(AT153)/Q153))</f>
        <v/>
      </c>
      <c r="AV153" s="75" t="str">
        <f aca="false">IF(OR(A153="",O153="",Q153=""),"",MAX(0,Q153-N(AT153)))</f>
        <v/>
      </c>
      <c r="AW153" s="66" t="str">
        <f aca="false">IF(OR(AV153="",W153=""),"",IF(N(Q153)=0,0,AV153/Q153*AD153))</f>
        <v/>
      </c>
      <c r="AX153" s="76" t="str">
        <f aca="false">IF(A153="","",IF(O153="","No PO Yet",IF(Q153="","Order Qty Missing",IF(N(AT153)&gt;=Q153,IF(N(AT153)&gt;Q153,"All In-house (+"&amp;TEXT(N(AT153)-Q153,"#,##0")&amp;" "&amp;R153&amp;" excess)","All In-house"),IF(AY153&lt;&gt;"","Short Closed - "&amp;TEXT(AV153,"#,##0")&amp;" "&amp;R153&amp;" not received",IF(N(AT153)=0,"Not Started - "&amp;TEXT(AV153,"#,##0")&amp;" "&amp;R153&amp;" pending","Pending "&amp;TEXT(AV153,"#,##0")&amp;" "&amp;R153&amp;" ("&amp;TEXT(AU153,"0%")&amp;" received)"))))))</f>
        <v/>
      </c>
      <c r="AY153" s="61"/>
      <c r="AZ153" s="77" t="str">
        <f aca="false">IF(OR(B153="",J153=""),"",J153-B153)</f>
        <v/>
      </c>
      <c r="BA153" s="77" t="str">
        <f aca="false">IF(OR(J153="",P153=""),"",P153-J153)</f>
        <v/>
      </c>
      <c r="BB153" s="77" t="str">
        <f aca="false">IF(OR(P153="",AY153=""),"",AY153-P153)</f>
        <v/>
      </c>
      <c r="BC153" s="77" t="str">
        <f aca="false">IF(OR(B153="",AY153=""),"",AY153-B153)</f>
        <v/>
      </c>
      <c r="BD153" s="74" t="str">
        <f aca="false">IF(OR(AR153="",O153=""),"",MAX(0,IF(AY153="",Settings!$B$4,AY153)-AR153))</f>
        <v/>
      </c>
      <c r="BE153" s="73" t="str">
        <f aca="false">IF(OR(AY153="",AR153=""),"",IF(AND(AY153&lt;=AR153,N(AU153)&gt;=Settings!$B$6),"OTIF","Not OTIF"))</f>
        <v/>
      </c>
      <c r="BF153" s="60"/>
      <c r="BG153" s="62"/>
      <c r="BH153" s="78"/>
      <c r="BI153" s="76" t="str">
        <f aca="false">IF(A153="","",IF(K153="Rejected","Rejected",IF(K153&lt;&gt;"Approved","Awaiting Approval",IF(O153="","Approved - PO Pending",IF(AY153&lt;&gt;"",IF(N(AJ153)&gt;=0.999,"Closed","In-house Closed - Payment Due"),IF(AS153&lt;&gt;"","Receiving In-house","PO Issued - Awaiting Delivery"))))))</f>
        <v/>
      </c>
      <c r="BJ153" s="76" t="str">
        <f aca="false">IF(A153="","",IF(IF(AND(A153&lt;&gt;"",OR(B153="",C153="",E153="",F153="",H153="")),"PR info missing; ","")&amp;IF(AND(K153="Approved",OR(J153="",I153="")),"Approval ref/date missing; ","")&amp;IF(AND(O153&lt;&gt;"",K153&lt;&gt;"Approved"),"PO without approval; ","")&amp;IF(AND(O153&lt;&gt;"",OR(P153="",M153="",Q153="",S153="",T153="")),"PO details missing; ","")&amp;IF(AND(O153&lt;&gt;"",AR153=""),"Committed date missing; ","")&amp;IF(AND(ISNUMBER(J153),ISNUMBER(B153),N(J153)&lt;N(B153)),"Approval dated before PR; ","")&amp;IF(AND(ISNUMBER(P153),ISNUMBER(J153),N(P153)&lt;N(J153)),"PO dated before approval; ","")&amp;IF(AND(ISNUMBER(AY153),ISNUMBER(AS153),N(AY153)&lt;N(AS153)),"Close before in-house start; ","")&amp;IF(AND(AY153&lt;&gt;"",AS153=""),"In-house start date missing; ","")&amp;IF(AND(AY153&lt;&gt;"",AT153=""),"Qty received missing; ","")&amp;IF(AND(AY153&lt;&gt;"",BF153=""),"QC status missing; ","")&amp;IF(N(AT153)&gt;N(Q153)*1.05,"Received &gt; ordered +5%; ","")&amp;IF(AND(N(AI153)&gt;0,AE153=""),"Payment terms missing; ","")&amp;IF(N(AI153)&gt;N(AD153)+1,"Overpaid vs PO; ","")&amp;IF(AND(N(AK153)&gt;0,AY153&lt;&gt;"",AO153=""),"Payment due date missing; ","")="","OK",IF(AND(A153&lt;&gt;"",OR(B153="",C153="",E153="",F153="",H153="")),"PR info missing; ","")&amp;IF(AND(K153="Approved",OR(J153="",I153="")),"Approval ref/date missing; ","")&amp;IF(AND(O153&lt;&gt;"",K153&lt;&gt;"Approved"),"PO without approval; ","")&amp;IF(AND(O153&lt;&gt;"",OR(P153="",M153="",Q153="",S153="",T153="")),"PO details missing; ","")&amp;IF(AND(O153&lt;&gt;"",AR153=""),"Committed date missing; ","")&amp;IF(AND(ISNUMBER(J153),ISNUMBER(B153),N(J153)&lt;N(B153)),"Approval dated before PR; ","")&amp;IF(AND(ISNUMBER(P153),ISNUMBER(J153),N(P153)&lt;N(J153)),"PO dated before approval; ","")&amp;IF(AND(ISNUMBER(AY153),ISNUMBER(AS153),N(AY153)&lt;N(AS153)),"Close before in-house start; ","")&amp;IF(AND(AY153&lt;&gt;"",AS153=""),"In-house start date missing; ","")&amp;IF(AND(AY153&lt;&gt;"",AT153=""),"Qty received missing; ","")&amp;IF(AND(AY153&lt;&gt;"",BF153=""),"QC status missing; ","")&amp;IF(N(AT153)&gt;N(Q153)*1.05,"Received &gt; ordered +5%; ","")&amp;IF(AND(N(AI153)&gt;0,AE153=""),"Payment terms missing; ","")&amp;IF(N(AI153)&gt;N(AD153)+1,"Overpaid vs PO; ","")&amp;IF(AND(N(AK153)&gt;0,AY153&lt;&gt;"",AO153=""),"Payment due date missing; ","")))</f>
        <v/>
      </c>
      <c r="BK153" s="76" t="str">
        <f aca="false">IF(A153="","",IF(N(AP153)&gt;0,"Pay supplier: "&amp;N(AP153)&amp;" days overdue; ","")&amp;IF(AND(O153&lt;&gt;"",AY153="",N(BD153)&gt;0),"Expedite delivery: "&amp;N(BD153)&amp;" days late; ","")&amp;IF(AND(BI153="Awaiting Approval",ISNUMBER(B153),Settings!$B$4-N(B153)&gt;Settings!$B$19),"Get approval: PR waiting "&amp;(Settings!$B$4-N(B153))&amp;" days; ","")&amp;IF(AND(BI153="Approved - PO Pending",ISNUMBER(J153),Settings!$B$4-N(J153)&gt;Settings!$B$20),"Issue PO: approved "&amp;(Settings!$B$4-N(J153))&amp;" days ago; ","")&amp;IF(AND(OR(BI153="Awaiting Approval",BI153="Approved - PO Pending"),N(AB153)&gt;Settings!$B$7),"Negotiate price: "&amp;TEXT(AB153,"0%")&amp;" above budget; ","")&amp;IF(LEFT(AX153,12)="Short Closed","Short closed: claim balance / credit note"&amp;IF(N(AL153)&gt;0," BDT "&amp;TEXT(AL153,"#,##0"),"")&amp;"; ","")&amp;IF(BF153="Rejected","QC rejected: return / replace; ","")&amp;IF(AND(O153&lt;&gt;"",AY153="",N(AL153)&gt;0,N(BD153)&gt;0),"Advance at risk: BDT "&amp;TEXT(AL153,"#,##0")&amp;" paid, goods late; ","")&amp;IF(AND(BJ153&lt;&gt;"",BJ153&lt;&gt;"OK"),"Fix data entry (see Data Check); ",""))</f>
        <v/>
      </c>
      <c r="BL153" s="73" t="str">
        <f aca="false">IF(BK153="","",IF(OR(N(AP153)&gt;30,AND(AY153="",N(BD153)&gt;15),BF153="Rejected",AND(LEFT(AX153,12)="Short Closed",N(AL153)&gt;0),AND(O153&lt;&gt;"",AY153="",N(AL153)&gt;0,N(BD153)&gt;0)),"High",IF(OR(N(AP153)&gt;0,AND(AY153="",N(BD153)&gt;7),LEFT(AX153,12)="Short Closed",AND(BI153="Awaiting Approval",ISNUMBER(B153),Settings!$B$4-N(B153)&gt;2*Settings!$B$19),AND(BI153="Approved - PO Pending",ISNUMBER(J153),Settings!$B$4-N(J153)&gt;2*Settings!$B$20)),"Medium","Low")))</f>
        <v/>
      </c>
      <c r="BM153" s="77" t="str">
        <f aca="false">IF(BL153="","",IF(BL153="High",1,IF(BL153="Medium",2,3))*10000+ROW())</f>
        <v/>
      </c>
      <c r="BN153" s="62"/>
    </row>
    <row r="154" customFormat="false" ht="18" hidden="false" customHeight="true" outlineLevel="0" collapsed="false">
      <c r="A154" s="60"/>
      <c r="B154" s="61"/>
      <c r="C154" s="62"/>
      <c r="D154" s="62"/>
      <c r="E154" s="62"/>
      <c r="F154" s="62"/>
      <c r="G154" s="62"/>
      <c r="H154" s="60"/>
      <c r="I154" s="60"/>
      <c r="J154" s="61"/>
      <c r="K154" s="60"/>
      <c r="L154" s="60"/>
      <c r="M154" s="62"/>
      <c r="N154" s="60"/>
      <c r="O154" s="60"/>
      <c r="P154" s="61"/>
      <c r="Q154" s="63"/>
      <c r="R154" s="60"/>
      <c r="S154" s="64"/>
      <c r="T154" s="60"/>
      <c r="U154" s="65" t="str">
        <f aca="false">IF(AND(T154="",S154=""),"",IF(T154="",1,IFERROR(INDEX(Settings!$B$12:$B$16,MATCH(T154,Settings!$A$12:$A$16,0)),1)))</f>
        <v/>
      </c>
      <c r="V154" s="64"/>
      <c r="W154" s="66" t="str">
        <f aca="false">IF(OR(Q154="",S154=""),"",Q154*S154*U154)</f>
        <v/>
      </c>
      <c r="X154" s="65" t="str">
        <f aca="false">IF(OR(W154="",N(Q154)=0),"",W154/Q154)</f>
        <v/>
      </c>
      <c r="Y154" s="65" t="str">
        <f aca="false">IF(OR(X154="",P154="",E154=""),"",IF(_xlfn.MAXIFS($P$6:$P$205,$E$6:$E$205,E154,$P$6:$P$205,"&lt;"&amp;P154,$X$6:$X$205,"&gt;0")=0,"",IFERROR(AVERAGEIFS($X$6:$X$205,$E$6:$E$205,E154,$P$6:$P$205,_xlfn.MAXIFS($P$6:$P$205,$E$6:$E$205,E154,$P$6:$P$205,"&lt;"&amp;P154,$X$6:$X$205,"&gt;0"),$X$6:$X$205,"&gt;0"),"")))</f>
        <v/>
      </c>
      <c r="Z154" s="67" t="str">
        <f aca="false">IF(OR(Y154="",X154=""),"",X154/Y154-1)</f>
        <v/>
      </c>
      <c r="AA154" s="68" t="str">
        <f aca="false">IF(OR(W154="",V154=""),"",W154-Q154*V154)</f>
        <v/>
      </c>
      <c r="AB154" s="69" t="str">
        <f aca="false">IF(AA154="","",IF(N(V154)*N(Q154)=0,"",AA154/(Q154*V154)))</f>
        <v/>
      </c>
      <c r="AC154" s="70"/>
      <c r="AD154" s="66" t="str">
        <f aca="false">IF(W154="","",W154*(1+N(AC154)))</f>
        <v/>
      </c>
      <c r="AE154" s="62"/>
      <c r="AF154" s="71"/>
      <c r="AG154" s="71"/>
      <c r="AH154" s="71"/>
      <c r="AI154" s="66" t="str">
        <f aca="false">IF(A154="","",N(AF154)+N(AG154)+N(AH154))</f>
        <v/>
      </c>
      <c r="AJ154" s="72" t="str">
        <f aca="false">IF(AD154="","",IF(N(AD154)=0,"",AI154/AD154))</f>
        <v/>
      </c>
      <c r="AK154" s="66" t="str">
        <f aca="false">IF(AD154="","",IF(AD154-AI154&lt;1,0,ROUND(AD154-AI154,2)))</f>
        <v/>
      </c>
      <c r="AL154" s="66" t="str">
        <f aca="false">IF(OR(O154="",AD154=""),"",MAX(0,ROUND(N(AI154)-(AD154-N(AW154)),0)))</f>
        <v/>
      </c>
      <c r="AM154" s="73" t="str">
        <f aca="false">IF(A154="","",IF(O154="","No PO Yet",IF(AI154=0,"Not Paid",IF(N(AJ154)&gt;=0.999,"Fully Paid",IF(N(AG154)+N(AH154)&gt;0,"Partially Paid","Initial / Advance Paid")))))</f>
        <v/>
      </c>
      <c r="AN154" s="61"/>
      <c r="AO154" s="61"/>
      <c r="AP154" s="74" t="str">
        <f aca="false">IF(AK154="","",IF(OR(N(AK154)=0,AO154=""),"",MAX(0,Settings!$B$4-AO154)))</f>
        <v/>
      </c>
      <c r="AQ154" s="73" t="str">
        <f aca="false">IF(AK154="","",IF(N(AK154)&lt;=0,"",IF(AO154="","No Due Date",IF(Settings!$B$4&lt;=AO154,"Not Yet Due",IF(Settings!$B$4-AO154&lt;=30,"1-30 Days",IF(Settings!$B$4-AO154&lt;=60,"31-60 Days",IF(Settings!$B$4-AO154&lt;=90,"61-90 Days","90+ Days")))))))</f>
        <v/>
      </c>
      <c r="AR154" s="61"/>
      <c r="AS154" s="61"/>
      <c r="AT154" s="63"/>
      <c r="AU154" s="72" t="str">
        <f aca="false">IF(Q154="","",IF(N(Q154)=0,"",N(AT154)/Q154))</f>
        <v/>
      </c>
      <c r="AV154" s="75" t="str">
        <f aca="false">IF(OR(A154="",O154="",Q154=""),"",MAX(0,Q154-N(AT154)))</f>
        <v/>
      </c>
      <c r="AW154" s="66" t="str">
        <f aca="false">IF(OR(AV154="",W154=""),"",IF(N(Q154)=0,0,AV154/Q154*AD154))</f>
        <v/>
      </c>
      <c r="AX154" s="76" t="str">
        <f aca="false">IF(A154="","",IF(O154="","No PO Yet",IF(Q154="","Order Qty Missing",IF(N(AT154)&gt;=Q154,IF(N(AT154)&gt;Q154,"All In-house (+"&amp;TEXT(N(AT154)-Q154,"#,##0")&amp;" "&amp;R154&amp;" excess)","All In-house"),IF(AY154&lt;&gt;"","Short Closed - "&amp;TEXT(AV154,"#,##0")&amp;" "&amp;R154&amp;" not received",IF(N(AT154)=0,"Not Started - "&amp;TEXT(AV154,"#,##0")&amp;" "&amp;R154&amp;" pending","Pending "&amp;TEXT(AV154,"#,##0")&amp;" "&amp;R154&amp;" ("&amp;TEXT(AU154,"0%")&amp;" received)"))))))</f>
        <v/>
      </c>
      <c r="AY154" s="61"/>
      <c r="AZ154" s="77" t="str">
        <f aca="false">IF(OR(B154="",J154=""),"",J154-B154)</f>
        <v/>
      </c>
      <c r="BA154" s="77" t="str">
        <f aca="false">IF(OR(J154="",P154=""),"",P154-J154)</f>
        <v/>
      </c>
      <c r="BB154" s="77" t="str">
        <f aca="false">IF(OR(P154="",AY154=""),"",AY154-P154)</f>
        <v/>
      </c>
      <c r="BC154" s="77" t="str">
        <f aca="false">IF(OR(B154="",AY154=""),"",AY154-B154)</f>
        <v/>
      </c>
      <c r="BD154" s="74" t="str">
        <f aca="false">IF(OR(AR154="",O154=""),"",MAX(0,IF(AY154="",Settings!$B$4,AY154)-AR154))</f>
        <v/>
      </c>
      <c r="BE154" s="73" t="str">
        <f aca="false">IF(OR(AY154="",AR154=""),"",IF(AND(AY154&lt;=AR154,N(AU154)&gt;=Settings!$B$6),"OTIF","Not OTIF"))</f>
        <v/>
      </c>
      <c r="BF154" s="60"/>
      <c r="BG154" s="62"/>
      <c r="BH154" s="78"/>
      <c r="BI154" s="76" t="str">
        <f aca="false">IF(A154="","",IF(K154="Rejected","Rejected",IF(K154&lt;&gt;"Approved","Awaiting Approval",IF(O154="","Approved - PO Pending",IF(AY154&lt;&gt;"",IF(N(AJ154)&gt;=0.999,"Closed","In-house Closed - Payment Due"),IF(AS154&lt;&gt;"","Receiving In-house","PO Issued - Awaiting Delivery"))))))</f>
        <v/>
      </c>
      <c r="BJ154" s="76" t="str">
        <f aca="false">IF(A154="","",IF(IF(AND(A154&lt;&gt;"",OR(B154="",C154="",E154="",F154="",H154="")),"PR info missing; ","")&amp;IF(AND(K154="Approved",OR(J154="",I154="")),"Approval ref/date missing; ","")&amp;IF(AND(O154&lt;&gt;"",K154&lt;&gt;"Approved"),"PO without approval; ","")&amp;IF(AND(O154&lt;&gt;"",OR(P154="",M154="",Q154="",S154="",T154="")),"PO details missing; ","")&amp;IF(AND(O154&lt;&gt;"",AR154=""),"Committed date missing; ","")&amp;IF(AND(ISNUMBER(J154),ISNUMBER(B154),N(J154)&lt;N(B154)),"Approval dated before PR; ","")&amp;IF(AND(ISNUMBER(P154),ISNUMBER(J154),N(P154)&lt;N(J154)),"PO dated before approval; ","")&amp;IF(AND(ISNUMBER(AY154),ISNUMBER(AS154),N(AY154)&lt;N(AS154)),"Close before in-house start; ","")&amp;IF(AND(AY154&lt;&gt;"",AS154=""),"In-house start date missing; ","")&amp;IF(AND(AY154&lt;&gt;"",AT154=""),"Qty received missing; ","")&amp;IF(AND(AY154&lt;&gt;"",BF154=""),"QC status missing; ","")&amp;IF(N(AT154)&gt;N(Q154)*1.05,"Received &gt; ordered +5%; ","")&amp;IF(AND(N(AI154)&gt;0,AE154=""),"Payment terms missing; ","")&amp;IF(N(AI154)&gt;N(AD154)+1,"Overpaid vs PO; ","")&amp;IF(AND(N(AK154)&gt;0,AY154&lt;&gt;"",AO154=""),"Payment due date missing; ","")="","OK",IF(AND(A154&lt;&gt;"",OR(B154="",C154="",E154="",F154="",H154="")),"PR info missing; ","")&amp;IF(AND(K154="Approved",OR(J154="",I154="")),"Approval ref/date missing; ","")&amp;IF(AND(O154&lt;&gt;"",K154&lt;&gt;"Approved"),"PO without approval; ","")&amp;IF(AND(O154&lt;&gt;"",OR(P154="",M154="",Q154="",S154="",T154="")),"PO details missing; ","")&amp;IF(AND(O154&lt;&gt;"",AR154=""),"Committed date missing; ","")&amp;IF(AND(ISNUMBER(J154),ISNUMBER(B154),N(J154)&lt;N(B154)),"Approval dated before PR; ","")&amp;IF(AND(ISNUMBER(P154),ISNUMBER(J154),N(P154)&lt;N(J154)),"PO dated before approval; ","")&amp;IF(AND(ISNUMBER(AY154),ISNUMBER(AS154),N(AY154)&lt;N(AS154)),"Close before in-house start; ","")&amp;IF(AND(AY154&lt;&gt;"",AS154=""),"In-house start date missing; ","")&amp;IF(AND(AY154&lt;&gt;"",AT154=""),"Qty received missing; ","")&amp;IF(AND(AY154&lt;&gt;"",BF154=""),"QC status missing; ","")&amp;IF(N(AT154)&gt;N(Q154)*1.05,"Received &gt; ordered +5%; ","")&amp;IF(AND(N(AI154)&gt;0,AE154=""),"Payment terms missing; ","")&amp;IF(N(AI154)&gt;N(AD154)+1,"Overpaid vs PO; ","")&amp;IF(AND(N(AK154)&gt;0,AY154&lt;&gt;"",AO154=""),"Payment due date missing; ","")))</f>
        <v/>
      </c>
      <c r="BK154" s="76" t="str">
        <f aca="false">IF(A154="","",IF(N(AP154)&gt;0,"Pay supplier: "&amp;N(AP154)&amp;" days overdue; ","")&amp;IF(AND(O154&lt;&gt;"",AY154="",N(BD154)&gt;0),"Expedite delivery: "&amp;N(BD154)&amp;" days late; ","")&amp;IF(AND(BI154="Awaiting Approval",ISNUMBER(B154),Settings!$B$4-N(B154)&gt;Settings!$B$19),"Get approval: PR waiting "&amp;(Settings!$B$4-N(B154))&amp;" days; ","")&amp;IF(AND(BI154="Approved - PO Pending",ISNUMBER(J154),Settings!$B$4-N(J154)&gt;Settings!$B$20),"Issue PO: approved "&amp;(Settings!$B$4-N(J154))&amp;" days ago; ","")&amp;IF(AND(OR(BI154="Awaiting Approval",BI154="Approved - PO Pending"),N(AB154)&gt;Settings!$B$7),"Negotiate price: "&amp;TEXT(AB154,"0%")&amp;" above budget; ","")&amp;IF(LEFT(AX154,12)="Short Closed","Short closed: claim balance / credit note"&amp;IF(N(AL154)&gt;0," BDT "&amp;TEXT(AL154,"#,##0"),"")&amp;"; ","")&amp;IF(BF154="Rejected","QC rejected: return / replace; ","")&amp;IF(AND(O154&lt;&gt;"",AY154="",N(AL154)&gt;0,N(BD154)&gt;0),"Advance at risk: BDT "&amp;TEXT(AL154,"#,##0")&amp;" paid, goods late; ","")&amp;IF(AND(BJ154&lt;&gt;"",BJ154&lt;&gt;"OK"),"Fix data entry (see Data Check); ",""))</f>
        <v/>
      </c>
      <c r="BL154" s="73" t="str">
        <f aca="false">IF(BK154="","",IF(OR(N(AP154)&gt;30,AND(AY154="",N(BD154)&gt;15),BF154="Rejected",AND(LEFT(AX154,12)="Short Closed",N(AL154)&gt;0),AND(O154&lt;&gt;"",AY154="",N(AL154)&gt;0,N(BD154)&gt;0)),"High",IF(OR(N(AP154)&gt;0,AND(AY154="",N(BD154)&gt;7),LEFT(AX154,12)="Short Closed",AND(BI154="Awaiting Approval",ISNUMBER(B154),Settings!$B$4-N(B154)&gt;2*Settings!$B$19),AND(BI154="Approved - PO Pending",ISNUMBER(J154),Settings!$B$4-N(J154)&gt;2*Settings!$B$20)),"Medium","Low")))</f>
        <v/>
      </c>
      <c r="BM154" s="77" t="str">
        <f aca="false">IF(BL154="","",IF(BL154="High",1,IF(BL154="Medium",2,3))*10000+ROW())</f>
        <v/>
      </c>
      <c r="BN154" s="62"/>
    </row>
    <row r="155" customFormat="false" ht="18" hidden="false" customHeight="true" outlineLevel="0" collapsed="false">
      <c r="A155" s="60"/>
      <c r="B155" s="61"/>
      <c r="C155" s="62"/>
      <c r="D155" s="62"/>
      <c r="E155" s="62"/>
      <c r="F155" s="62"/>
      <c r="G155" s="62"/>
      <c r="H155" s="60"/>
      <c r="I155" s="60"/>
      <c r="J155" s="61"/>
      <c r="K155" s="60"/>
      <c r="L155" s="60"/>
      <c r="M155" s="62"/>
      <c r="N155" s="60"/>
      <c r="O155" s="60"/>
      <c r="P155" s="61"/>
      <c r="Q155" s="63"/>
      <c r="R155" s="60"/>
      <c r="S155" s="64"/>
      <c r="T155" s="60"/>
      <c r="U155" s="65" t="str">
        <f aca="false">IF(AND(T155="",S155=""),"",IF(T155="",1,IFERROR(INDEX(Settings!$B$12:$B$16,MATCH(T155,Settings!$A$12:$A$16,0)),1)))</f>
        <v/>
      </c>
      <c r="V155" s="64"/>
      <c r="W155" s="66" t="str">
        <f aca="false">IF(OR(Q155="",S155=""),"",Q155*S155*U155)</f>
        <v/>
      </c>
      <c r="X155" s="65" t="str">
        <f aca="false">IF(OR(W155="",N(Q155)=0),"",W155/Q155)</f>
        <v/>
      </c>
      <c r="Y155" s="65" t="str">
        <f aca="false">IF(OR(X155="",P155="",E155=""),"",IF(_xlfn.MAXIFS($P$6:$P$205,$E$6:$E$205,E155,$P$6:$P$205,"&lt;"&amp;P155,$X$6:$X$205,"&gt;0")=0,"",IFERROR(AVERAGEIFS($X$6:$X$205,$E$6:$E$205,E155,$P$6:$P$205,_xlfn.MAXIFS($P$6:$P$205,$E$6:$E$205,E155,$P$6:$P$205,"&lt;"&amp;P155,$X$6:$X$205,"&gt;0"),$X$6:$X$205,"&gt;0"),"")))</f>
        <v/>
      </c>
      <c r="Z155" s="67" t="str">
        <f aca="false">IF(OR(Y155="",X155=""),"",X155/Y155-1)</f>
        <v/>
      </c>
      <c r="AA155" s="68" t="str">
        <f aca="false">IF(OR(W155="",V155=""),"",W155-Q155*V155)</f>
        <v/>
      </c>
      <c r="AB155" s="69" t="str">
        <f aca="false">IF(AA155="","",IF(N(V155)*N(Q155)=0,"",AA155/(Q155*V155)))</f>
        <v/>
      </c>
      <c r="AC155" s="70"/>
      <c r="AD155" s="66" t="str">
        <f aca="false">IF(W155="","",W155*(1+N(AC155)))</f>
        <v/>
      </c>
      <c r="AE155" s="62"/>
      <c r="AF155" s="71"/>
      <c r="AG155" s="71"/>
      <c r="AH155" s="71"/>
      <c r="AI155" s="66" t="str">
        <f aca="false">IF(A155="","",N(AF155)+N(AG155)+N(AH155))</f>
        <v/>
      </c>
      <c r="AJ155" s="72" t="str">
        <f aca="false">IF(AD155="","",IF(N(AD155)=0,"",AI155/AD155))</f>
        <v/>
      </c>
      <c r="AK155" s="66" t="str">
        <f aca="false">IF(AD155="","",IF(AD155-AI155&lt;1,0,ROUND(AD155-AI155,2)))</f>
        <v/>
      </c>
      <c r="AL155" s="66" t="str">
        <f aca="false">IF(OR(O155="",AD155=""),"",MAX(0,ROUND(N(AI155)-(AD155-N(AW155)),0)))</f>
        <v/>
      </c>
      <c r="AM155" s="73" t="str">
        <f aca="false">IF(A155="","",IF(O155="","No PO Yet",IF(AI155=0,"Not Paid",IF(N(AJ155)&gt;=0.999,"Fully Paid",IF(N(AG155)+N(AH155)&gt;0,"Partially Paid","Initial / Advance Paid")))))</f>
        <v/>
      </c>
      <c r="AN155" s="61"/>
      <c r="AO155" s="61"/>
      <c r="AP155" s="74" t="str">
        <f aca="false">IF(AK155="","",IF(OR(N(AK155)=0,AO155=""),"",MAX(0,Settings!$B$4-AO155)))</f>
        <v/>
      </c>
      <c r="AQ155" s="73" t="str">
        <f aca="false">IF(AK155="","",IF(N(AK155)&lt;=0,"",IF(AO155="","No Due Date",IF(Settings!$B$4&lt;=AO155,"Not Yet Due",IF(Settings!$B$4-AO155&lt;=30,"1-30 Days",IF(Settings!$B$4-AO155&lt;=60,"31-60 Days",IF(Settings!$B$4-AO155&lt;=90,"61-90 Days","90+ Days")))))))</f>
        <v/>
      </c>
      <c r="AR155" s="61"/>
      <c r="AS155" s="61"/>
      <c r="AT155" s="63"/>
      <c r="AU155" s="72" t="str">
        <f aca="false">IF(Q155="","",IF(N(Q155)=0,"",N(AT155)/Q155))</f>
        <v/>
      </c>
      <c r="AV155" s="75" t="str">
        <f aca="false">IF(OR(A155="",O155="",Q155=""),"",MAX(0,Q155-N(AT155)))</f>
        <v/>
      </c>
      <c r="AW155" s="66" t="str">
        <f aca="false">IF(OR(AV155="",W155=""),"",IF(N(Q155)=0,0,AV155/Q155*AD155))</f>
        <v/>
      </c>
      <c r="AX155" s="76" t="str">
        <f aca="false">IF(A155="","",IF(O155="","No PO Yet",IF(Q155="","Order Qty Missing",IF(N(AT155)&gt;=Q155,IF(N(AT155)&gt;Q155,"All In-house (+"&amp;TEXT(N(AT155)-Q155,"#,##0")&amp;" "&amp;R155&amp;" excess)","All In-house"),IF(AY155&lt;&gt;"","Short Closed - "&amp;TEXT(AV155,"#,##0")&amp;" "&amp;R155&amp;" not received",IF(N(AT155)=0,"Not Started - "&amp;TEXT(AV155,"#,##0")&amp;" "&amp;R155&amp;" pending","Pending "&amp;TEXT(AV155,"#,##0")&amp;" "&amp;R155&amp;" ("&amp;TEXT(AU155,"0%")&amp;" received)"))))))</f>
        <v/>
      </c>
      <c r="AY155" s="61"/>
      <c r="AZ155" s="77" t="str">
        <f aca="false">IF(OR(B155="",J155=""),"",J155-B155)</f>
        <v/>
      </c>
      <c r="BA155" s="77" t="str">
        <f aca="false">IF(OR(J155="",P155=""),"",P155-J155)</f>
        <v/>
      </c>
      <c r="BB155" s="77" t="str">
        <f aca="false">IF(OR(P155="",AY155=""),"",AY155-P155)</f>
        <v/>
      </c>
      <c r="BC155" s="77" t="str">
        <f aca="false">IF(OR(B155="",AY155=""),"",AY155-B155)</f>
        <v/>
      </c>
      <c r="BD155" s="74" t="str">
        <f aca="false">IF(OR(AR155="",O155=""),"",MAX(0,IF(AY155="",Settings!$B$4,AY155)-AR155))</f>
        <v/>
      </c>
      <c r="BE155" s="73" t="str">
        <f aca="false">IF(OR(AY155="",AR155=""),"",IF(AND(AY155&lt;=AR155,N(AU155)&gt;=Settings!$B$6),"OTIF","Not OTIF"))</f>
        <v/>
      </c>
      <c r="BF155" s="60"/>
      <c r="BG155" s="62"/>
      <c r="BH155" s="78"/>
      <c r="BI155" s="76" t="str">
        <f aca="false">IF(A155="","",IF(K155="Rejected","Rejected",IF(K155&lt;&gt;"Approved","Awaiting Approval",IF(O155="","Approved - PO Pending",IF(AY155&lt;&gt;"",IF(N(AJ155)&gt;=0.999,"Closed","In-house Closed - Payment Due"),IF(AS155&lt;&gt;"","Receiving In-house","PO Issued - Awaiting Delivery"))))))</f>
        <v/>
      </c>
      <c r="BJ155" s="76" t="str">
        <f aca="false">IF(A155="","",IF(IF(AND(A155&lt;&gt;"",OR(B155="",C155="",E155="",F155="",H155="")),"PR info missing; ","")&amp;IF(AND(K155="Approved",OR(J155="",I155="")),"Approval ref/date missing; ","")&amp;IF(AND(O155&lt;&gt;"",K155&lt;&gt;"Approved"),"PO without approval; ","")&amp;IF(AND(O155&lt;&gt;"",OR(P155="",M155="",Q155="",S155="",T155="")),"PO details missing; ","")&amp;IF(AND(O155&lt;&gt;"",AR155=""),"Committed date missing; ","")&amp;IF(AND(ISNUMBER(J155),ISNUMBER(B155),N(J155)&lt;N(B155)),"Approval dated before PR; ","")&amp;IF(AND(ISNUMBER(P155),ISNUMBER(J155),N(P155)&lt;N(J155)),"PO dated before approval; ","")&amp;IF(AND(ISNUMBER(AY155),ISNUMBER(AS155),N(AY155)&lt;N(AS155)),"Close before in-house start; ","")&amp;IF(AND(AY155&lt;&gt;"",AS155=""),"In-house start date missing; ","")&amp;IF(AND(AY155&lt;&gt;"",AT155=""),"Qty received missing; ","")&amp;IF(AND(AY155&lt;&gt;"",BF155=""),"QC status missing; ","")&amp;IF(N(AT155)&gt;N(Q155)*1.05,"Received &gt; ordered +5%; ","")&amp;IF(AND(N(AI155)&gt;0,AE155=""),"Payment terms missing; ","")&amp;IF(N(AI155)&gt;N(AD155)+1,"Overpaid vs PO; ","")&amp;IF(AND(N(AK155)&gt;0,AY155&lt;&gt;"",AO155=""),"Payment due date missing; ","")="","OK",IF(AND(A155&lt;&gt;"",OR(B155="",C155="",E155="",F155="",H155="")),"PR info missing; ","")&amp;IF(AND(K155="Approved",OR(J155="",I155="")),"Approval ref/date missing; ","")&amp;IF(AND(O155&lt;&gt;"",K155&lt;&gt;"Approved"),"PO without approval; ","")&amp;IF(AND(O155&lt;&gt;"",OR(P155="",M155="",Q155="",S155="",T155="")),"PO details missing; ","")&amp;IF(AND(O155&lt;&gt;"",AR155=""),"Committed date missing; ","")&amp;IF(AND(ISNUMBER(J155),ISNUMBER(B155),N(J155)&lt;N(B155)),"Approval dated before PR; ","")&amp;IF(AND(ISNUMBER(P155),ISNUMBER(J155),N(P155)&lt;N(J155)),"PO dated before approval; ","")&amp;IF(AND(ISNUMBER(AY155),ISNUMBER(AS155),N(AY155)&lt;N(AS155)),"Close before in-house start; ","")&amp;IF(AND(AY155&lt;&gt;"",AS155=""),"In-house start date missing; ","")&amp;IF(AND(AY155&lt;&gt;"",AT155=""),"Qty received missing; ","")&amp;IF(AND(AY155&lt;&gt;"",BF155=""),"QC status missing; ","")&amp;IF(N(AT155)&gt;N(Q155)*1.05,"Received &gt; ordered +5%; ","")&amp;IF(AND(N(AI155)&gt;0,AE155=""),"Payment terms missing; ","")&amp;IF(N(AI155)&gt;N(AD155)+1,"Overpaid vs PO; ","")&amp;IF(AND(N(AK155)&gt;0,AY155&lt;&gt;"",AO155=""),"Payment due date missing; ","")))</f>
        <v/>
      </c>
      <c r="BK155" s="76" t="str">
        <f aca="false">IF(A155="","",IF(N(AP155)&gt;0,"Pay supplier: "&amp;N(AP155)&amp;" days overdue; ","")&amp;IF(AND(O155&lt;&gt;"",AY155="",N(BD155)&gt;0),"Expedite delivery: "&amp;N(BD155)&amp;" days late; ","")&amp;IF(AND(BI155="Awaiting Approval",ISNUMBER(B155),Settings!$B$4-N(B155)&gt;Settings!$B$19),"Get approval: PR waiting "&amp;(Settings!$B$4-N(B155))&amp;" days; ","")&amp;IF(AND(BI155="Approved - PO Pending",ISNUMBER(J155),Settings!$B$4-N(J155)&gt;Settings!$B$20),"Issue PO: approved "&amp;(Settings!$B$4-N(J155))&amp;" days ago; ","")&amp;IF(AND(OR(BI155="Awaiting Approval",BI155="Approved - PO Pending"),N(AB155)&gt;Settings!$B$7),"Negotiate price: "&amp;TEXT(AB155,"0%")&amp;" above budget; ","")&amp;IF(LEFT(AX155,12)="Short Closed","Short closed: claim balance / credit note"&amp;IF(N(AL155)&gt;0," BDT "&amp;TEXT(AL155,"#,##0"),"")&amp;"; ","")&amp;IF(BF155="Rejected","QC rejected: return / replace; ","")&amp;IF(AND(O155&lt;&gt;"",AY155="",N(AL155)&gt;0,N(BD155)&gt;0),"Advance at risk: BDT "&amp;TEXT(AL155,"#,##0")&amp;" paid, goods late; ","")&amp;IF(AND(BJ155&lt;&gt;"",BJ155&lt;&gt;"OK"),"Fix data entry (see Data Check); ",""))</f>
        <v/>
      </c>
      <c r="BL155" s="73" t="str">
        <f aca="false">IF(BK155="","",IF(OR(N(AP155)&gt;30,AND(AY155="",N(BD155)&gt;15),BF155="Rejected",AND(LEFT(AX155,12)="Short Closed",N(AL155)&gt;0),AND(O155&lt;&gt;"",AY155="",N(AL155)&gt;0,N(BD155)&gt;0)),"High",IF(OR(N(AP155)&gt;0,AND(AY155="",N(BD155)&gt;7),LEFT(AX155,12)="Short Closed",AND(BI155="Awaiting Approval",ISNUMBER(B155),Settings!$B$4-N(B155)&gt;2*Settings!$B$19),AND(BI155="Approved - PO Pending",ISNUMBER(J155),Settings!$B$4-N(J155)&gt;2*Settings!$B$20)),"Medium","Low")))</f>
        <v/>
      </c>
      <c r="BM155" s="77" t="str">
        <f aca="false">IF(BL155="","",IF(BL155="High",1,IF(BL155="Medium",2,3))*10000+ROW())</f>
        <v/>
      </c>
      <c r="BN155" s="62"/>
    </row>
    <row r="156" customFormat="false" ht="18" hidden="false" customHeight="true" outlineLevel="0" collapsed="false">
      <c r="A156" s="60"/>
      <c r="B156" s="61"/>
      <c r="C156" s="62"/>
      <c r="D156" s="62"/>
      <c r="E156" s="62"/>
      <c r="F156" s="62"/>
      <c r="G156" s="62"/>
      <c r="H156" s="60"/>
      <c r="I156" s="60"/>
      <c r="J156" s="61"/>
      <c r="K156" s="60"/>
      <c r="L156" s="60"/>
      <c r="M156" s="62"/>
      <c r="N156" s="60"/>
      <c r="O156" s="60"/>
      <c r="P156" s="61"/>
      <c r="Q156" s="63"/>
      <c r="R156" s="60"/>
      <c r="S156" s="64"/>
      <c r="T156" s="60"/>
      <c r="U156" s="65" t="str">
        <f aca="false">IF(AND(T156="",S156=""),"",IF(T156="",1,IFERROR(INDEX(Settings!$B$12:$B$16,MATCH(T156,Settings!$A$12:$A$16,0)),1)))</f>
        <v/>
      </c>
      <c r="V156" s="64"/>
      <c r="W156" s="66" t="str">
        <f aca="false">IF(OR(Q156="",S156=""),"",Q156*S156*U156)</f>
        <v/>
      </c>
      <c r="X156" s="65" t="str">
        <f aca="false">IF(OR(W156="",N(Q156)=0),"",W156/Q156)</f>
        <v/>
      </c>
      <c r="Y156" s="65" t="str">
        <f aca="false">IF(OR(X156="",P156="",E156=""),"",IF(_xlfn.MAXIFS($P$6:$P$205,$E$6:$E$205,E156,$P$6:$P$205,"&lt;"&amp;P156,$X$6:$X$205,"&gt;0")=0,"",IFERROR(AVERAGEIFS($X$6:$X$205,$E$6:$E$205,E156,$P$6:$P$205,_xlfn.MAXIFS($P$6:$P$205,$E$6:$E$205,E156,$P$6:$P$205,"&lt;"&amp;P156,$X$6:$X$205,"&gt;0"),$X$6:$X$205,"&gt;0"),"")))</f>
        <v/>
      </c>
      <c r="Z156" s="67" t="str">
        <f aca="false">IF(OR(Y156="",X156=""),"",X156/Y156-1)</f>
        <v/>
      </c>
      <c r="AA156" s="68" t="str">
        <f aca="false">IF(OR(W156="",V156=""),"",W156-Q156*V156)</f>
        <v/>
      </c>
      <c r="AB156" s="69" t="str">
        <f aca="false">IF(AA156="","",IF(N(V156)*N(Q156)=0,"",AA156/(Q156*V156)))</f>
        <v/>
      </c>
      <c r="AC156" s="70"/>
      <c r="AD156" s="66" t="str">
        <f aca="false">IF(W156="","",W156*(1+N(AC156)))</f>
        <v/>
      </c>
      <c r="AE156" s="62"/>
      <c r="AF156" s="71"/>
      <c r="AG156" s="71"/>
      <c r="AH156" s="71"/>
      <c r="AI156" s="66" t="str">
        <f aca="false">IF(A156="","",N(AF156)+N(AG156)+N(AH156))</f>
        <v/>
      </c>
      <c r="AJ156" s="72" t="str">
        <f aca="false">IF(AD156="","",IF(N(AD156)=0,"",AI156/AD156))</f>
        <v/>
      </c>
      <c r="AK156" s="66" t="str">
        <f aca="false">IF(AD156="","",IF(AD156-AI156&lt;1,0,ROUND(AD156-AI156,2)))</f>
        <v/>
      </c>
      <c r="AL156" s="66" t="str">
        <f aca="false">IF(OR(O156="",AD156=""),"",MAX(0,ROUND(N(AI156)-(AD156-N(AW156)),0)))</f>
        <v/>
      </c>
      <c r="AM156" s="73" t="str">
        <f aca="false">IF(A156="","",IF(O156="","No PO Yet",IF(AI156=0,"Not Paid",IF(N(AJ156)&gt;=0.999,"Fully Paid",IF(N(AG156)+N(AH156)&gt;0,"Partially Paid","Initial / Advance Paid")))))</f>
        <v/>
      </c>
      <c r="AN156" s="61"/>
      <c r="AO156" s="61"/>
      <c r="AP156" s="74" t="str">
        <f aca="false">IF(AK156="","",IF(OR(N(AK156)=0,AO156=""),"",MAX(0,Settings!$B$4-AO156)))</f>
        <v/>
      </c>
      <c r="AQ156" s="73" t="str">
        <f aca="false">IF(AK156="","",IF(N(AK156)&lt;=0,"",IF(AO156="","No Due Date",IF(Settings!$B$4&lt;=AO156,"Not Yet Due",IF(Settings!$B$4-AO156&lt;=30,"1-30 Days",IF(Settings!$B$4-AO156&lt;=60,"31-60 Days",IF(Settings!$B$4-AO156&lt;=90,"61-90 Days","90+ Days")))))))</f>
        <v/>
      </c>
      <c r="AR156" s="61"/>
      <c r="AS156" s="61"/>
      <c r="AT156" s="63"/>
      <c r="AU156" s="72" t="str">
        <f aca="false">IF(Q156="","",IF(N(Q156)=0,"",N(AT156)/Q156))</f>
        <v/>
      </c>
      <c r="AV156" s="75" t="str">
        <f aca="false">IF(OR(A156="",O156="",Q156=""),"",MAX(0,Q156-N(AT156)))</f>
        <v/>
      </c>
      <c r="AW156" s="66" t="str">
        <f aca="false">IF(OR(AV156="",W156=""),"",IF(N(Q156)=0,0,AV156/Q156*AD156))</f>
        <v/>
      </c>
      <c r="AX156" s="76" t="str">
        <f aca="false">IF(A156="","",IF(O156="","No PO Yet",IF(Q156="","Order Qty Missing",IF(N(AT156)&gt;=Q156,IF(N(AT156)&gt;Q156,"All In-house (+"&amp;TEXT(N(AT156)-Q156,"#,##0")&amp;" "&amp;R156&amp;" excess)","All In-house"),IF(AY156&lt;&gt;"","Short Closed - "&amp;TEXT(AV156,"#,##0")&amp;" "&amp;R156&amp;" not received",IF(N(AT156)=0,"Not Started - "&amp;TEXT(AV156,"#,##0")&amp;" "&amp;R156&amp;" pending","Pending "&amp;TEXT(AV156,"#,##0")&amp;" "&amp;R156&amp;" ("&amp;TEXT(AU156,"0%")&amp;" received)"))))))</f>
        <v/>
      </c>
      <c r="AY156" s="61"/>
      <c r="AZ156" s="77" t="str">
        <f aca="false">IF(OR(B156="",J156=""),"",J156-B156)</f>
        <v/>
      </c>
      <c r="BA156" s="77" t="str">
        <f aca="false">IF(OR(J156="",P156=""),"",P156-J156)</f>
        <v/>
      </c>
      <c r="BB156" s="77" t="str">
        <f aca="false">IF(OR(P156="",AY156=""),"",AY156-P156)</f>
        <v/>
      </c>
      <c r="BC156" s="77" t="str">
        <f aca="false">IF(OR(B156="",AY156=""),"",AY156-B156)</f>
        <v/>
      </c>
      <c r="BD156" s="74" t="str">
        <f aca="false">IF(OR(AR156="",O156=""),"",MAX(0,IF(AY156="",Settings!$B$4,AY156)-AR156))</f>
        <v/>
      </c>
      <c r="BE156" s="73" t="str">
        <f aca="false">IF(OR(AY156="",AR156=""),"",IF(AND(AY156&lt;=AR156,N(AU156)&gt;=Settings!$B$6),"OTIF","Not OTIF"))</f>
        <v/>
      </c>
      <c r="BF156" s="60"/>
      <c r="BG156" s="62"/>
      <c r="BH156" s="78"/>
      <c r="BI156" s="76" t="str">
        <f aca="false">IF(A156="","",IF(K156="Rejected","Rejected",IF(K156&lt;&gt;"Approved","Awaiting Approval",IF(O156="","Approved - PO Pending",IF(AY156&lt;&gt;"",IF(N(AJ156)&gt;=0.999,"Closed","In-house Closed - Payment Due"),IF(AS156&lt;&gt;"","Receiving In-house","PO Issued - Awaiting Delivery"))))))</f>
        <v/>
      </c>
      <c r="BJ156" s="76" t="str">
        <f aca="false">IF(A156="","",IF(IF(AND(A156&lt;&gt;"",OR(B156="",C156="",E156="",F156="",H156="")),"PR info missing; ","")&amp;IF(AND(K156="Approved",OR(J156="",I156="")),"Approval ref/date missing; ","")&amp;IF(AND(O156&lt;&gt;"",K156&lt;&gt;"Approved"),"PO without approval; ","")&amp;IF(AND(O156&lt;&gt;"",OR(P156="",M156="",Q156="",S156="",T156="")),"PO details missing; ","")&amp;IF(AND(O156&lt;&gt;"",AR156=""),"Committed date missing; ","")&amp;IF(AND(ISNUMBER(J156),ISNUMBER(B156),N(J156)&lt;N(B156)),"Approval dated before PR; ","")&amp;IF(AND(ISNUMBER(P156),ISNUMBER(J156),N(P156)&lt;N(J156)),"PO dated before approval; ","")&amp;IF(AND(ISNUMBER(AY156),ISNUMBER(AS156),N(AY156)&lt;N(AS156)),"Close before in-house start; ","")&amp;IF(AND(AY156&lt;&gt;"",AS156=""),"In-house start date missing; ","")&amp;IF(AND(AY156&lt;&gt;"",AT156=""),"Qty received missing; ","")&amp;IF(AND(AY156&lt;&gt;"",BF156=""),"QC status missing; ","")&amp;IF(N(AT156)&gt;N(Q156)*1.05,"Received &gt; ordered +5%; ","")&amp;IF(AND(N(AI156)&gt;0,AE156=""),"Payment terms missing; ","")&amp;IF(N(AI156)&gt;N(AD156)+1,"Overpaid vs PO; ","")&amp;IF(AND(N(AK156)&gt;0,AY156&lt;&gt;"",AO156=""),"Payment due date missing; ","")="","OK",IF(AND(A156&lt;&gt;"",OR(B156="",C156="",E156="",F156="",H156="")),"PR info missing; ","")&amp;IF(AND(K156="Approved",OR(J156="",I156="")),"Approval ref/date missing; ","")&amp;IF(AND(O156&lt;&gt;"",K156&lt;&gt;"Approved"),"PO without approval; ","")&amp;IF(AND(O156&lt;&gt;"",OR(P156="",M156="",Q156="",S156="",T156="")),"PO details missing; ","")&amp;IF(AND(O156&lt;&gt;"",AR156=""),"Committed date missing; ","")&amp;IF(AND(ISNUMBER(J156),ISNUMBER(B156),N(J156)&lt;N(B156)),"Approval dated before PR; ","")&amp;IF(AND(ISNUMBER(P156),ISNUMBER(J156),N(P156)&lt;N(J156)),"PO dated before approval; ","")&amp;IF(AND(ISNUMBER(AY156),ISNUMBER(AS156),N(AY156)&lt;N(AS156)),"Close before in-house start; ","")&amp;IF(AND(AY156&lt;&gt;"",AS156=""),"In-house start date missing; ","")&amp;IF(AND(AY156&lt;&gt;"",AT156=""),"Qty received missing; ","")&amp;IF(AND(AY156&lt;&gt;"",BF156=""),"QC status missing; ","")&amp;IF(N(AT156)&gt;N(Q156)*1.05,"Received &gt; ordered +5%; ","")&amp;IF(AND(N(AI156)&gt;0,AE156=""),"Payment terms missing; ","")&amp;IF(N(AI156)&gt;N(AD156)+1,"Overpaid vs PO; ","")&amp;IF(AND(N(AK156)&gt;0,AY156&lt;&gt;"",AO156=""),"Payment due date missing; ","")))</f>
        <v/>
      </c>
      <c r="BK156" s="76" t="str">
        <f aca="false">IF(A156="","",IF(N(AP156)&gt;0,"Pay supplier: "&amp;N(AP156)&amp;" days overdue; ","")&amp;IF(AND(O156&lt;&gt;"",AY156="",N(BD156)&gt;0),"Expedite delivery: "&amp;N(BD156)&amp;" days late; ","")&amp;IF(AND(BI156="Awaiting Approval",ISNUMBER(B156),Settings!$B$4-N(B156)&gt;Settings!$B$19),"Get approval: PR waiting "&amp;(Settings!$B$4-N(B156))&amp;" days; ","")&amp;IF(AND(BI156="Approved - PO Pending",ISNUMBER(J156),Settings!$B$4-N(J156)&gt;Settings!$B$20),"Issue PO: approved "&amp;(Settings!$B$4-N(J156))&amp;" days ago; ","")&amp;IF(AND(OR(BI156="Awaiting Approval",BI156="Approved - PO Pending"),N(AB156)&gt;Settings!$B$7),"Negotiate price: "&amp;TEXT(AB156,"0%")&amp;" above budget; ","")&amp;IF(LEFT(AX156,12)="Short Closed","Short closed: claim balance / credit note"&amp;IF(N(AL156)&gt;0," BDT "&amp;TEXT(AL156,"#,##0"),"")&amp;"; ","")&amp;IF(BF156="Rejected","QC rejected: return / replace; ","")&amp;IF(AND(O156&lt;&gt;"",AY156="",N(AL156)&gt;0,N(BD156)&gt;0),"Advance at risk: BDT "&amp;TEXT(AL156,"#,##0")&amp;" paid, goods late; ","")&amp;IF(AND(BJ156&lt;&gt;"",BJ156&lt;&gt;"OK"),"Fix data entry (see Data Check); ",""))</f>
        <v/>
      </c>
      <c r="BL156" s="73" t="str">
        <f aca="false">IF(BK156="","",IF(OR(N(AP156)&gt;30,AND(AY156="",N(BD156)&gt;15),BF156="Rejected",AND(LEFT(AX156,12)="Short Closed",N(AL156)&gt;0),AND(O156&lt;&gt;"",AY156="",N(AL156)&gt;0,N(BD156)&gt;0)),"High",IF(OR(N(AP156)&gt;0,AND(AY156="",N(BD156)&gt;7),LEFT(AX156,12)="Short Closed",AND(BI156="Awaiting Approval",ISNUMBER(B156),Settings!$B$4-N(B156)&gt;2*Settings!$B$19),AND(BI156="Approved - PO Pending",ISNUMBER(J156),Settings!$B$4-N(J156)&gt;2*Settings!$B$20)),"Medium","Low")))</f>
        <v/>
      </c>
      <c r="BM156" s="77" t="str">
        <f aca="false">IF(BL156="","",IF(BL156="High",1,IF(BL156="Medium",2,3))*10000+ROW())</f>
        <v/>
      </c>
      <c r="BN156" s="62"/>
    </row>
    <row r="157" customFormat="false" ht="18" hidden="false" customHeight="true" outlineLevel="0" collapsed="false">
      <c r="A157" s="60"/>
      <c r="B157" s="61"/>
      <c r="C157" s="62"/>
      <c r="D157" s="62"/>
      <c r="E157" s="62"/>
      <c r="F157" s="62"/>
      <c r="G157" s="62"/>
      <c r="H157" s="60"/>
      <c r="I157" s="60"/>
      <c r="J157" s="61"/>
      <c r="K157" s="60"/>
      <c r="L157" s="60"/>
      <c r="M157" s="62"/>
      <c r="N157" s="60"/>
      <c r="O157" s="60"/>
      <c r="P157" s="61"/>
      <c r="Q157" s="63"/>
      <c r="R157" s="60"/>
      <c r="S157" s="64"/>
      <c r="T157" s="60"/>
      <c r="U157" s="65" t="str">
        <f aca="false">IF(AND(T157="",S157=""),"",IF(T157="",1,IFERROR(INDEX(Settings!$B$12:$B$16,MATCH(T157,Settings!$A$12:$A$16,0)),1)))</f>
        <v/>
      </c>
      <c r="V157" s="64"/>
      <c r="W157" s="66" t="str">
        <f aca="false">IF(OR(Q157="",S157=""),"",Q157*S157*U157)</f>
        <v/>
      </c>
      <c r="X157" s="65" t="str">
        <f aca="false">IF(OR(W157="",N(Q157)=0),"",W157/Q157)</f>
        <v/>
      </c>
      <c r="Y157" s="65" t="str">
        <f aca="false">IF(OR(X157="",P157="",E157=""),"",IF(_xlfn.MAXIFS($P$6:$P$205,$E$6:$E$205,E157,$P$6:$P$205,"&lt;"&amp;P157,$X$6:$X$205,"&gt;0")=0,"",IFERROR(AVERAGEIFS($X$6:$X$205,$E$6:$E$205,E157,$P$6:$P$205,_xlfn.MAXIFS($P$6:$P$205,$E$6:$E$205,E157,$P$6:$P$205,"&lt;"&amp;P157,$X$6:$X$205,"&gt;0"),$X$6:$X$205,"&gt;0"),"")))</f>
        <v/>
      </c>
      <c r="Z157" s="67" t="str">
        <f aca="false">IF(OR(Y157="",X157=""),"",X157/Y157-1)</f>
        <v/>
      </c>
      <c r="AA157" s="68" t="str">
        <f aca="false">IF(OR(W157="",V157=""),"",W157-Q157*V157)</f>
        <v/>
      </c>
      <c r="AB157" s="69" t="str">
        <f aca="false">IF(AA157="","",IF(N(V157)*N(Q157)=0,"",AA157/(Q157*V157)))</f>
        <v/>
      </c>
      <c r="AC157" s="70"/>
      <c r="AD157" s="66" t="str">
        <f aca="false">IF(W157="","",W157*(1+N(AC157)))</f>
        <v/>
      </c>
      <c r="AE157" s="62"/>
      <c r="AF157" s="71"/>
      <c r="AG157" s="71"/>
      <c r="AH157" s="71"/>
      <c r="AI157" s="66" t="str">
        <f aca="false">IF(A157="","",N(AF157)+N(AG157)+N(AH157))</f>
        <v/>
      </c>
      <c r="AJ157" s="72" t="str">
        <f aca="false">IF(AD157="","",IF(N(AD157)=0,"",AI157/AD157))</f>
        <v/>
      </c>
      <c r="AK157" s="66" t="str">
        <f aca="false">IF(AD157="","",IF(AD157-AI157&lt;1,0,ROUND(AD157-AI157,2)))</f>
        <v/>
      </c>
      <c r="AL157" s="66" t="str">
        <f aca="false">IF(OR(O157="",AD157=""),"",MAX(0,ROUND(N(AI157)-(AD157-N(AW157)),0)))</f>
        <v/>
      </c>
      <c r="AM157" s="73" t="str">
        <f aca="false">IF(A157="","",IF(O157="","No PO Yet",IF(AI157=0,"Not Paid",IF(N(AJ157)&gt;=0.999,"Fully Paid",IF(N(AG157)+N(AH157)&gt;0,"Partially Paid","Initial / Advance Paid")))))</f>
        <v/>
      </c>
      <c r="AN157" s="61"/>
      <c r="AO157" s="61"/>
      <c r="AP157" s="74" t="str">
        <f aca="false">IF(AK157="","",IF(OR(N(AK157)=0,AO157=""),"",MAX(0,Settings!$B$4-AO157)))</f>
        <v/>
      </c>
      <c r="AQ157" s="73" t="str">
        <f aca="false">IF(AK157="","",IF(N(AK157)&lt;=0,"",IF(AO157="","No Due Date",IF(Settings!$B$4&lt;=AO157,"Not Yet Due",IF(Settings!$B$4-AO157&lt;=30,"1-30 Days",IF(Settings!$B$4-AO157&lt;=60,"31-60 Days",IF(Settings!$B$4-AO157&lt;=90,"61-90 Days","90+ Days")))))))</f>
        <v/>
      </c>
      <c r="AR157" s="61"/>
      <c r="AS157" s="61"/>
      <c r="AT157" s="63"/>
      <c r="AU157" s="72" t="str">
        <f aca="false">IF(Q157="","",IF(N(Q157)=0,"",N(AT157)/Q157))</f>
        <v/>
      </c>
      <c r="AV157" s="75" t="str">
        <f aca="false">IF(OR(A157="",O157="",Q157=""),"",MAX(0,Q157-N(AT157)))</f>
        <v/>
      </c>
      <c r="AW157" s="66" t="str">
        <f aca="false">IF(OR(AV157="",W157=""),"",IF(N(Q157)=0,0,AV157/Q157*AD157))</f>
        <v/>
      </c>
      <c r="AX157" s="76" t="str">
        <f aca="false">IF(A157="","",IF(O157="","No PO Yet",IF(Q157="","Order Qty Missing",IF(N(AT157)&gt;=Q157,IF(N(AT157)&gt;Q157,"All In-house (+"&amp;TEXT(N(AT157)-Q157,"#,##0")&amp;" "&amp;R157&amp;" excess)","All In-house"),IF(AY157&lt;&gt;"","Short Closed - "&amp;TEXT(AV157,"#,##0")&amp;" "&amp;R157&amp;" not received",IF(N(AT157)=0,"Not Started - "&amp;TEXT(AV157,"#,##0")&amp;" "&amp;R157&amp;" pending","Pending "&amp;TEXT(AV157,"#,##0")&amp;" "&amp;R157&amp;" ("&amp;TEXT(AU157,"0%")&amp;" received)"))))))</f>
        <v/>
      </c>
      <c r="AY157" s="61"/>
      <c r="AZ157" s="77" t="str">
        <f aca="false">IF(OR(B157="",J157=""),"",J157-B157)</f>
        <v/>
      </c>
      <c r="BA157" s="77" t="str">
        <f aca="false">IF(OR(J157="",P157=""),"",P157-J157)</f>
        <v/>
      </c>
      <c r="BB157" s="77" t="str">
        <f aca="false">IF(OR(P157="",AY157=""),"",AY157-P157)</f>
        <v/>
      </c>
      <c r="BC157" s="77" t="str">
        <f aca="false">IF(OR(B157="",AY157=""),"",AY157-B157)</f>
        <v/>
      </c>
      <c r="BD157" s="74" t="str">
        <f aca="false">IF(OR(AR157="",O157=""),"",MAX(0,IF(AY157="",Settings!$B$4,AY157)-AR157))</f>
        <v/>
      </c>
      <c r="BE157" s="73" t="str">
        <f aca="false">IF(OR(AY157="",AR157=""),"",IF(AND(AY157&lt;=AR157,N(AU157)&gt;=Settings!$B$6),"OTIF","Not OTIF"))</f>
        <v/>
      </c>
      <c r="BF157" s="60"/>
      <c r="BG157" s="62"/>
      <c r="BH157" s="78"/>
      <c r="BI157" s="76" t="str">
        <f aca="false">IF(A157="","",IF(K157="Rejected","Rejected",IF(K157&lt;&gt;"Approved","Awaiting Approval",IF(O157="","Approved - PO Pending",IF(AY157&lt;&gt;"",IF(N(AJ157)&gt;=0.999,"Closed","In-house Closed - Payment Due"),IF(AS157&lt;&gt;"","Receiving In-house","PO Issued - Awaiting Delivery"))))))</f>
        <v/>
      </c>
      <c r="BJ157" s="76" t="str">
        <f aca="false">IF(A157="","",IF(IF(AND(A157&lt;&gt;"",OR(B157="",C157="",E157="",F157="",H157="")),"PR info missing; ","")&amp;IF(AND(K157="Approved",OR(J157="",I157="")),"Approval ref/date missing; ","")&amp;IF(AND(O157&lt;&gt;"",K157&lt;&gt;"Approved"),"PO without approval; ","")&amp;IF(AND(O157&lt;&gt;"",OR(P157="",M157="",Q157="",S157="",T157="")),"PO details missing; ","")&amp;IF(AND(O157&lt;&gt;"",AR157=""),"Committed date missing; ","")&amp;IF(AND(ISNUMBER(J157),ISNUMBER(B157),N(J157)&lt;N(B157)),"Approval dated before PR; ","")&amp;IF(AND(ISNUMBER(P157),ISNUMBER(J157),N(P157)&lt;N(J157)),"PO dated before approval; ","")&amp;IF(AND(ISNUMBER(AY157),ISNUMBER(AS157),N(AY157)&lt;N(AS157)),"Close before in-house start; ","")&amp;IF(AND(AY157&lt;&gt;"",AS157=""),"In-house start date missing; ","")&amp;IF(AND(AY157&lt;&gt;"",AT157=""),"Qty received missing; ","")&amp;IF(AND(AY157&lt;&gt;"",BF157=""),"QC status missing; ","")&amp;IF(N(AT157)&gt;N(Q157)*1.05,"Received &gt; ordered +5%; ","")&amp;IF(AND(N(AI157)&gt;0,AE157=""),"Payment terms missing; ","")&amp;IF(N(AI157)&gt;N(AD157)+1,"Overpaid vs PO; ","")&amp;IF(AND(N(AK157)&gt;0,AY157&lt;&gt;"",AO157=""),"Payment due date missing; ","")="","OK",IF(AND(A157&lt;&gt;"",OR(B157="",C157="",E157="",F157="",H157="")),"PR info missing; ","")&amp;IF(AND(K157="Approved",OR(J157="",I157="")),"Approval ref/date missing; ","")&amp;IF(AND(O157&lt;&gt;"",K157&lt;&gt;"Approved"),"PO without approval; ","")&amp;IF(AND(O157&lt;&gt;"",OR(P157="",M157="",Q157="",S157="",T157="")),"PO details missing; ","")&amp;IF(AND(O157&lt;&gt;"",AR157=""),"Committed date missing; ","")&amp;IF(AND(ISNUMBER(J157),ISNUMBER(B157),N(J157)&lt;N(B157)),"Approval dated before PR; ","")&amp;IF(AND(ISNUMBER(P157),ISNUMBER(J157),N(P157)&lt;N(J157)),"PO dated before approval; ","")&amp;IF(AND(ISNUMBER(AY157),ISNUMBER(AS157),N(AY157)&lt;N(AS157)),"Close before in-house start; ","")&amp;IF(AND(AY157&lt;&gt;"",AS157=""),"In-house start date missing; ","")&amp;IF(AND(AY157&lt;&gt;"",AT157=""),"Qty received missing; ","")&amp;IF(AND(AY157&lt;&gt;"",BF157=""),"QC status missing; ","")&amp;IF(N(AT157)&gt;N(Q157)*1.05,"Received &gt; ordered +5%; ","")&amp;IF(AND(N(AI157)&gt;0,AE157=""),"Payment terms missing; ","")&amp;IF(N(AI157)&gt;N(AD157)+1,"Overpaid vs PO; ","")&amp;IF(AND(N(AK157)&gt;0,AY157&lt;&gt;"",AO157=""),"Payment due date missing; ","")))</f>
        <v/>
      </c>
      <c r="BK157" s="76" t="str">
        <f aca="false">IF(A157="","",IF(N(AP157)&gt;0,"Pay supplier: "&amp;N(AP157)&amp;" days overdue; ","")&amp;IF(AND(O157&lt;&gt;"",AY157="",N(BD157)&gt;0),"Expedite delivery: "&amp;N(BD157)&amp;" days late; ","")&amp;IF(AND(BI157="Awaiting Approval",ISNUMBER(B157),Settings!$B$4-N(B157)&gt;Settings!$B$19),"Get approval: PR waiting "&amp;(Settings!$B$4-N(B157))&amp;" days; ","")&amp;IF(AND(BI157="Approved - PO Pending",ISNUMBER(J157),Settings!$B$4-N(J157)&gt;Settings!$B$20),"Issue PO: approved "&amp;(Settings!$B$4-N(J157))&amp;" days ago; ","")&amp;IF(AND(OR(BI157="Awaiting Approval",BI157="Approved - PO Pending"),N(AB157)&gt;Settings!$B$7),"Negotiate price: "&amp;TEXT(AB157,"0%")&amp;" above budget; ","")&amp;IF(LEFT(AX157,12)="Short Closed","Short closed: claim balance / credit note"&amp;IF(N(AL157)&gt;0," BDT "&amp;TEXT(AL157,"#,##0"),"")&amp;"; ","")&amp;IF(BF157="Rejected","QC rejected: return / replace; ","")&amp;IF(AND(O157&lt;&gt;"",AY157="",N(AL157)&gt;0,N(BD157)&gt;0),"Advance at risk: BDT "&amp;TEXT(AL157,"#,##0")&amp;" paid, goods late; ","")&amp;IF(AND(BJ157&lt;&gt;"",BJ157&lt;&gt;"OK"),"Fix data entry (see Data Check); ",""))</f>
        <v/>
      </c>
      <c r="BL157" s="73" t="str">
        <f aca="false">IF(BK157="","",IF(OR(N(AP157)&gt;30,AND(AY157="",N(BD157)&gt;15),BF157="Rejected",AND(LEFT(AX157,12)="Short Closed",N(AL157)&gt;0),AND(O157&lt;&gt;"",AY157="",N(AL157)&gt;0,N(BD157)&gt;0)),"High",IF(OR(N(AP157)&gt;0,AND(AY157="",N(BD157)&gt;7),LEFT(AX157,12)="Short Closed",AND(BI157="Awaiting Approval",ISNUMBER(B157),Settings!$B$4-N(B157)&gt;2*Settings!$B$19),AND(BI157="Approved - PO Pending",ISNUMBER(J157),Settings!$B$4-N(J157)&gt;2*Settings!$B$20)),"Medium","Low")))</f>
        <v/>
      </c>
      <c r="BM157" s="77" t="str">
        <f aca="false">IF(BL157="","",IF(BL157="High",1,IF(BL157="Medium",2,3))*10000+ROW())</f>
        <v/>
      </c>
      <c r="BN157" s="62"/>
    </row>
    <row r="158" customFormat="false" ht="18" hidden="false" customHeight="true" outlineLevel="0" collapsed="false">
      <c r="A158" s="60"/>
      <c r="B158" s="61"/>
      <c r="C158" s="62"/>
      <c r="D158" s="62"/>
      <c r="E158" s="62"/>
      <c r="F158" s="62"/>
      <c r="G158" s="62"/>
      <c r="H158" s="60"/>
      <c r="I158" s="60"/>
      <c r="J158" s="61"/>
      <c r="K158" s="60"/>
      <c r="L158" s="60"/>
      <c r="M158" s="62"/>
      <c r="N158" s="60"/>
      <c r="O158" s="60"/>
      <c r="P158" s="61"/>
      <c r="Q158" s="63"/>
      <c r="R158" s="60"/>
      <c r="S158" s="64"/>
      <c r="T158" s="60"/>
      <c r="U158" s="65" t="str">
        <f aca="false">IF(AND(T158="",S158=""),"",IF(T158="",1,IFERROR(INDEX(Settings!$B$12:$B$16,MATCH(T158,Settings!$A$12:$A$16,0)),1)))</f>
        <v/>
      </c>
      <c r="V158" s="64"/>
      <c r="W158" s="66" t="str">
        <f aca="false">IF(OR(Q158="",S158=""),"",Q158*S158*U158)</f>
        <v/>
      </c>
      <c r="X158" s="65" t="str">
        <f aca="false">IF(OR(W158="",N(Q158)=0),"",W158/Q158)</f>
        <v/>
      </c>
      <c r="Y158" s="65" t="str">
        <f aca="false">IF(OR(X158="",P158="",E158=""),"",IF(_xlfn.MAXIFS($P$6:$P$205,$E$6:$E$205,E158,$P$6:$P$205,"&lt;"&amp;P158,$X$6:$X$205,"&gt;0")=0,"",IFERROR(AVERAGEIFS($X$6:$X$205,$E$6:$E$205,E158,$P$6:$P$205,_xlfn.MAXIFS($P$6:$P$205,$E$6:$E$205,E158,$P$6:$P$205,"&lt;"&amp;P158,$X$6:$X$205,"&gt;0"),$X$6:$X$205,"&gt;0"),"")))</f>
        <v/>
      </c>
      <c r="Z158" s="67" t="str">
        <f aca="false">IF(OR(Y158="",X158=""),"",X158/Y158-1)</f>
        <v/>
      </c>
      <c r="AA158" s="68" t="str">
        <f aca="false">IF(OR(W158="",V158=""),"",W158-Q158*V158)</f>
        <v/>
      </c>
      <c r="AB158" s="69" t="str">
        <f aca="false">IF(AA158="","",IF(N(V158)*N(Q158)=0,"",AA158/(Q158*V158)))</f>
        <v/>
      </c>
      <c r="AC158" s="70"/>
      <c r="AD158" s="66" t="str">
        <f aca="false">IF(W158="","",W158*(1+N(AC158)))</f>
        <v/>
      </c>
      <c r="AE158" s="62"/>
      <c r="AF158" s="71"/>
      <c r="AG158" s="71"/>
      <c r="AH158" s="71"/>
      <c r="AI158" s="66" t="str">
        <f aca="false">IF(A158="","",N(AF158)+N(AG158)+N(AH158))</f>
        <v/>
      </c>
      <c r="AJ158" s="72" t="str">
        <f aca="false">IF(AD158="","",IF(N(AD158)=0,"",AI158/AD158))</f>
        <v/>
      </c>
      <c r="AK158" s="66" t="str">
        <f aca="false">IF(AD158="","",IF(AD158-AI158&lt;1,0,ROUND(AD158-AI158,2)))</f>
        <v/>
      </c>
      <c r="AL158" s="66" t="str">
        <f aca="false">IF(OR(O158="",AD158=""),"",MAX(0,ROUND(N(AI158)-(AD158-N(AW158)),0)))</f>
        <v/>
      </c>
      <c r="AM158" s="73" t="str">
        <f aca="false">IF(A158="","",IF(O158="","No PO Yet",IF(AI158=0,"Not Paid",IF(N(AJ158)&gt;=0.999,"Fully Paid",IF(N(AG158)+N(AH158)&gt;0,"Partially Paid","Initial / Advance Paid")))))</f>
        <v/>
      </c>
      <c r="AN158" s="61"/>
      <c r="AO158" s="61"/>
      <c r="AP158" s="74" t="str">
        <f aca="false">IF(AK158="","",IF(OR(N(AK158)=0,AO158=""),"",MAX(0,Settings!$B$4-AO158)))</f>
        <v/>
      </c>
      <c r="AQ158" s="73" t="str">
        <f aca="false">IF(AK158="","",IF(N(AK158)&lt;=0,"",IF(AO158="","No Due Date",IF(Settings!$B$4&lt;=AO158,"Not Yet Due",IF(Settings!$B$4-AO158&lt;=30,"1-30 Days",IF(Settings!$B$4-AO158&lt;=60,"31-60 Days",IF(Settings!$B$4-AO158&lt;=90,"61-90 Days","90+ Days")))))))</f>
        <v/>
      </c>
      <c r="AR158" s="61"/>
      <c r="AS158" s="61"/>
      <c r="AT158" s="63"/>
      <c r="AU158" s="72" t="str">
        <f aca="false">IF(Q158="","",IF(N(Q158)=0,"",N(AT158)/Q158))</f>
        <v/>
      </c>
      <c r="AV158" s="75" t="str">
        <f aca="false">IF(OR(A158="",O158="",Q158=""),"",MAX(0,Q158-N(AT158)))</f>
        <v/>
      </c>
      <c r="AW158" s="66" t="str">
        <f aca="false">IF(OR(AV158="",W158=""),"",IF(N(Q158)=0,0,AV158/Q158*AD158))</f>
        <v/>
      </c>
      <c r="AX158" s="76" t="str">
        <f aca="false">IF(A158="","",IF(O158="","No PO Yet",IF(Q158="","Order Qty Missing",IF(N(AT158)&gt;=Q158,IF(N(AT158)&gt;Q158,"All In-house (+"&amp;TEXT(N(AT158)-Q158,"#,##0")&amp;" "&amp;R158&amp;" excess)","All In-house"),IF(AY158&lt;&gt;"","Short Closed - "&amp;TEXT(AV158,"#,##0")&amp;" "&amp;R158&amp;" not received",IF(N(AT158)=0,"Not Started - "&amp;TEXT(AV158,"#,##0")&amp;" "&amp;R158&amp;" pending","Pending "&amp;TEXT(AV158,"#,##0")&amp;" "&amp;R158&amp;" ("&amp;TEXT(AU158,"0%")&amp;" received)"))))))</f>
        <v/>
      </c>
      <c r="AY158" s="61"/>
      <c r="AZ158" s="77" t="str">
        <f aca="false">IF(OR(B158="",J158=""),"",J158-B158)</f>
        <v/>
      </c>
      <c r="BA158" s="77" t="str">
        <f aca="false">IF(OR(J158="",P158=""),"",P158-J158)</f>
        <v/>
      </c>
      <c r="BB158" s="77" t="str">
        <f aca="false">IF(OR(P158="",AY158=""),"",AY158-P158)</f>
        <v/>
      </c>
      <c r="BC158" s="77" t="str">
        <f aca="false">IF(OR(B158="",AY158=""),"",AY158-B158)</f>
        <v/>
      </c>
      <c r="BD158" s="74" t="str">
        <f aca="false">IF(OR(AR158="",O158=""),"",MAX(0,IF(AY158="",Settings!$B$4,AY158)-AR158))</f>
        <v/>
      </c>
      <c r="BE158" s="73" t="str">
        <f aca="false">IF(OR(AY158="",AR158=""),"",IF(AND(AY158&lt;=AR158,N(AU158)&gt;=Settings!$B$6),"OTIF","Not OTIF"))</f>
        <v/>
      </c>
      <c r="BF158" s="60"/>
      <c r="BG158" s="62"/>
      <c r="BH158" s="78"/>
      <c r="BI158" s="76" t="str">
        <f aca="false">IF(A158="","",IF(K158="Rejected","Rejected",IF(K158&lt;&gt;"Approved","Awaiting Approval",IF(O158="","Approved - PO Pending",IF(AY158&lt;&gt;"",IF(N(AJ158)&gt;=0.999,"Closed","In-house Closed - Payment Due"),IF(AS158&lt;&gt;"","Receiving In-house","PO Issued - Awaiting Delivery"))))))</f>
        <v/>
      </c>
      <c r="BJ158" s="76" t="str">
        <f aca="false">IF(A158="","",IF(IF(AND(A158&lt;&gt;"",OR(B158="",C158="",E158="",F158="",H158="")),"PR info missing; ","")&amp;IF(AND(K158="Approved",OR(J158="",I158="")),"Approval ref/date missing; ","")&amp;IF(AND(O158&lt;&gt;"",K158&lt;&gt;"Approved"),"PO without approval; ","")&amp;IF(AND(O158&lt;&gt;"",OR(P158="",M158="",Q158="",S158="",T158="")),"PO details missing; ","")&amp;IF(AND(O158&lt;&gt;"",AR158=""),"Committed date missing; ","")&amp;IF(AND(ISNUMBER(J158),ISNUMBER(B158),N(J158)&lt;N(B158)),"Approval dated before PR; ","")&amp;IF(AND(ISNUMBER(P158),ISNUMBER(J158),N(P158)&lt;N(J158)),"PO dated before approval; ","")&amp;IF(AND(ISNUMBER(AY158),ISNUMBER(AS158),N(AY158)&lt;N(AS158)),"Close before in-house start; ","")&amp;IF(AND(AY158&lt;&gt;"",AS158=""),"In-house start date missing; ","")&amp;IF(AND(AY158&lt;&gt;"",AT158=""),"Qty received missing; ","")&amp;IF(AND(AY158&lt;&gt;"",BF158=""),"QC status missing; ","")&amp;IF(N(AT158)&gt;N(Q158)*1.05,"Received &gt; ordered +5%; ","")&amp;IF(AND(N(AI158)&gt;0,AE158=""),"Payment terms missing; ","")&amp;IF(N(AI158)&gt;N(AD158)+1,"Overpaid vs PO; ","")&amp;IF(AND(N(AK158)&gt;0,AY158&lt;&gt;"",AO158=""),"Payment due date missing; ","")="","OK",IF(AND(A158&lt;&gt;"",OR(B158="",C158="",E158="",F158="",H158="")),"PR info missing; ","")&amp;IF(AND(K158="Approved",OR(J158="",I158="")),"Approval ref/date missing; ","")&amp;IF(AND(O158&lt;&gt;"",K158&lt;&gt;"Approved"),"PO without approval; ","")&amp;IF(AND(O158&lt;&gt;"",OR(P158="",M158="",Q158="",S158="",T158="")),"PO details missing; ","")&amp;IF(AND(O158&lt;&gt;"",AR158=""),"Committed date missing; ","")&amp;IF(AND(ISNUMBER(J158),ISNUMBER(B158),N(J158)&lt;N(B158)),"Approval dated before PR; ","")&amp;IF(AND(ISNUMBER(P158),ISNUMBER(J158),N(P158)&lt;N(J158)),"PO dated before approval; ","")&amp;IF(AND(ISNUMBER(AY158),ISNUMBER(AS158),N(AY158)&lt;N(AS158)),"Close before in-house start; ","")&amp;IF(AND(AY158&lt;&gt;"",AS158=""),"In-house start date missing; ","")&amp;IF(AND(AY158&lt;&gt;"",AT158=""),"Qty received missing; ","")&amp;IF(AND(AY158&lt;&gt;"",BF158=""),"QC status missing; ","")&amp;IF(N(AT158)&gt;N(Q158)*1.05,"Received &gt; ordered +5%; ","")&amp;IF(AND(N(AI158)&gt;0,AE158=""),"Payment terms missing; ","")&amp;IF(N(AI158)&gt;N(AD158)+1,"Overpaid vs PO; ","")&amp;IF(AND(N(AK158)&gt;0,AY158&lt;&gt;"",AO158=""),"Payment due date missing; ","")))</f>
        <v/>
      </c>
      <c r="BK158" s="76" t="str">
        <f aca="false">IF(A158="","",IF(N(AP158)&gt;0,"Pay supplier: "&amp;N(AP158)&amp;" days overdue; ","")&amp;IF(AND(O158&lt;&gt;"",AY158="",N(BD158)&gt;0),"Expedite delivery: "&amp;N(BD158)&amp;" days late; ","")&amp;IF(AND(BI158="Awaiting Approval",ISNUMBER(B158),Settings!$B$4-N(B158)&gt;Settings!$B$19),"Get approval: PR waiting "&amp;(Settings!$B$4-N(B158))&amp;" days; ","")&amp;IF(AND(BI158="Approved - PO Pending",ISNUMBER(J158),Settings!$B$4-N(J158)&gt;Settings!$B$20),"Issue PO: approved "&amp;(Settings!$B$4-N(J158))&amp;" days ago; ","")&amp;IF(AND(OR(BI158="Awaiting Approval",BI158="Approved - PO Pending"),N(AB158)&gt;Settings!$B$7),"Negotiate price: "&amp;TEXT(AB158,"0%")&amp;" above budget; ","")&amp;IF(LEFT(AX158,12)="Short Closed","Short closed: claim balance / credit note"&amp;IF(N(AL158)&gt;0," BDT "&amp;TEXT(AL158,"#,##0"),"")&amp;"; ","")&amp;IF(BF158="Rejected","QC rejected: return / replace; ","")&amp;IF(AND(O158&lt;&gt;"",AY158="",N(AL158)&gt;0,N(BD158)&gt;0),"Advance at risk: BDT "&amp;TEXT(AL158,"#,##0")&amp;" paid, goods late; ","")&amp;IF(AND(BJ158&lt;&gt;"",BJ158&lt;&gt;"OK"),"Fix data entry (see Data Check); ",""))</f>
        <v/>
      </c>
      <c r="BL158" s="73" t="str">
        <f aca="false">IF(BK158="","",IF(OR(N(AP158)&gt;30,AND(AY158="",N(BD158)&gt;15),BF158="Rejected",AND(LEFT(AX158,12)="Short Closed",N(AL158)&gt;0),AND(O158&lt;&gt;"",AY158="",N(AL158)&gt;0,N(BD158)&gt;0)),"High",IF(OR(N(AP158)&gt;0,AND(AY158="",N(BD158)&gt;7),LEFT(AX158,12)="Short Closed",AND(BI158="Awaiting Approval",ISNUMBER(B158),Settings!$B$4-N(B158)&gt;2*Settings!$B$19),AND(BI158="Approved - PO Pending",ISNUMBER(J158),Settings!$B$4-N(J158)&gt;2*Settings!$B$20)),"Medium","Low")))</f>
        <v/>
      </c>
      <c r="BM158" s="77" t="str">
        <f aca="false">IF(BL158="","",IF(BL158="High",1,IF(BL158="Medium",2,3))*10000+ROW())</f>
        <v/>
      </c>
      <c r="BN158" s="62"/>
    </row>
    <row r="159" customFormat="false" ht="18" hidden="false" customHeight="true" outlineLevel="0" collapsed="false">
      <c r="A159" s="60"/>
      <c r="B159" s="61"/>
      <c r="C159" s="62"/>
      <c r="D159" s="62"/>
      <c r="E159" s="62"/>
      <c r="F159" s="62"/>
      <c r="G159" s="62"/>
      <c r="H159" s="60"/>
      <c r="I159" s="60"/>
      <c r="J159" s="61"/>
      <c r="K159" s="60"/>
      <c r="L159" s="60"/>
      <c r="M159" s="62"/>
      <c r="N159" s="60"/>
      <c r="O159" s="60"/>
      <c r="P159" s="61"/>
      <c r="Q159" s="63"/>
      <c r="R159" s="60"/>
      <c r="S159" s="64"/>
      <c r="T159" s="60"/>
      <c r="U159" s="65" t="str">
        <f aca="false">IF(AND(T159="",S159=""),"",IF(T159="",1,IFERROR(INDEX(Settings!$B$12:$B$16,MATCH(T159,Settings!$A$12:$A$16,0)),1)))</f>
        <v/>
      </c>
      <c r="V159" s="64"/>
      <c r="W159" s="66" t="str">
        <f aca="false">IF(OR(Q159="",S159=""),"",Q159*S159*U159)</f>
        <v/>
      </c>
      <c r="X159" s="65" t="str">
        <f aca="false">IF(OR(W159="",N(Q159)=0),"",W159/Q159)</f>
        <v/>
      </c>
      <c r="Y159" s="65" t="str">
        <f aca="false">IF(OR(X159="",P159="",E159=""),"",IF(_xlfn.MAXIFS($P$6:$P$205,$E$6:$E$205,E159,$P$6:$P$205,"&lt;"&amp;P159,$X$6:$X$205,"&gt;0")=0,"",IFERROR(AVERAGEIFS($X$6:$X$205,$E$6:$E$205,E159,$P$6:$P$205,_xlfn.MAXIFS($P$6:$P$205,$E$6:$E$205,E159,$P$6:$P$205,"&lt;"&amp;P159,$X$6:$X$205,"&gt;0"),$X$6:$X$205,"&gt;0"),"")))</f>
        <v/>
      </c>
      <c r="Z159" s="67" t="str">
        <f aca="false">IF(OR(Y159="",X159=""),"",X159/Y159-1)</f>
        <v/>
      </c>
      <c r="AA159" s="68" t="str">
        <f aca="false">IF(OR(W159="",V159=""),"",W159-Q159*V159)</f>
        <v/>
      </c>
      <c r="AB159" s="69" t="str">
        <f aca="false">IF(AA159="","",IF(N(V159)*N(Q159)=0,"",AA159/(Q159*V159)))</f>
        <v/>
      </c>
      <c r="AC159" s="70"/>
      <c r="AD159" s="66" t="str">
        <f aca="false">IF(W159="","",W159*(1+N(AC159)))</f>
        <v/>
      </c>
      <c r="AE159" s="62"/>
      <c r="AF159" s="71"/>
      <c r="AG159" s="71"/>
      <c r="AH159" s="71"/>
      <c r="AI159" s="66" t="str">
        <f aca="false">IF(A159="","",N(AF159)+N(AG159)+N(AH159))</f>
        <v/>
      </c>
      <c r="AJ159" s="72" t="str">
        <f aca="false">IF(AD159="","",IF(N(AD159)=0,"",AI159/AD159))</f>
        <v/>
      </c>
      <c r="AK159" s="66" t="str">
        <f aca="false">IF(AD159="","",IF(AD159-AI159&lt;1,0,ROUND(AD159-AI159,2)))</f>
        <v/>
      </c>
      <c r="AL159" s="66" t="str">
        <f aca="false">IF(OR(O159="",AD159=""),"",MAX(0,ROUND(N(AI159)-(AD159-N(AW159)),0)))</f>
        <v/>
      </c>
      <c r="AM159" s="73" t="str">
        <f aca="false">IF(A159="","",IF(O159="","No PO Yet",IF(AI159=0,"Not Paid",IF(N(AJ159)&gt;=0.999,"Fully Paid",IF(N(AG159)+N(AH159)&gt;0,"Partially Paid","Initial / Advance Paid")))))</f>
        <v/>
      </c>
      <c r="AN159" s="61"/>
      <c r="AO159" s="61"/>
      <c r="AP159" s="74" t="str">
        <f aca="false">IF(AK159="","",IF(OR(N(AK159)=0,AO159=""),"",MAX(0,Settings!$B$4-AO159)))</f>
        <v/>
      </c>
      <c r="AQ159" s="73" t="str">
        <f aca="false">IF(AK159="","",IF(N(AK159)&lt;=0,"",IF(AO159="","No Due Date",IF(Settings!$B$4&lt;=AO159,"Not Yet Due",IF(Settings!$B$4-AO159&lt;=30,"1-30 Days",IF(Settings!$B$4-AO159&lt;=60,"31-60 Days",IF(Settings!$B$4-AO159&lt;=90,"61-90 Days","90+ Days")))))))</f>
        <v/>
      </c>
      <c r="AR159" s="61"/>
      <c r="AS159" s="61"/>
      <c r="AT159" s="63"/>
      <c r="AU159" s="72" t="str">
        <f aca="false">IF(Q159="","",IF(N(Q159)=0,"",N(AT159)/Q159))</f>
        <v/>
      </c>
      <c r="AV159" s="75" t="str">
        <f aca="false">IF(OR(A159="",O159="",Q159=""),"",MAX(0,Q159-N(AT159)))</f>
        <v/>
      </c>
      <c r="AW159" s="66" t="str">
        <f aca="false">IF(OR(AV159="",W159=""),"",IF(N(Q159)=0,0,AV159/Q159*AD159))</f>
        <v/>
      </c>
      <c r="AX159" s="76" t="str">
        <f aca="false">IF(A159="","",IF(O159="","No PO Yet",IF(Q159="","Order Qty Missing",IF(N(AT159)&gt;=Q159,IF(N(AT159)&gt;Q159,"All In-house (+"&amp;TEXT(N(AT159)-Q159,"#,##0")&amp;" "&amp;R159&amp;" excess)","All In-house"),IF(AY159&lt;&gt;"","Short Closed - "&amp;TEXT(AV159,"#,##0")&amp;" "&amp;R159&amp;" not received",IF(N(AT159)=0,"Not Started - "&amp;TEXT(AV159,"#,##0")&amp;" "&amp;R159&amp;" pending","Pending "&amp;TEXT(AV159,"#,##0")&amp;" "&amp;R159&amp;" ("&amp;TEXT(AU159,"0%")&amp;" received)"))))))</f>
        <v/>
      </c>
      <c r="AY159" s="61"/>
      <c r="AZ159" s="77" t="str">
        <f aca="false">IF(OR(B159="",J159=""),"",J159-B159)</f>
        <v/>
      </c>
      <c r="BA159" s="77" t="str">
        <f aca="false">IF(OR(J159="",P159=""),"",P159-J159)</f>
        <v/>
      </c>
      <c r="BB159" s="77" t="str">
        <f aca="false">IF(OR(P159="",AY159=""),"",AY159-P159)</f>
        <v/>
      </c>
      <c r="BC159" s="77" t="str">
        <f aca="false">IF(OR(B159="",AY159=""),"",AY159-B159)</f>
        <v/>
      </c>
      <c r="BD159" s="74" t="str">
        <f aca="false">IF(OR(AR159="",O159=""),"",MAX(0,IF(AY159="",Settings!$B$4,AY159)-AR159))</f>
        <v/>
      </c>
      <c r="BE159" s="73" t="str">
        <f aca="false">IF(OR(AY159="",AR159=""),"",IF(AND(AY159&lt;=AR159,N(AU159)&gt;=Settings!$B$6),"OTIF","Not OTIF"))</f>
        <v/>
      </c>
      <c r="BF159" s="60"/>
      <c r="BG159" s="62"/>
      <c r="BH159" s="78"/>
      <c r="BI159" s="76" t="str">
        <f aca="false">IF(A159="","",IF(K159="Rejected","Rejected",IF(K159&lt;&gt;"Approved","Awaiting Approval",IF(O159="","Approved - PO Pending",IF(AY159&lt;&gt;"",IF(N(AJ159)&gt;=0.999,"Closed","In-house Closed - Payment Due"),IF(AS159&lt;&gt;"","Receiving In-house","PO Issued - Awaiting Delivery"))))))</f>
        <v/>
      </c>
      <c r="BJ159" s="76" t="str">
        <f aca="false">IF(A159="","",IF(IF(AND(A159&lt;&gt;"",OR(B159="",C159="",E159="",F159="",H159="")),"PR info missing; ","")&amp;IF(AND(K159="Approved",OR(J159="",I159="")),"Approval ref/date missing; ","")&amp;IF(AND(O159&lt;&gt;"",K159&lt;&gt;"Approved"),"PO without approval; ","")&amp;IF(AND(O159&lt;&gt;"",OR(P159="",M159="",Q159="",S159="",T159="")),"PO details missing; ","")&amp;IF(AND(O159&lt;&gt;"",AR159=""),"Committed date missing; ","")&amp;IF(AND(ISNUMBER(J159),ISNUMBER(B159),N(J159)&lt;N(B159)),"Approval dated before PR; ","")&amp;IF(AND(ISNUMBER(P159),ISNUMBER(J159),N(P159)&lt;N(J159)),"PO dated before approval; ","")&amp;IF(AND(ISNUMBER(AY159),ISNUMBER(AS159),N(AY159)&lt;N(AS159)),"Close before in-house start; ","")&amp;IF(AND(AY159&lt;&gt;"",AS159=""),"In-house start date missing; ","")&amp;IF(AND(AY159&lt;&gt;"",AT159=""),"Qty received missing; ","")&amp;IF(AND(AY159&lt;&gt;"",BF159=""),"QC status missing; ","")&amp;IF(N(AT159)&gt;N(Q159)*1.05,"Received &gt; ordered +5%; ","")&amp;IF(AND(N(AI159)&gt;0,AE159=""),"Payment terms missing; ","")&amp;IF(N(AI159)&gt;N(AD159)+1,"Overpaid vs PO; ","")&amp;IF(AND(N(AK159)&gt;0,AY159&lt;&gt;"",AO159=""),"Payment due date missing; ","")="","OK",IF(AND(A159&lt;&gt;"",OR(B159="",C159="",E159="",F159="",H159="")),"PR info missing; ","")&amp;IF(AND(K159="Approved",OR(J159="",I159="")),"Approval ref/date missing; ","")&amp;IF(AND(O159&lt;&gt;"",K159&lt;&gt;"Approved"),"PO without approval; ","")&amp;IF(AND(O159&lt;&gt;"",OR(P159="",M159="",Q159="",S159="",T159="")),"PO details missing; ","")&amp;IF(AND(O159&lt;&gt;"",AR159=""),"Committed date missing; ","")&amp;IF(AND(ISNUMBER(J159),ISNUMBER(B159),N(J159)&lt;N(B159)),"Approval dated before PR; ","")&amp;IF(AND(ISNUMBER(P159),ISNUMBER(J159),N(P159)&lt;N(J159)),"PO dated before approval; ","")&amp;IF(AND(ISNUMBER(AY159),ISNUMBER(AS159),N(AY159)&lt;N(AS159)),"Close before in-house start; ","")&amp;IF(AND(AY159&lt;&gt;"",AS159=""),"In-house start date missing; ","")&amp;IF(AND(AY159&lt;&gt;"",AT159=""),"Qty received missing; ","")&amp;IF(AND(AY159&lt;&gt;"",BF159=""),"QC status missing; ","")&amp;IF(N(AT159)&gt;N(Q159)*1.05,"Received &gt; ordered +5%; ","")&amp;IF(AND(N(AI159)&gt;0,AE159=""),"Payment terms missing; ","")&amp;IF(N(AI159)&gt;N(AD159)+1,"Overpaid vs PO; ","")&amp;IF(AND(N(AK159)&gt;0,AY159&lt;&gt;"",AO159=""),"Payment due date missing; ","")))</f>
        <v/>
      </c>
      <c r="BK159" s="76" t="str">
        <f aca="false">IF(A159="","",IF(N(AP159)&gt;0,"Pay supplier: "&amp;N(AP159)&amp;" days overdue; ","")&amp;IF(AND(O159&lt;&gt;"",AY159="",N(BD159)&gt;0),"Expedite delivery: "&amp;N(BD159)&amp;" days late; ","")&amp;IF(AND(BI159="Awaiting Approval",ISNUMBER(B159),Settings!$B$4-N(B159)&gt;Settings!$B$19),"Get approval: PR waiting "&amp;(Settings!$B$4-N(B159))&amp;" days; ","")&amp;IF(AND(BI159="Approved - PO Pending",ISNUMBER(J159),Settings!$B$4-N(J159)&gt;Settings!$B$20),"Issue PO: approved "&amp;(Settings!$B$4-N(J159))&amp;" days ago; ","")&amp;IF(AND(OR(BI159="Awaiting Approval",BI159="Approved - PO Pending"),N(AB159)&gt;Settings!$B$7),"Negotiate price: "&amp;TEXT(AB159,"0%")&amp;" above budget; ","")&amp;IF(LEFT(AX159,12)="Short Closed","Short closed: claim balance / credit note"&amp;IF(N(AL159)&gt;0," BDT "&amp;TEXT(AL159,"#,##0"),"")&amp;"; ","")&amp;IF(BF159="Rejected","QC rejected: return / replace; ","")&amp;IF(AND(O159&lt;&gt;"",AY159="",N(AL159)&gt;0,N(BD159)&gt;0),"Advance at risk: BDT "&amp;TEXT(AL159,"#,##0")&amp;" paid, goods late; ","")&amp;IF(AND(BJ159&lt;&gt;"",BJ159&lt;&gt;"OK"),"Fix data entry (see Data Check); ",""))</f>
        <v/>
      </c>
      <c r="BL159" s="73" t="str">
        <f aca="false">IF(BK159="","",IF(OR(N(AP159)&gt;30,AND(AY159="",N(BD159)&gt;15),BF159="Rejected",AND(LEFT(AX159,12)="Short Closed",N(AL159)&gt;0),AND(O159&lt;&gt;"",AY159="",N(AL159)&gt;0,N(BD159)&gt;0)),"High",IF(OR(N(AP159)&gt;0,AND(AY159="",N(BD159)&gt;7),LEFT(AX159,12)="Short Closed",AND(BI159="Awaiting Approval",ISNUMBER(B159),Settings!$B$4-N(B159)&gt;2*Settings!$B$19),AND(BI159="Approved - PO Pending",ISNUMBER(J159),Settings!$B$4-N(J159)&gt;2*Settings!$B$20)),"Medium","Low")))</f>
        <v/>
      </c>
      <c r="BM159" s="77" t="str">
        <f aca="false">IF(BL159="","",IF(BL159="High",1,IF(BL159="Medium",2,3))*10000+ROW())</f>
        <v/>
      </c>
      <c r="BN159" s="62"/>
    </row>
    <row r="160" customFormat="false" ht="18" hidden="false" customHeight="true" outlineLevel="0" collapsed="false">
      <c r="A160" s="60"/>
      <c r="B160" s="61"/>
      <c r="C160" s="62"/>
      <c r="D160" s="62"/>
      <c r="E160" s="62"/>
      <c r="F160" s="62"/>
      <c r="G160" s="62"/>
      <c r="H160" s="60"/>
      <c r="I160" s="60"/>
      <c r="J160" s="61"/>
      <c r="K160" s="60"/>
      <c r="L160" s="60"/>
      <c r="M160" s="62"/>
      <c r="N160" s="60"/>
      <c r="O160" s="60"/>
      <c r="P160" s="61"/>
      <c r="Q160" s="63"/>
      <c r="R160" s="60"/>
      <c r="S160" s="64"/>
      <c r="T160" s="60"/>
      <c r="U160" s="65" t="str">
        <f aca="false">IF(AND(T160="",S160=""),"",IF(T160="",1,IFERROR(INDEX(Settings!$B$12:$B$16,MATCH(T160,Settings!$A$12:$A$16,0)),1)))</f>
        <v/>
      </c>
      <c r="V160" s="64"/>
      <c r="W160" s="66" t="str">
        <f aca="false">IF(OR(Q160="",S160=""),"",Q160*S160*U160)</f>
        <v/>
      </c>
      <c r="X160" s="65" t="str">
        <f aca="false">IF(OR(W160="",N(Q160)=0),"",W160/Q160)</f>
        <v/>
      </c>
      <c r="Y160" s="65" t="str">
        <f aca="false">IF(OR(X160="",P160="",E160=""),"",IF(_xlfn.MAXIFS($P$6:$P$205,$E$6:$E$205,E160,$P$6:$P$205,"&lt;"&amp;P160,$X$6:$X$205,"&gt;0")=0,"",IFERROR(AVERAGEIFS($X$6:$X$205,$E$6:$E$205,E160,$P$6:$P$205,_xlfn.MAXIFS($P$6:$P$205,$E$6:$E$205,E160,$P$6:$P$205,"&lt;"&amp;P160,$X$6:$X$205,"&gt;0"),$X$6:$X$205,"&gt;0"),"")))</f>
        <v/>
      </c>
      <c r="Z160" s="67" t="str">
        <f aca="false">IF(OR(Y160="",X160=""),"",X160/Y160-1)</f>
        <v/>
      </c>
      <c r="AA160" s="68" t="str">
        <f aca="false">IF(OR(W160="",V160=""),"",W160-Q160*V160)</f>
        <v/>
      </c>
      <c r="AB160" s="69" t="str">
        <f aca="false">IF(AA160="","",IF(N(V160)*N(Q160)=0,"",AA160/(Q160*V160)))</f>
        <v/>
      </c>
      <c r="AC160" s="70"/>
      <c r="AD160" s="66" t="str">
        <f aca="false">IF(W160="","",W160*(1+N(AC160)))</f>
        <v/>
      </c>
      <c r="AE160" s="62"/>
      <c r="AF160" s="71"/>
      <c r="AG160" s="71"/>
      <c r="AH160" s="71"/>
      <c r="AI160" s="66" t="str">
        <f aca="false">IF(A160="","",N(AF160)+N(AG160)+N(AH160))</f>
        <v/>
      </c>
      <c r="AJ160" s="72" t="str">
        <f aca="false">IF(AD160="","",IF(N(AD160)=0,"",AI160/AD160))</f>
        <v/>
      </c>
      <c r="AK160" s="66" t="str">
        <f aca="false">IF(AD160="","",IF(AD160-AI160&lt;1,0,ROUND(AD160-AI160,2)))</f>
        <v/>
      </c>
      <c r="AL160" s="66" t="str">
        <f aca="false">IF(OR(O160="",AD160=""),"",MAX(0,ROUND(N(AI160)-(AD160-N(AW160)),0)))</f>
        <v/>
      </c>
      <c r="AM160" s="73" t="str">
        <f aca="false">IF(A160="","",IF(O160="","No PO Yet",IF(AI160=0,"Not Paid",IF(N(AJ160)&gt;=0.999,"Fully Paid",IF(N(AG160)+N(AH160)&gt;0,"Partially Paid","Initial / Advance Paid")))))</f>
        <v/>
      </c>
      <c r="AN160" s="61"/>
      <c r="AO160" s="61"/>
      <c r="AP160" s="74" t="str">
        <f aca="false">IF(AK160="","",IF(OR(N(AK160)=0,AO160=""),"",MAX(0,Settings!$B$4-AO160)))</f>
        <v/>
      </c>
      <c r="AQ160" s="73" t="str">
        <f aca="false">IF(AK160="","",IF(N(AK160)&lt;=0,"",IF(AO160="","No Due Date",IF(Settings!$B$4&lt;=AO160,"Not Yet Due",IF(Settings!$B$4-AO160&lt;=30,"1-30 Days",IF(Settings!$B$4-AO160&lt;=60,"31-60 Days",IF(Settings!$B$4-AO160&lt;=90,"61-90 Days","90+ Days")))))))</f>
        <v/>
      </c>
      <c r="AR160" s="61"/>
      <c r="AS160" s="61"/>
      <c r="AT160" s="63"/>
      <c r="AU160" s="72" t="str">
        <f aca="false">IF(Q160="","",IF(N(Q160)=0,"",N(AT160)/Q160))</f>
        <v/>
      </c>
      <c r="AV160" s="75" t="str">
        <f aca="false">IF(OR(A160="",O160="",Q160=""),"",MAX(0,Q160-N(AT160)))</f>
        <v/>
      </c>
      <c r="AW160" s="66" t="str">
        <f aca="false">IF(OR(AV160="",W160=""),"",IF(N(Q160)=0,0,AV160/Q160*AD160))</f>
        <v/>
      </c>
      <c r="AX160" s="76" t="str">
        <f aca="false">IF(A160="","",IF(O160="","No PO Yet",IF(Q160="","Order Qty Missing",IF(N(AT160)&gt;=Q160,IF(N(AT160)&gt;Q160,"All In-house (+"&amp;TEXT(N(AT160)-Q160,"#,##0")&amp;" "&amp;R160&amp;" excess)","All In-house"),IF(AY160&lt;&gt;"","Short Closed - "&amp;TEXT(AV160,"#,##0")&amp;" "&amp;R160&amp;" not received",IF(N(AT160)=0,"Not Started - "&amp;TEXT(AV160,"#,##0")&amp;" "&amp;R160&amp;" pending","Pending "&amp;TEXT(AV160,"#,##0")&amp;" "&amp;R160&amp;" ("&amp;TEXT(AU160,"0%")&amp;" received)"))))))</f>
        <v/>
      </c>
      <c r="AY160" s="61"/>
      <c r="AZ160" s="77" t="str">
        <f aca="false">IF(OR(B160="",J160=""),"",J160-B160)</f>
        <v/>
      </c>
      <c r="BA160" s="77" t="str">
        <f aca="false">IF(OR(J160="",P160=""),"",P160-J160)</f>
        <v/>
      </c>
      <c r="BB160" s="77" t="str">
        <f aca="false">IF(OR(P160="",AY160=""),"",AY160-P160)</f>
        <v/>
      </c>
      <c r="BC160" s="77" t="str">
        <f aca="false">IF(OR(B160="",AY160=""),"",AY160-B160)</f>
        <v/>
      </c>
      <c r="BD160" s="74" t="str">
        <f aca="false">IF(OR(AR160="",O160=""),"",MAX(0,IF(AY160="",Settings!$B$4,AY160)-AR160))</f>
        <v/>
      </c>
      <c r="BE160" s="73" t="str">
        <f aca="false">IF(OR(AY160="",AR160=""),"",IF(AND(AY160&lt;=AR160,N(AU160)&gt;=Settings!$B$6),"OTIF","Not OTIF"))</f>
        <v/>
      </c>
      <c r="BF160" s="60"/>
      <c r="BG160" s="62"/>
      <c r="BH160" s="78"/>
      <c r="BI160" s="76" t="str">
        <f aca="false">IF(A160="","",IF(K160="Rejected","Rejected",IF(K160&lt;&gt;"Approved","Awaiting Approval",IF(O160="","Approved - PO Pending",IF(AY160&lt;&gt;"",IF(N(AJ160)&gt;=0.999,"Closed","In-house Closed - Payment Due"),IF(AS160&lt;&gt;"","Receiving In-house","PO Issued - Awaiting Delivery"))))))</f>
        <v/>
      </c>
      <c r="BJ160" s="76" t="str">
        <f aca="false">IF(A160="","",IF(IF(AND(A160&lt;&gt;"",OR(B160="",C160="",E160="",F160="",H160="")),"PR info missing; ","")&amp;IF(AND(K160="Approved",OR(J160="",I160="")),"Approval ref/date missing; ","")&amp;IF(AND(O160&lt;&gt;"",K160&lt;&gt;"Approved"),"PO without approval; ","")&amp;IF(AND(O160&lt;&gt;"",OR(P160="",M160="",Q160="",S160="",T160="")),"PO details missing; ","")&amp;IF(AND(O160&lt;&gt;"",AR160=""),"Committed date missing; ","")&amp;IF(AND(ISNUMBER(J160),ISNUMBER(B160),N(J160)&lt;N(B160)),"Approval dated before PR; ","")&amp;IF(AND(ISNUMBER(P160),ISNUMBER(J160),N(P160)&lt;N(J160)),"PO dated before approval; ","")&amp;IF(AND(ISNUMBER(AY160),ISNUMBER(AS160),N(AY160)&lt;N(AS160)),"Close before in-house start; ","")&amp;IF(AND(AY160&lt;&gt;"",AS160=""),"In-house start date missing; ","")&amp;IF(AND(AY160&lt;&gt;"",AT160=""),"Qty received missing; ","")&amp;IF(AND(AY160&lt;&gt;"",BF160=""),"QC status missing; ","")&amp;IF(N(AT160)&gt;N(Q160)*1.05,"Received &gt; ordered +5%; ","")&amp;IF(AND(N(AI160)&gt;0,AE160=""),"Payment terms missing; ","")&amp;IF(N(AI160)&gt;N(AD160)+1,"Overpaid vs PO; ","")&amp;IF(AND(N(AK160)&gt;0,AY160&lt;&gt;"",AO160=""),"Payment due date missing; ","")="","OK",IF(AND(A160&lt;&gt;"",OR(B160="",C160="",E160="",F160="",H160="")),"PR info missing; ","")&amp;IF(AND(K160="Approved",OR(J160="",I160="")),"Approval ref/date missing; ","")&amp;IF(AND(O160&lt;&gt;"",K160&lt;&gt;"Approved"),"PO without approval; ","")&amp;IF(AND(O160&lt;&gt;"",OR(P160="",M160="",Q160="",S160="",T160="")),"PO details missing; ","")&amp;IF(AND(O160&lt;&gt;"",AR160=""),"Committed date missing; ","")&amp;IF(AND(ISNUMBER(J160),ISNUMBER(B160),N(J160)&lt;N(B160)),"Approval dated before PR; ","")&amp;IF(AND(ISNUMBER(P160),ISNUMBER(J160),N(P160)&lt;N(J160)),"PO dated before approval; ","")&amp;IF(AND(ISNUMBER(AY160),ISNUMBER(AS160),N(AY160)&lt;N(AS160)),"Close before in-house start; ","")&amp;IF(AND(AY160&lt;&gt;"",AS160=""),"In-house start date missing; ","")&amp;IF(AND(AY160&lt;&gt;"",AT160=""),"Qty received missing; ","")&amp;IF(AND(AY160&lt;&gt;"",BF160=""),"QC status missing; ","")&amp;IF(N(AT160)&gt;N(Q160)*1.05,"Received &gt; ordered +5%; ","")&amp;IF(AND(N(AI160)&gt;0,AE160=""),"Payment terms missing; ","")&amp;IF(N(AI160)&gt;N(AD160)+1,"Overpaid vs PO; ","")&amp;IF(AND(N(AK160)&gt;0,AY160&lt;&gt;"",AO160=""),"Payment due date missing; ","")))</f>
        <v/>
      </c>
      <c r="BK160" s="76" t="str">
        <f aca="false">IF(A160="","",IF(N(AP160)&gt;0,"Pay supplier: "&amp;N(AP160)&amp;" days overdue; ","")&amp;IF(AND(O160&lt;&gt;"",AY160="",N(BD160)&gt;0),"Expedite delivery: "&amp;N(BD160)&amp;" days late; ","")&amp;IF(AND(BI160="Awaiting Approval",ISNUMBER(B160),Settings!$B$4-N(B160)&gt;Settings!$B$19),"Get approval: PR waiting "&amp;(Settings!$B$4-N(B160))&amp;" days; ","")&amp;IF(AND(BI160="Approved - PO Pending",ISNUMBER(J160),Settings!$B$4-N(J160)&gt;Settings!$B$20),"Issue PO: approved "&amp;(Settings!$B$4-N(J160))&amp;" days ago; ","")&amp;IF(AND(OR(BI160="Awaiting Approval",BI160="Approved - PO Pending"),N(AB160)&gt;Settings!$B$7),"Negotiate price: "&amp;TEXT(AB160,"0%")&amp;" above budget; ","")&amp;IF(LEFT(AX160,12)="Short Closed","Short closed: claim balance / credit note"&amp;IF(N(AL160)&gt;0," BDT "&amp;TEXT(AL160,"#,##0"),"")&amp;"; ","")&amp;IF(BF160="Rejected","QC rejected: return / replace; ","")&amp;IF(AND(O160&lt;&gt;"",AY160="",N(AL160)&gt;0,N(BD160)&gt;0),"Advance at risk: BDT "&amp;TEXT(AL160,"#,##0")&amp;" paid, goods late; ","")&amp;IF(AND(BJ160&lt;&gt;"",BJ160&lt;&gt;"OK"),"Fix data entry (see Data Check); ",""))</f>
        <v/>
      </c>
      <c r="BL160" s="73" t="str">
        <f aca="false">IF(BK160="","",IF(OR(N(AP160)&gt;30,AND(AY160="",N(BD160)&gt;15),BF160="Rejected",AND(LEFT(AX160,12)="Short Closed",N(AL160)&gt;0),AND(O160&lt;&gt;"",AY160="",N(AL160)&gt;0,N(BD160)&gt;0)),"High",IF(OR(N(AP160)&gt;0,AND(AY160="",N(BD160)&gt;7),LEFT(AX160,12)="Short Closed",AND(BI160="Awaiting Approval",ISNUMBER(B160),Settings!$B$4-N(B160)&gt;2*Settings!$B$19),AND(BI160="Approved - PO Pending",ISNUMBER(J160),Settings!$B$4-N(J160)&gt;2*Settings!$B$20)),"Medium","Low")))</f>
        <v/>
      </c>
      <c r="BM160" s="77" t="str">
        <f aca="false">IF(BL160="","",IF(BL160="High",1,IF(BL160="Medium",2,3))*10000+ROW())</f>
        <v/>
      </c>
      <c r="BN160" s="62"/>
    </row>
    <row r="161" customFormat="false" ht="18" hidden="false" customHeight="true" outlineLevel="0" collapsed="false">
      <c r="A161" s="60"/>
      <c r="B161" s="61"/>
      <c r="C161" s="62"/>
      <c r="D161" s="62"/>
      <c r="E161" s="62"/>
      <c r="F161" s="62"/>
      <c r="G161" s="62"/>
      <c r="H161" s="60"/>
      <c r="I161" s="60"/>
      <c r="J161" s="61"/>
      <c r="K161" s="60"/>
      <c r="L161" s="60"/>
      <c r="M161" s="62"/>
      <c r="N161" s="60"/>
      <c r="O161" s="60"/>
      <c r="P161" s="61"/>
      <c r="Q161" s="63"/>
      <c r="R161" s="60"/>
      <c r="S161" s="64"/>
      <c r="T161" s="60"/>
      <c r="U161" s="65" t="str">
        <f aca="false">IF(AND(T161="",S161=""),"",IF(T161="",1,IFERROR(INDEX(Settings!$B$12:$B$16,MATCH(T161,Settings!$A$12:$A$16,0)),1)))</f>
        <v/>
      </c>
      <c r="V161" s="64"/>
      <c r="W161" s="66" t="str">
        <f aca="false">IF(OR(Q161="",S161=""),"",Q161*S161*U161)</f>
        <v/>
      </c>
      <c r="X161" s="65" t="str">
        <f aca="false">IF(OR(W161="",N(Q161)=0),"",W161/Q161)</f>
        <v/>
      </c>
      <c r="Y161" s="65" t="str">
        <f aca="false">IF(OR(X161="",P161="",E161=""),"",IF(_xlfn.MAXIFS($P$6:$P$205,$E$6:$E$205,E161,$P$6:$P$205,"&lt;"&amp;P161,$X$6:$X$205,"&gt;0")=0,"",IFERROR(AVERAGEIFS($X$6:$X$205,$E$6:$E$205,E161,$P$6:$P$205,_xlfn.MAXIFS($P$6:$P$205,$E$6:$E$205,E161,$P$6:$P$205,"&lt;"&amp;P161,$X$6:$X$205,"&gt;0"),$X$6:$X$205,"&gt;0"),"")))</f>
        <v/>
      </c>
      <c r="Z161" s="67" t="str">
        <f aca="false">IF(OR(Y161="",X161=""),"",X161/Y161-1)</f>
        <v/>
      </c>
      <c r="AA161" s="68" t="str">
        <f aca="false">IF(OR(W161="",V161=""),"",W161-Q161*V161)</f>
        <v/>
      </c>
      <c r="AB161" s="69" t="str">
        <f aca="false">IF(AA161="","",IF(N(V161)*N(Q161)=0,"",AA161/(Q161*V161)))</f>
        <v/>
      </c>
      <c r="AC161" s="70"/>
      <c r="AD161" s="66" t="str">
        <f aca="false">IF(W161="","",W161*(1+N(AC161)))</f>
        <v/>
      </c>
      <c r="AE161" s="62"/>
      <c r="AF161" s="71"/>
      <c r="AG161" s="71"/>
      <c r="AH161" s="71"/>
      <c r="AI161" s="66" t="str">
        <f aca="false">IF(A161="","",N(AF161)+N(AG161)+N(AH161))</f>
        <v/>
      </c>
      <c r="AJ161" s="72" t="str">
        <f aca="false">IF(AD161="","",IF(N(AD161)=0,"",AI161/AD161))</f>
        <v/>
      </c>
      <c r="AK161" s="66" t="str">
        <f aca="false">IF(AD161="","",IF(AD161-AI161&lt;1,0,ROUND(AD161-AI161,2)))</f>
        <v/>
      </c>
      <c r="AL161" s="66" t="str">
        <f aca="false">IF(OR(O161="",AD161=""),"",MAX(0,ROUND(N(AI161)-(AD161-N(AW161)),0)))</f>
        <v/>
      </c>
      <c r="AM161" s="73" t="str">
        <f aca="false">IF(A161="","",IF(O161="","No PO Yet",IF(AI161=0,"Not Paid",IF(N(AJ161)&gt;=0.999,"Fully Paid",IF(N(AG161)+N(AH161)&gt;0,"Partially Paid","Initial / Advance Paid")))))</f>
        <v/>
      </c>
      <c r="AN161" s="61"/>
      <c r="AO161" s="61"/>
      <c r="AP161" s="74" t="str">
        <f aca="false">IF(AK161="","",IF(OR(N(AK161)=0,AO161=""),"",MAX(0,Settings!$B$4-AO161)))</f>
        <v/>
      </c>
      <c r="AQ161" s="73" t="str">
        <f aca="false">IF(AK161="","",IF(N(AK161)&lt;=0,"",IF(AO161="","No Due Date",IF(Settings!$B$4&lt;=AO161,"Not Yet Due",IF(Settings!$B$4-AO161&lt;=30,"1-30 Days",IF(Settings!$B$4-AO161&lt;=60,"31-60 Days",IF(Settings!$B$4-AO161&lt;=90,"61-90 Days","90+ Days")))))))</f>
        <v/>
      </c>
      <c r="AR161" s="61"/>
      <c r="AS161" s="61"/>
      <c r="AT161" s="63"/>
      <c r="AU161" s="72" t="str">
        <f aca="false">IF(Q161="","",IF(N(Q161)=0,"",N(AT161)/Q161))</f>
        <v/>
      </c>
      <c r="AV161" s="75" t="str">
        <f aca="false">IF(OR(A161="",O161="",Q161=""),"",MAX(0,Q161-N(AT161)))</f>
        <v/>
      </c>
      <c r="AW161" s="66" t="str">
        <f aca="false">IF(OR(AV161="",W161=""),"",IF(N(Q161)=0,0,AV161/Q161*AD161))</f>
        <v/>
      </c>
      <c r="AX161" s="76" t="str">
        <f aca="false">IF(A161="","",IF(O161="","No PO Yet",IF(Q161="","Order Qty Missing",IF(N(AT161)&gt;=Q161,IF(N(AT161)&gt;Q161,"All In-house (+"&amp;TEXT(N(AT161)-Q161,"#,##0")&amp;" "&amp;R161&amp;" excess)","All In-house"),IF(AY161&lt;&gt;"","Short Closed - "&amp;TEXT(AV161,"#,##0")&amp;" "&amp;R161&amp;" not received",IF(N(AT161)=0,"Not Started - "&amp;TEXT(AV161,"#,##0")&amp;" "&amp;R161&amp;" pending","Pending "&amp;TEXT(AV161,"#,##0")&amp;" "&amp;R161&amp;" ("&amp;TEXT(AU161,"0%")&amp;" received)"))))))</f>
        <v/>
      </c>
      <c r="AY161" s="61"/>
      <c r="AZ161" s="77" t="str">
        <f aca="false">IF(OR(B161="",J161=""),"",J161-B161)</f>
        <v/>
      </c>
      <c r="BA161" s="77" t="str">
        <f aca="false">IF(OR(J161="",P161=""),"",P161-J161)</f>
        <v/>
      </c>
      <c r="BB161" s="77" t="str">
        <f aca="false">IF(OR(P161="",AY161=""),"",AY161-P161)</f>
        <v/>
      </c>
      <c r="BC161" s="77" t="str">
        <f aca="false">IF(OR(B161="",AY161=""),"",AY161-B161)</f>
        <v/>
      </c>
      <c r="BD161" s="74" t="str">
        <f aca="false">IF(OR(AR161="",O161=""),"",MAX(0,IF(AY161="",Settings!$B$4,AY161)-AR161))</f>
        <v/>
      </c>
      <c r="BE161" s="73" t="str">
        <f aca="false">IF(OR(AY161="",AR161=""),"",IF(AND(AY161&lt;=AR161,N(AU161)&gt;=Settings!$B$6),"OTIF","Not OTIF"))</f>
        <v/>
      </c>
      <c r="BF161" s="60"/>
      <c r="BG161" s="62"/>
      <c r="BH161" s="78"/>
      <c r="BI161" s="76" t="str">
        <f aca="false">IF(A161="","",IF(K161="Rejected","Rejected",IF(K161&lt;&gt;"Approved","Awaiting Approval",IF(O161="","Approved - PO Pending",IF(AY161&lt;&gt;"",IF(N(AJ161)&gt;=0.999,"Closed","In-house Closed - Payment Due"),IF(AS161&lt;&gt;"","Receiving In-house","PO Issued - Awaiting Delivery"))))))</f>
        <v/>
      </c>
      <c r="BJ161" s="76" t="str">
        <f aca="false">IF(A161="","",IF(IF(AND(A161&lt;&gt;"",OR(B161="",C161="",E161="",F161="",H161="")),"PR info missing; ","")&amp;IF(AND(K161="Approved",OR(J161="",I161="")),"Approval ref/date missing; ","")&amp;IF(AND(O161&lt;&gt;"",K161&lt;&gt;"Approved"),"PO without approval; ","")&amp;IF(AND(O161&lt;&gt;"",OR(P161="",M161="",Q161="",S161="",T161="")),"PO details missing; ","")&amp;IF(AND(O161&lt;&gt;"",AR161=""),"Committed date missing; ","")&amp;IF(AND(ISNUMBER(J161),ISNUMBER(B161),N(J161)&lt;N(B161)),"Approval dated before PR; ","")&amp;IF(AND(ISNUMBER(P161),ISNUMBER(J161),N(P161)&lt;N(J161)),"PO dated before approval; ","")&amp;IF(AND(ISNUMBER(AY161),ISNUMBER(AS161),N(AY161)&lt;N(AS161)),"Close before in-house start; ","")&amp;IF(AND(AY161&lt;&gt;"",AS161=""),"In-house start date missing; ","")&amp;IF(AND(AY161&lt;&gt;"",AT161=""),"Qty received missing; ","")&amp;IF(AND(AY161&lt;&gt;"",BF161=""),"QC status missing; ","")&amp;IF(N(AT161)&gt;N(Q161)*1.05,"Received &gt; ordered +5%; ","")&amp;IF(AND(N(AI161)&gt;0,AE161=""),"Payment terms missing; ","")&amp;IF(N(AI161)&gt;N(AD161)+1,"Overpaid vs PO; ","")&amp;IF(AND(N(AK161)&gt;0,AY161&lt;&gt;"",AO161=""),"Payment due date missing; ","")="","OK",IF(AND(A161&lt;&gt;"",OR(B161="",C161="",E161="",F161="",H161="")),"PR info missing; ","")&amp;IF(AND(K161="Approved",OR(J161="",I161="")),"Approval ref/date missing; ","")&amp;IF(AND(O161&lt;&gt;"",K161&lt;&gt;"Approved"),"PO without approval; ","")&amp;IF(AND(O161&lt;&gt;"",OR(P161="",M161="",Q161="",S161="",T161="")),"PO details missing; ","")&amp;IF(AND(O161&lt;&gt;"",AR161=""),"Committed date missing; ","")&amp;IF(AND(ISNUMBER(J161),ISNUMBER(B161),N(J161)&lt;N(B161)),"Approval dated before PR; ","")&amp;IF(AND(ISNUMBER(P161),ISNUMBER(J161),N(P161)&lt;N(J161)),"PO dated before approval; ","")&amp;IF(AND(ISNUMBER(AY161),ISNUMBER(AS161),N(AY161)&lt;N(AS161)),"Close before in-house start; ","")&amp;IF(AND(AY161&lt;&gt;"",AS161=""),"In-house start date missing; ","")&amp;IF(AND(AY161&lt;&gt;"",AT161=""),"Qty received missing; ","")&amp;IF(AND(AY161&lt;&gt;"",BF161=""),"QC status missing; ","")&amp;IF(N(AT161)&gt;N(Q161)*1.05,"Received &gt; ordered +5%; ","")&amp;IF(AND(N(AI161)&gt;0,AE161=""),"Payment terms missing; ","")&amp;IF(N(AI161)&gt;N(AD161)+1,"Overpaid vs PO; ","")&amp;IF(AND(N(AK161)&gt;0,AY161&lt;&gt;"",AO161=""),"Payment due date missing; ","")))</f>
        <v/>
      </c>
      <c r="BK161" s="76" t="str">
        <f aca="false">IF(A161="","",IF(N(AP161)&gt;0,"Pay supplier: "&amp;N(AP161)&amp;" days overdue; ","")&amp;IF(AND(O161&lt;&gt;"",AY161="",N(BD161)&gt;0),"Expedite delivery: "&amp;N(BD161)&amp;" days late; ","")&amp;IF(AND(BI161="Awaiting Approval",ISNUMBER(B161),Settings!$B$4-N(B161)&gt;Settings!$B$19),"Get approval: PR waiting "&amp;(Settings!$B$4-N(B161))&amp;" days; ","")&amp;IF(AND(BI161="Approved - PO Pending",ISNUMBER(J161),Settings!$B$4-N(J161)&gt;Settings!$B$20),"Issue PO: approved "&amp;(Settings!$B$4-N(J161))&amp;" days ago; ","")&amp;IF(AND(OR(BI161="Awaiting Approval",BI161="Approved - PO Pending"),N(AB161)&gt;Settings!$B$7),"Negotiate price: "&amp;TEXT(AB161,"0%")&amp;" above budget; ","")&amp;IF(LEFT(AX161,12)="Short Closed","Short closed: claim balance / credit note"&amp;IF(N(AL161)&gt;0," BDT "&amp;TEXT(AL161,"#,##0"),"")&amp;"; ","")&amp;IF(BF161="Rejected","QC rejected: return / replace; ","")&amp;IF(AND(O161&lt;&gt;"",AY161="",N(AL161)&gt;0,N(BD161)&gt;0),"Advance at risk: BDT "&amp;TEXT(AL161,"#,##0")&amp;" paid, goods late; ","")&amp;IF(AND(BJ161&lt;&gt;"",BJ161&lt;&gt;"OK"),"Fix data entry (see Data Check); ",""))</f>
        <v/>
      </c>
      <c r="BL161" s="73" t="str">
        <f aca="false">IF(BK161="","",IF(OR(N(AP161)&gt;30,AND(AY161="",N(BD161)&gt;15),BF161="Rejected",AND(LEFT(AX161,12)="Short Closed",N(AL161)&gt;0),AND(O161&lt;&gt;"",AY161="",N(AL161)&gt;0,N(BD161)&gt;0)),"High",IF(OR(N(AP161)&gt;0,AND(AY161="",N(BD161)&gt;7),LEFT(AX161,12)="Short Closed",AND(BI161="Awaiting Approval",ISNUMBER(B161),Settings!$B$4-N(B161)&gt;2*Settings!$B$19),AND(BI161="Approved - PO Pending",ISNUMBER(J161),Settings!$B$4-N(J161)&gt;2*Settings!$B$20)),"Medium","Low")))</f>
        <v/>
      </c>
      <c r="BM161" s="77" t="str">
        <f aca="false">IF(BL161="","",IF(BL161="High",1,IF(BL161="Medium",2,3))*10000+ROW())</f>
        <v/>
      </c>
      <c r="BN161" s="62"/>
    </row>
    <row r="162" customFormat="false" ht="18" hidden="false" customHeight="true" outlineLevel="0" collapsed="false">
      <c r="A162" s="60"/>
      <c r="B162" s="61"/>
      <c r="C162" s="62"/>
      <c r="D162" s="62"/>
      <c r="E162" s="62"/>
      <c r="F162" s="62"/>
      <c r="G162" s="62"/>
      <c r="H162" s="60"/>
      <c r="I162" s="60"/>
      <c r="J162" s="61"/>
      <c r="K162" s="60"/>
      <c r="L162" s="60"/>
      <c r="M162" s="62"/>
      <c r="N162" s="60"/>
      <c r="O162" s="60"/>
      <c r="P162" s="61"/>
      <c r="Q162" s="63"/>
      <c r="R162" s="60"/>
      <c r="S162" s="64"/>
      <c r="T162" s="60"/>
      <c r="U162" s="65" t="str">
        <f aca="false">IF(AND(T162="",S162=""),"",IF(T162="",1,IFERROR(INDEX(Settings!$B$12:$B$16,MATCH(T162,Settings!$A$12:$A$16,0)),1)))</f>
        <v/>
      </c>
      <c r="V162" s="64"/>
      <c r="W162" s="66" t="str">
        <f aca="false">IF(OR(Q162="",S162=""),"",Q162*S162*U162)</f>
        <v/>
      </c>
      <c r="X162" s="65" t="str">
        <f aca="false">IF(OR(W162="",N(Q162)=0),"",W162/Q162)</f>
        <v/>
      </c>
      <c r="Y162" s="65" t="str">
        <f aca="false">IF(OR(X162="",P162="",E162=""),"",IF(_xlfn.MAXIFS($P$6:$P$205,$E$6:$E$205,E162,$P$6:$P$205,"&lt;"&amp;P162,$X$6:$X$205,"&gt;0")=0,"",IFERROR(AVERAGEIFS($X$6:$X$205,$E$6:$E$205,E162,$P$6:$P$205,_xlfn.MAXIFS($P$6:$P$205,$E$6:$E$205,E162,$P$6:$P$205,"&lt;"&amp;P162,$X$6:$X$205,"&gt;0"),$X$6:$X$205,"&gt;0"),"")))</f>
        <v/>
      </c>
      <c r="Z162" s="67" t="str">
        <f aca="false">IF(OR(Y162="",X162=""),"",X162/Y162-1)</f>
        <v/>
      </c>
      <c r="AA162" s="68" t="str">
        <f aca="false">IF(OR(W162="",V162=""),"",W162-Q162*V162)</f>
        <v/>
      </c>
      <c r="AB162" s="69" t="str">
        <f aca="false">IF(AA162="","",IF(N(V162)*N(Q162)=0,"",AA162/(Q162*V162)))</f>
        <v/>
      </c>
      <c r="AC162" s="70"/>
      <c r="AD162" s="66" t="str">
        <f aca="false">IF(W162="","",W162*(1+N(AC162)))</f>
        <v/>
      </c>
      <c r="AE162" s="62"/>
      <c r="AF162" s="71"/>
      <c r="AG162" s="71"/>
      <c r="AH162" s="71"/>
      <c r="AI162" s="66" t="str">
        <f aca="false">IF(A162="","",N(AF162)+N(AG162)+N(AH162))</f>
        <v/>
      </c>
      <c r="AJ162" s="72" t="str">
        <f aca="false">IF(AD162="","",IF(N(AD162)=0,"",AI162/AD162))</f>
        <v/>
      </c>
      <c r="AK162" s="66" t="str">
        <f aca="false">IF(AD162="","",IF(AD162-AI162&lt;1,0,ROUND(AD162-AI162,2)))</f>
        <v/>
      </c>
      <c r="AL162" s="66" t="str">
        <f aca="false">IF(OR(O162="",AD162=""),"",MAX(0,ROUND(N(AI162)-(AD162-N(AW162)),0)))</f>
        <v/>
      </c>
      <c r="AM162" s="73" t="str">
        <f aca="false">IF(A162="","",IF(O162="","No PO Yet",IF(AI162=0,"Not Paid",IF(N(AJ162)&gt;=0.999,"Fully Paid",IF(N(AG162)+N(AH162)&gt;0,"Partially Paid","Initial / Advance Paid")))))</f>
        <v/>
      </c>
      <c r="AN162" s="61"/>
      <c r="AO162" s="61"/>
      <c r="AP162" s="74" t="str">
        <f aca="false">IF(AK162="","",IF(OR(N(AK162)=0,AO162=""),"",MAX(0,Settings!$B$4-AO162)))</f>
        <v/>
      </c>
      <c r="AQ162" s="73" t="str">
        <f aca="false">IF(AK162="","",IF(N(AK162)&lt;=0,"",IF(AO162="","No Due Date",IF(Settings!$B$4&lt;=AO162,"Not Yet Due",IF(Settings!$B$4-AO162&lt;=30,"1-30 Days",IF(Settings!$B$4-AO162&lt;=60,"31-60 Days",IF(Settings!$B$4-AO162&lt;=90,"61-90 Days","90+ Days")))))))</f>
        <v/>
      </c>
      <c r="AR162" s="61"/>
      <c r="AS162" s="61"/>
      <c r="AT162" s="63"/>
      <c r="AU162" s="72" t="str">
        <f aca="false">IF(Q162="","",IF(N(Q162)=0,"",N(AT162)/Q162))</f>
        <v/>
      </c>
      <c r="AV162" s="75" t="str">
        <f aca="false">IF(OR(A162="",O162="",Q162=""),"",MAX(0,Q162-N(AT162)))</f>
        <v/>
      </c>
      <c r="AW162" s="66" t="str">
        <f aca="false">IF(OR(AV162="",W162=""),"",IF(N(Q162)=0,0,AV162/Q162*AD162))</f>
        <v/>
      </c>
      <c r="AX162" s="76" t="str">
        <f aca="false">IF(A162="","",IF(O162="","No PO Yet",IF(Q162="","Order Qty Missing",IF(N(AT162)&gt;=Q162,IF(N(AT162)&gt;Q162,"All In-house (+"&amp;TEXT(N(AT162)-Q162,"#,##0")&amp;" "&amp;R162&amp;" excess)","All In-house"),IF(AY162&lt;&gt;"","Short Closed - "&amp;TEXT(AV162,"#,##0")&amp;" "&amp;R162&amp;" not received",IF(N(AT162)=0,"Not Started - "&amp;TEXT(AV162,"#,##0")&amp;" "&amp;R162&amp;" pending","Pending "&amp;TEXT(AV162,"#,##0")&amp;" "&amp;R162&amp;" ("&amp;TEXT(AU162,"0%")&amp;" received)"))))))</f>
        <v/>
      </c>
      <c r="AY162" s="61"/>
      <c r="AZ162" s="77" t="str">
        <f aca="false">IF(OR(B162="",J162=""),"",J162-B162)</f>
        <v/>
      </c>
      <c r="BA162" s="77" t="str">
        <f aca="false">IF(OR(J162="",P162=""),"",P162-J162)</f>
        <v/>
      </c>
      <c r="BB162" s="77" t="str">
        <f aca="false">IF(OR(P162="",AY162=""),"",AY162-P162)</f>
        <v/>
      </c>
      <c r="BC162" s="77" t="str">
        <f aca="false">IF(OR(B162="",AY162=""),"",AY162-B162)</f>
        <v/>
      </c>
      <c r="BD162" s="74" t="str">
        <f aca="false">IF(OR(AR162="",O162=""),"",MAX(0,IF(AY162="",Settings!$B$4,AY162)-AR162))</f>
        <v/>
      </c>
      <c r="BE162" s="73" t="str">
        <f aca="false">IF(OR(AY162="",AR162=""),"",IF(AND(AY162&lt;=AR162,N(AU162)&gt;=Settings!$B$6),"OTIF","Not OTIF"))</f>
        <v/>
      </c>
      <c r="BF162" s="60"/>
      <c r="BG162" s="62"/>
      <c r="BH162" s="78"/>
      <c r="BI162" s="76" t="str">
        <f aca="false">IF(A162="","",IF(K162="Rejected","Rejected",IF(K162&lt;&gt;"Approved","Awaiting Approval",IF(O162="","Approved - PO Pending",IF(AY162&lt;&gt;"",IF(N(AJ162)&gt;=0.999,"Closed","In-house Closed - Payment Due"),IF(AS162&lt;&gt;"","Receiving In-house","PO Issued - Awaiting Delivery"))))))</f>
        <v/>
      </c>
      <c r="BJ162" s="76" t="str">
        <f aca="false">IF(A162="","",IF(IF(AND(A162&lt;&gt;"",OR(B162="",C162="",E162="",F162="",H162="")),"PR info missing; ","")&amp;IF(AND(K162="Approved",OR(J162="",I162="")),"Approval ref/date missing; ","")&amp;IF(AND(O162&lt;&gt;"",K162&lt;&gt;"Approved"),"PO without approval; ","")&amp;IF(AND(O162&lt;&gt;"",OR(P162="",M162="",Q162="",S162="",T162="")),"PO details missing; ","")&amp;IF(AND(O162&lt;&gt;"",AR162=""),"Committed date missing; ","")&amp;IF(AND(ISNUMBER(J162),ISNUMBER(B162),N(J162)&lt;N(B162)),"Approval dated before PR; ","")&amp;IF(AND(ISNUMBER(P162),ISNUMBER(J162),N(P162)&lt;N(J162)),"PO dated before approval; ","")&amp;IF(AND(ISNUMBER(AY162),ISNUMBER(AS162),N(AY162)&lt;N(AS162)),"Close before in-house start; ","")&amp;IF(AND(AY162&lt;&gt;"",AS162=""),"In-house start date missing; ","")&amp;IF(AND(AY162&lt;&gt;"",AT162=""),"Qty received missing; ","")&amp;IF(AND(AY162&lt;&gt;"",BF162=""),"QC status missing; ","")&amp;IF(N(AT162)&gt;N(Q162)*1.05,"Received &gt; ordered +5%; ","")&amp;IF(AND(N(AI162)&gt;0,AE162=""),"Payment terms missing; ","")&amp;IF(N(AI162)&gt;N(AD162)+1,"Overpaid vs PO; ","")&amp;IF(AND(N(AK162)&gt;0,AY162&lt;&gt;"",AO162=""),"Payment due date missing; ","")="","OK",IF(AND(A162&lt;&gt;"",OR(B162="",C162="",E162="",F162="",H162="")),"PR info missing; ","")&amp;IF(AND(K162="Approved",OR(J162="",I162="")),"Approval ref/date missing; ","")&amp;IF(AND(O162&lt;&gt;"",K162&lt;&gt;"Approved"),"PO without approval; ","")&amp;IF(AND(O162&lt;&gt;"",OR(P162="",M162="",Q162="",S162="",T162="")),"PO details missing; ","")&amp;IF(AND(O162&lt;&gt;"",AR162=""),"Committed date missing; ","")&amp;IF(AND(ISNUMBER(J162),ISNUMBER(B162),N(J162)&lt;N(B162)),"Approval dated before PR; ","")&amp;IF(AND(ISNUMBER(P162),ISNUMBER(J162),N(P162)&lt;N(J162)),"PO dated before approval; ","")&amp;IF(AND(ISNUMBER(AY162),ISNUMBER(AS162),N(AY162)&lt;N(AS162)),"Close before in-house start; ","")&amp;IF(AND(AY162&lt;&gt;"",AS162=""),"In-house start date missing; ","")&amp;IF(AND(AY162&lt;&gt;"",AT162=""),"Qty received missing; ","")&amp;IF(AND(AY162&lt;&gt;"",BF162=""),"QC status missing; ","")&amp;IF(N(AT162)&gt;N(Q162)*1.05,"Received &gt; ordered +5%; ","")&amp;IF(AND(N(AI162)&gt;0,AE162=""),"Payment terms missing; ","")&amp;IF(N(AI162)&gt;N(AD162)+1,"Overpaid vs PO; ","")&amp;IF(AND(N(AK162)&gt;0,AY162&lt;&gt;"",AO162=""),"Payment due date missing; ","")))</f>
        <v/>
      </c>
      <c r="BK162" s="76" t="str">
        <f aca="false">IF(A162="","",IF(N(AP162)&gt;0,"Pay supplier: "&amp;N(AP162)&amp;" days overdue; ","")&amp;IF(AND(O162&lt;&gt;"",AY162="",N(BD162)&gt;0),"Expedite delivery: "&amp;N(BD162)&amp;" days late; ","")&amp;IF(AND(BI162="Awaiting Approval",ISNUMBER(B162),Settings!$B$4-N(B162)&gt;Settings!$B$19),"Get approval: PR waiting "&amp;(Settings!$B$4-N(B162))&amp;" days; ","")&amp;IF(AND(BI162="Approved - PO Pending",ISNUMBER(J162),Settings!$B$4-N(J162)&gt;Settings!$B$20),"Issue PO: approved "&amp;(Settings!$B$4-N(J162))&amp;" days ago; ","")&amp;IF(AND(OR(BI162="Awaiting Approval",BI162="Approved - PO Pending"),N(AB162)&gt;Settings!$B$7),"Negotiate price: "&amp;TEXT(AB162,"0%")&amp;" above budget; ","")&amp;IF(LEFT(AX162,12)="Short Closed","Short closed: claim balance / credit note"&amp;IF(N(AL162)&gt;0," BDT "&amp;TEXT(AL162,"#,##0"),"")&amp;"; ","")&amp;IF(BF162="Rejected","QC rejected: return / replace; ","")&amp;IF(AND(O162&lt;&gt;"",AY162="",N(AL162)&gt;0,N(BD162)&gt;0),"Advance at risk: BDT "&amp;TEXT(AL162,"#,##0")&amp;" paid, goods late; ","")&amp;IF(AND(BJ162&lt;&gt;"",BJ162&lt;&gt;"OK"),"Fix data entry (see Data Check); ",""))</f>
        <v/>
      </c>
      <c r="BL162" s="73" t="str">
        <f aca="false">IF(BK162="","",IF(OR(N(AP162)&gt;30,AND(AY162="",N(BD162)&gt;15),BF162="Rejected",AND(LEFT(AX162,12)="Short Closed",N(AL162)&gt;0),AND(O162&lt;&gt;"",AY162="",N(AL162)&gt;0,N(BD162)&gt;0)),"High",IF(OR(N(AP162)&gt;0,AND(AY162="",N(BD162)&gt;7),LEFT(AX162,12)="Short Closed",AND(BI162="Awaiting Approval",ISNUMBER(B162),Settings!$B$4-N(B162)&gt;2*Settings!$B$19),AND(BI162="Approved - PO Pending",ISNUMBER(J162),Settings!$B$4-N(J162)&gt;2*Settings!$B$20)),"Medium","Low")))</f>
        <v/>
      </c>
      <c r="BM162" s="77" t="str">
        <f aca="false">IF(BL162="","",IF(BL162="High",1,IF(BL162="Medium",2,3))*10000+ROW())</f>
        <v/>
      </c>
      <c r="BN162" s="62"/>
    </row>
    <row r="163" customFormat="false" ht="18" hidden="false" customHeight="true" outlineLevel="0" collapsed="false">
      <c r="A163" s="60"/>
      <c r="B163" s="61"/>
      <c r="C163" s="62"/>
      <c r="D163" s="62"/>
      <c r="E163" s="62"/>
      <c r="F163" s="62"/>
      <c r="G163" s="62"/>
      <c r="H163" s="60"/>
      <c r="I163" s="60"/>
      <c r="J163" s="61"/>
      <c r="K163" s="60"/>
      <c r="L163" s="60"/>
      <c r="M163" s="62"/>
      <c r="N163" s="60"/>
      <c r="O163" s="60"/>
      <c r="P163" s="61"/>
      <c r="Q163" s="63"/>
      <c r="R163" s="60"/>
      <c r="S163" s="64"/>
      <c r="T163" s="60"/>
      <c r="U163" s="65" t="str">
        <f aca="false">IF(AND(T163="",S163=""),"",IF(T163="",1,IFERROR(INDEX(Settings!$B$12:$B$16,MATCH(T163,Settings!$A$12:$A$16,0)),1)))</f>
        <v/>
      </c>
      <c r="V163" s="64"/>
      <c r="W163" s="66" t="str">
        <f aca="false">IF(OR(Q163="",S163=""),"",Q163*S163*U163)</f>
        <v/>
      </c>
      <c r="X163" s="65" t="str">
        <f aca="false">IF(OR(W163="",N(Q163)=0),"",W163/Q163)</f>
        <v/>
      </c>
      <c r="Y163" s="65" t="str">
        <f aca="false">IF(OR(X163="",P163="",E163=""),"",IF(_xlfn.MAXIFS($P$6:$P$205,$E$6:$E$205,E163,$P$6:$P$205,"&lt;"&amp;P163,$X$6:$X$205,"&gt;0")=0,"",IFERROR(AVERAGEIFS($X$6:$X$205,$E$6:$E$205,E163,$P$6:$P$205,_xlfn.MAXIFS($P$6:$P$205,$E$6:$E$205,E163,$P$6:$P$205,"&lt;"&amp;P163,$X$6:$X$205,"&gt;0"),$X$6:$X$205,"&gt;0"),"")))</f>
        <v/>
      </c>
      <c r="Z163" s="67" t="str">
        <f aca="false">IF(OR(Y163="",X163=""),"",X163/Y163-1)</f>
        <v/>
      </c>
      <c r="AA163" s="68" t="str">
        <f aca="false">IF(OR(W163="",V163=""),"",W163-Q163*V163)</f>
        <v/>
      </c>
      <c r="AB163" s="69" t="str">
        <f aca="false">IF(AA163="","",IF(N(V163)*N(Q163)=0,"",AA163/(Q163*V163)))</f>
        <v/>
      </c>
      <c r="AC163" s="70"/>
      <c r="AD163" s="66" t="str">
        <f aca="false">IF(W163="","",W163*(1+N(AC163)))</f>
        <v/>
      </c>
      <c r="AE163" s="62"/>
      <c r="AF163" s="71"/>
      <c r="AG163" s="71"/>
      <c r="AH163" s="71"/>
      <c r="AI163" s="66" t="str">
        <f aca="false">IF(A163="","",N(AF163)+N(AG163)+N(AH163))</f>
        <v/>
      </c>
      <c r="AJ163" s="72" t="str">
        <f aca="false">IF(AD163="","",IF(N(AD163)=0,"",AI163/AD163))</f>
        <v/>
      </c>
      <c r="AK163" s="66" t="str">
        <f aca="false">IF(AD163="","",IF(AD163-AI163&lt;1,0,ROUND(AD163-AI163,2)))</f>
        <v/>
      </c>
      <c r="AL163" s="66" t="str">
        <f aca="false">IF(OR(O163="",AD163=""),"",MAX(0,ROUND(N(AI163)-(AD163-N(AW163)),0)))</f>
        <v/>
      </c>
      <c r="AM163" s="73" t="str">
        <f aca="false">IF(A163="","",IF(O163="","No PO Yet",IF(AI163=0,"Not Paid",IF(N(AJ163)&gt;=0.999,"Fully Paid",IF(N(AG163)+N(AH163)&gt;0,"Partially Paid","Initial / Advance Paid")))))</f>
        <v/>
      </c>
      <c r="AN163" s="61"/>
      <c r="AO163" s="61"/>
      <c r="AP163" s="74" t="str">
        <f aca="false">IF(AK163="","",IF(OR(N(AK163)=0,AO163=""),"",MAX(0,Settings!$B$4-AO163)))</f>
        <v/>
      </c>
      <c r="AQ163" s="73" t="str">
        <f aca="false">IF(AK163="","",IF(N(AK163)&lt;=0,"",IF(AO163="","No Due Date",IF(Settings!$B$4&lt;=AO163,"Not Yet Due",IF(Settings!$B$4-AO163&lt;=30,"1-30 Days",IF(Settings!$B$4-AO163&lt;=60,"31-60 Days",IF(Settings!$B$4-AO163&lt;=90,"61-90 Days","90+ Days")))))))</f>
        <v/>
      </c>
      <c r="AR163" s="61"/>
      <c r="AS163" s="61"/>
      <c r="AT163" s="63"/>
      <c r="AU163" s="72" t="str">
        <f aca="false">IF(Q163="","",IF(N(Q163)=0,"",N(AT163)/Q163))</f>
        <v/>
      </c>
      <c r="AV163" s="75" t="str">
        <f aca="false">IF(OR(A163="",O163="",Q163=""),"",MAX(0,Q163-N(AT163)))</f>
        <v/>
      </c>
      <c r="AW163" s="66" t="str">
        <f aca="false">IF(OR(AV163="",W163=""),"",IF(N(Q163)=0,0,AV163/Q163*AD163))</f>
        <v/>
      </c>
      <c r="AX163" s="76" t="str">
        <f aca="false">IF(A163="","",IF(O163="","No PO Yet",IF(Q163="","Order Qty Missing",IF(N(AT163)&gt;=Q163,IF(N(AT163)&gt;Q163,"All In-house (+"&amp;TEXT(N(AT163)-Q163,"#,##0")&amp;" "&amp;R163&amp;" excess)","All In-house"),IF(AY163&lt;&gt;"","Short Closed - "&amp;TEXT(AV163,"#,##0")&amp;" "&amp;R163&amp;" not received",IF(N(AT163)=0,"Not Started - "&amp;TEXT(AV163,"#,##0")&amp;" "&amp;R163&amp;" pending","Pending "&amp;TEXT(AV163,"#,##0")&amp;" "&amp;R163&amp;" ("&amp;TEXT(AU163,"0%")&amp;" received)"))))))</f>
        <v/>
      </c>
      <c r="AY163" s="61"/>
      <c r="AZ163" s="77" t="str">
        <f aca="false">IF(OR(B163="",J163=""),"",J163-B163)</f>
        <v/>
      </c>
      <c r="BA163" s="77" t="str">
        <f aca="false">IF(OR(J163="",P163=""),"",P163-J163)</f>
        <v/>
      </c>
      <c r="BB163" s="77" t="str">
        <f aca="false">IF(OR(P163="",AY163=""),"",AY163-P163)</f>
        <v/>
      </c>
      <c r="BC163" s="77" t="str">
        <f aca="false">IF(OR(B163="",AY163=""),"",AY163-B163)</f>
        <v/>
      </c>
      <c r="BD163" s="74" t="str">
        <f aca="false">IF(OR(AR163="",O163=""),"",MAX(0,IF(AY163="",Settings!$B$4,AY163)-AR163))</f>
        <v/>
      </c>
      <c r="BE163" s="73" t="str">
        <f aca="false">IF(OR(AY163="",AR163=""),"",IF(AND(AY163&lt;=AR163,N(AU163)&gt;=Settings!$B$6),"OTIF","Not OTIF"))</f>
        <v/>
      </c>
      <c r="BF163" s="60"/>
      <c r="BG163" s="62"/>
      <c r="BH163" s="78"/>
      <c r="BI163" s="76" t="str">
        <f aca="false">IF(A163="","",IF(K163="Rejected","Rejected",IF(K163&lt;&gt;"Approved","Awaiting Approval",IF(O163="","Approved - PO Pending",IF(AY163&lt;&gt;"",IF(N(AJ163)&gt;=0.999,"Closed","In-house Closed - Payment Due"),IF(AS163&lt;&gt;"","Receiving In-house","PO Issued - Awaiting Delivery"))))))</f>
        <v/>
      </c>
      <c r="BJ163" s="76" t="str">
        <f aca="false">IF(A163="","",IF(IF(AND(A163&lt;&gt;"",OR(B163="",C163="",E163="",F163="",H163="")),"PR info missing; ","")&amp;IF(AND(K163="Approved",OR(J163="",I163="")),"Approval ref/date missing; ","")&amp;IF(AND(O163&lt;&gt;"",K163&lt;&gt;"Approved"),"PO without approval; ","")&amp;IF(AND(O163&lt;&gt;"",OR(P163="",M163="",Q163="",S163="",T163="")),"PO details missing; ","")&amp;IF(AND(O163&lt;&gt;"",AR163=""),"Committed date missing; ","")&amp;IF(AND(ISNUMBER(J163),ISNUMBER(B163),N(J163)&lt;N(B163)),"Approval dated before PR; ","")&amp;IF(AND(ISNUMBER(P163),ISNUMBER(J163),N(P163)&lt;N(J163)),"PO dated before approval; ","")&amp;IF(AND(ISNUMBER(AY163),ISNUMBER(AS163),N(AY163)&lt;N(AS163)),"Close before in-house start; ","")&amp;IF(AND(AY163&lt;&gt;"",AS163=""),"In-house start date missing; ","")&amp;IF(AND(AY163&lt;&gt;"",AT163=""),"Qty received missing; ","")&amp;IF(AND(AY163&lt;&gt;"",BF163=""),"QC status missing; ","")&amp;IF(N(AT163)&gt;N(Q163)*1.05,"Received &gt; ordered +5%; ","")&amp;IF(AND(N(AI163)&gt;0,AE163=""),"Payment terms missing; ","")&amp;IF(N(AI163)&gt;N(AD163)+1,"Overpaid vs PO; ","")&amp;IF(AND(N(AK163)&gt;0,AY163&lt;&gt;"",AO163=""),"Payment due date missing; ","")="","OK",IF(AND(A163&lt;&gt;"",OR(B163="",C163="",E163="",F163="",H163="")),"PR info missing; ","")&amp;IF(AND(K163="Approved",OR(J163="",I163="")),"Approval ref/date missing; ","")&amp;IF(AND(O163&lt;&gt;"",K163&lt;&gt;"Approved"),"PO without approval; ","")&amp;IF(AND(O163&lt;&gt;"",OR(P163="",M163="",Q163="",S163="",T163="")),"PO details missing; ","")&amp;IF(AND(O163&lt;&gt;"",AR163=""),"Committed date missing; ","")&amp;IF(AND(ISNUMBER(J163),ISNUMBER(B163),N(J163)&lt;N(B163)),"Approval dated before PR; ","")&amp;IF(AND(ISNUMBER(P163),ISNUMBER(J163),N(P163)&lt;N(J163)),"PO dated before approval; ","")&amp;IF(AND(ISNUMBER(AY163),ISNUMBER(AS163),N(AY163)&lt;N(AS163)),"Close before in-house start; ","")&amp;IF(AND(AY163&lt;&gt;"",AS163=""),"In-house start date missing; ","")&amp;IF(AND(AY163&lt;&gt;"",AT163=""),"Qty received missing; ","")&amp;IF(AND(AY163&lt;&gt;"",BF163=""),"QC status missing; ","")&amp;IF(N(AT163)&gt;N(Q163)*1.05,"Received &gt; ordered +5%; ","")&amp;IF(AND(N(AI163)&gt;0,AE163=""),"Payment terms missing; ","")&amp;IF(N(AI163)&gt;N(AD163)+1,"Overpaid vs PO; ","")&amp;IF(AND(N(AK163)&gt;0,AY163&lt;&gt;"",AO163=""),"Payment due date missing; ","")))</f>
        <v/>
      </c>
      <c r="BK163" s="76" t="str">
        <f aca="false">IF(A163="","",IF(N(AP163)&gt;0,"Pay supplier: "&amp;N(AP163)&amp;" days overdue; ","")&amp;IF(AND(O163&lt;&gt;"",AY163="",N(BD163)&gt;0),"Expedite delivery: "&amp;N(BD163)&amp;" days late; ","")&amp;IF(AND(BI163="Awaiting Approval",ISNUMBER(B163),Settings!$B$4-N(B163)&gt;Settings!$B$19),"Get approval: PR waiting "&amp;(Settings!$B$4-N(B163))&amp;" days; ","")&amp;IF(AND(BI163="Approved - PO Pending",ISNUMBER(J163),Settings!$B$4-N(J163)&gt;Settings!$B$20),"Issue PO: approved "&amp;(Settings!$B$4-N(J163))&amp;" days ago; ","")&amp;IF(AND(OR(BI163="Awaiting Approval",BI163="Approved - PO Pending"),N(AB163)&gt;Settings!$B$7),"Negotiate price: "&amp;TEXT(AB163,"0%")&amp;" above budget; ","")&amp;IF(LEFT(AX163,12)="Short Closed","Short closed: claim balance / credit note"&amp;IF(N(AL163)&gt;0," BDT "&amp;TEXT(AL163,"#,##0"),"")&amp;"; ","")&amp;IF(BF163="Rejected","QC rejected: return / replace; ","")&amp;IF(AND(O163&lt;&gt;"",AY163="",N(AL163)&gt;0,N(BD163)&gt;0),"Advance at risk: BDT "&amp;TEXT(AL163,"#,##0")&amp;" paid, goods late; ","")&amp;IF(AND(BJ163&lt;&gt;"",BJ163&lt;&gt;"OK"),"Fix data entry (see Data Check); ",""))</f>
        <v/>
      </c>
      <c r="BL163" s="73" t="str">
        <f aca="false">IF(BK163="","",IF(OR(N(AP163)&gt;30,AND(AY163="",N(BD163)&gt;15),BF163="Rejected",AND(LEFT(AX163,12)="Short Closed",N(AL163)&gt;0),AND(O163&lt;&gt;"",AY163="",N(AL163)&gt;0,N(BD163)&gt;0)),"High",IF(OR(N(AP163)&gt;0,AND(AY163="",N(BD163)&gt;7),LEFT(AX163,12)="Short Closed",AND(BI163="Awaiting Approval",ISNUMBER(B163),Settings!$B$4-N(B163)&gt;2*Settings!$B$19),AND(BI163="Approved - PO Pending",ISNUMBER(J163),Settings!$B$4-N(J163)&gt;2*Settings!$B$20)),"Medium","Low")))</f>
        <v/>
      </c>
      <c r="BM163" s="77" t="str">
        <f aca="false">IF(BL163="","",IF(BL163="High",1,IF(BL163="Medium",2,3))*10000+ROW())</f>
        <v/>
      </c>
      <c r="BN163" s="62"/>
    </row>
    <row r="164" customFormat="false" ht="18" hidden="false" customHeight="true" outlineLevel="0" collapsed="false">
      <c r="A164" s="60"/>
      <c r="B164" s="61"/>
      <c r="C164" s="62"/>
      <c r="D164" s="62"/>
      <c r="E164" s="62"/>
      <c r="F164" s="62"/>
      <c r="G164" s="62"/>
      <c r="H164" s="60"/>
      <c r="I164" s="60"/>
      <c r="J164" s="61"/>
      <c r="K164" s="60"/>
      <c r="L164" s="60"/>
      <c r="M164" s="62"/>
      <c r="N164" s="60"/>
      <c r="O164" s="60"/>
      <c r="P164" s="61"/>
      <c r="Q164" s="63"/>
      <c r="R164" s="60"/>
      <c r="S164" s="64"/>
      <c r="T164" s="60"/>
      <c r="U164" s="65" t="str">
        <f aca="false">IF(AND(T164="",S164=""),"",IF(T164="",1,IFERROR(INDEX(Settings!$B$12:$B$16,MATCH(T164,Settings!$A$12:$A$16,0)),1)))</f>
        <v/>
      </c>
      <c r="V164" s="64"/>
      <c r="W164" s="66" t="str">
        <f aca="false">IF(OR(Q164="",S164=""),"",Q164*S164*U164)</f>
        <v/>
      </c>
      <c r="X164" s="65" t="str">
        <f aca="false">IF(OR(W164="",N(Q164)=0),"",W164/Q164)</f>
        <v/>
      </c>
      <c r="Y164" s="65" t="str">
        <f aca="false">IF(OR(X164="",P164="",E164=""),"",IF(_xlfn.MAXIFS($P$6:$P$205,$E$6:$E$205,E164,$P$6:$P$205,"&lt;"&amp;P164,$X$6:$X$205,"&gt;0")=0,"",IFERROR(AVERAGEIFS($X$6:$X$205,$E$6:$E$205,E164,$P$6:$P$205,_xlfn.MAXIFS($P$6:$P$205,$E$6:$E$205,E164,$P$6:$P$205,"&lt;"&amp;P164,$X$6:$X$205,"&gt;0"),$X$6:$X$205,"&gt;0"),"")))</f>
        <v/>
      </c>
      <c r="Z164" s="67" t="str">
        <f aca="false">IF(OR(Y164="",X164=""),"",X164/Y164-1)</f>
        <v/>
      </c>
      <c r="AA164" s="68" t="str">
        <f aca="false">IF(OR(W164="",V164=""),"",W164-Q164*V164)</f>
        <v/>
      </c>
      <c r="AB164" s="69" t="str">
        <f aca="false">IF(AA164="","",IF(N(V164)*N(Q164)=0,"",AA164/(Q164*V164)))</f>
        <v/>
      </c>
      <c r="AC164" s="70"/>
      <c r="AD164" s="66" t="str">
        <f aca="false">IF(W164="","",W164*(1+N(AC164)))</f>
        <v/>
      </c>
      <c r="AE164" s="62"/>
      <c r="AF164" s="71"/>
      <c r="AG164" s="71"/>
      <c r="AH164" s="71"/>
      <c r="AI164" s="66" t="str">
        <f aca="false">IF(A164="","",N(AF164)+N(AG164)+N(AH164))</f>
        <v/>
      </c>
      <c r="AJ164" s="72" t="str">
        <f aca="false">IF(AD164="","",IF(N(AD164)=0,"",AI164/AD164))</f>
        <v/>
      </c>
      <c r="AK164" s="66" t="str">
        <f aca="false">IF(AD164="","",IF(AD164-AI164&lt;1,0,ROUND(AD164-AI164,2)))</f>
        <v/>
      </c>
      <c r="AL164" s="66" t="str">
        <f aca="false">IF(OR(O164="",AD164=""),"",MAX(0,ROUND(N(AI164)-(AD164-N(AW164)),0)))</f>
        <v/>
      </c>
      <c r="AM164" s="73" t="str">
        <f aca="false">IF(A164="","",IF(O164="","No PO Yet",IF(AI164=0,"Not Paid",IF(N(AJ164)&gt;=0.999,"Fully Paid",IF(N(AG164)+N(AH164)&gt;0,"Partially Paid","Initial / Advance Paid")))))</f>
        <v/>
      </c>
      <c r="AN164" s="61"/>
      <c r="AO164" s="61"/>
      <c r="AP164" s="74" t="str">
        <f aca="false">IF(AK164="","",IF(OR(N(AK164)=0,AO164=""),"",MAX(0,Settings!$B$4-AO164)))</f>
        <v/>
      </c>
      <c r="AQ164" s="73" t="str">
        <f aca="false">IF(AK164="","",IF(N(AK164)&lt;=0,"",IF(AO164="","No Due Date",IF(Settings!$B$4&lt;=AO164,"Not Yet Due",IF(Settings!$B$4-AO164&lt;=30,"1-30 Days",IF(Settings!$B$4-AO164&lt;=60,"31-60 Days",IF(Settings!$B$4-AO164&lt;=90,"61-90 Days","90+ Days")))))))</f>
        <v/>
      </c>
      <c r="AR164" s="61"/>
      <c r="AS164" s="61"/>
      <c r="AT164" s="63"/>
      <c r="AU164" s="72" t="str">
        <f aca="false">IF(Q164="","",IF(N(Q164)=0,"",N(AT164)/Q164))</f>
        <v/>
      </c>
      <c r="AV164" s="75" t="str">
        <f aca="false">IF(OR(A164="",O164="",Q164=""),"",MAX(0,Q164-N(AT164)))</f>
        <v/>
      </c>
      <c r="AW164" s="66" t="str">
        <f aca="false">IF(OR(AV164="",W164=""),"",IF(N(Q164)=0,0,AV164/Q164*AD164))</f>
        <v/>
      </c>
      <c r="AX164" s="76" t="str">
        <f aca="false">IF(A164="","",IF(O164="","No PO Yet",IF(Q164="","Order Qty Missing",IF(N(AT164)&gt;=Q164,IF(N(AT164)&gt;Q164,"All In-house (+"&amp;TEXT(N(AT164)-Q164,"#,##0")&amp;" "&amp;R164&amp;" excess)","All In-house"),IF(AY164&lt;&gt;"","Short Closed - "&amp;TEXT(AV164,"#,##0")&amp;" "&amp;R164&amp;" not received",IF(N(AT164)=0,"Not Started - "&amp;TEXT(AV164,"#,##0")&amp;" "&amp;R164&amp;" pending","Pending "&amp;TEXT(AV164,"#,##0")&amp;" "&amp;R164&amp;" ("&amp;TEXT(AU164,"0%")&amp;" received)"))))))</f>
        <v/>
      </c>
      <c r="AY164" s="61"/>
      <c r="AZ164" s="77" t="str">
        <f aca="false">IF(OR(B164="",J164=""),"",J164-B164)</f>
        <v/>
      </c>
      <c r="BA164" s="77" t="str">
        <f aca="false">IF(OR(J164="",P164=""),"",P164-J164)</f>
        <v/>
      </c>
      <c r="BB164" s="77" t="str">
        <f aca="false">IF(OR(P164="",AY164=""),"",AY164-P164)</f>
        <v/>
      </c>
      <c r="BC164" s="77" t="str">
        <f aca="false">IF(OR(B164="",AY164=""),"",AY164-B164)</f>
        <v/>
      </c>
      <c r="BD164" s="74" t="str">
        <f aca="false">IF(OR(AR164="",O164=""),"",MAX(0,IF(AY164="",Settings!$B$4,AY164)-AR164))</f>
        <v/>
      </c>
      <c r="BE164" s="73" t="str">
        <f aca="false">IF(OR(AY164="",AR164=""),"",IF(AND(AY164&lt;=AR164,N(AU164)&gt;=Settings!$B$6),"OTIF","Not OTIF"))</f>
        <v/>
      </c>
      <c r="BF164" s="60"/>
      <c r="BG164" s="62"/>
      <c r="BH164" s="78"/>
      <c r="BI164" s="76" t="str">
        <f aca="false">IF(A164="","",IF(K164="Rejected","Rejected",IF(K164&lt;&gt;"Approved","Awaiting Approval",IF(O164="","Approved - PO Pending",IF(AY164&lt;&gt;"",IF(N(AJ164)&gt;=0.999,"Closed","In-house Closed - Payment Due"),IF(AS164&lt;&gt;"","Receiving In-house","PO Issued - Awaiting Delivery"))))))</f>
        <v/>
      </c>
      <c r="BJ164" s="76" t="str">
        <f aca="false">IF(A164="","",IF(IF(AND(A164&lt;&gt;"",OR(B164="",C164="",E164="",F164="",H164="")),"PR info missing; ","")&amp;IF(AND(K164="Approved",OR(J164="",I164="")),"Approval ref/date missing; ","")&amp;IF(AND(O164&lt;&gt;"",K164&lt;&gt;"Approved"),"PO without approval; ","")&amp;IF(AND(O164&lt;&gt;"",OR(P164="",M164="",Q164="",S164="",T164="")),"PO details missing; ","")&amp;IF(AND(O164&lt;&gt;"",AR164=""),"Committed date missing; ","")&amp;IF(AND(ISNUMBER(J164),ISNUMBER(B164),N(J164)&lt;N(B164)),"Approval dated before PR; ","")&amp;IF(AND(ISNUMBER(P164),ISNUMBER(J164),N(P164)&lt;N(J164)),"PO dated before approval; ","")&amp;IF(AND(ISNUMBER(AY164),ISNUMBER(AS164),N(AY164)&lt;N(AS164)),"Close before in-house start; ","")&amp;IF(AND(AY164&lt;&gt;"",AS164=""),"In-house start date missing; ","")&amp;IF(AND(AY164&lt;&gt;"",AT164=""),"Qty received missing; ","")&amp;IF(AND(AY164&lt;&gt;"",BF164=""),"QC status missing; ","")&amp;IF(N(AT164)&gt;N(Q164)*1.05,"Received &gt; ordered +5%; ","")&amp;IF(AND(N(AI164)&gt;0,AE164=""),"Payment terms missing; ","")&amp;IF(N(AI164)&gt;N(AD164)+1,"Overpaid vs PO; ","")&amp;IF(AND(N(AK164)&gt;0,AY164&lt;&gt;"",AO164=""),"Payment due date missing; ","")="","OK",IF(AND(A164&lt;&gt;"",OR(B164="",C164="",E164="",F164="",H164="")),"PR info missing; ","")&amp;IF(AND(K164="Approved",OR(J164="",I164="")),"Approval ref/date missing; ","")&amp;IF(AND(O164&lt;&gt;"",K164&lt;&gt;"Approved"),"PO without approval; ","")&amp;IF(AND(O164&lt;&gt;"",OR(P164="",M164="",Q164="",S164="",T164="")),"PO details missing; ","")&amp;IF(AND(O164&lt;&gt;"",AR164=""),"Committed date missing; ","")&amp;IF(AND(ISNUMBER(J164),ISNUMBER(B164),N(J164)&lt;N(B164)),"Approval dated before PR; ","")&amp;IF(AND(ISNUMBER(P164),ISNUMBER(J164),N(P164)&lt;N(J164)),"PO dated before approval; ","")&amp;IF(AND(ISNUMBER(AY164),ISNUMBER(AS164),N(AY164)&lt;N(AS164)),"Close before in-house start; ","")&amp;IF(AND(AY164&lt;&gt;"",AS164=""),"In-house start date missing; ","")&amp;IF(AND(AY164&lt;&gt;"",AT164=""),"Qty received missing; ","")&amp;IF(AND(AY164&lt;&gt;"",BF164=""),"QC status missing; ","")&amp;IF(N(AT164)&gt;N(Q164)*1.05,"Received &gt; ordered +5%; ","")&amp;IF(AND(N(AI164)&gt;0,AE164=""),"Payment terms missing; ","")&amp;IF(N(AI164)&gt;N(AD164)+1,"Overpaid vs PO; ","")&amp;IF(AND(N(AK164)&gt;0,AY164&lt;&gt;"",AO164=""),"Payment due date missing; ","")))</f>
        <v/>
      </c>
      <c r="BK164" s="76" t="str">
        <f aca="false">IF(A164="","",IF(N(AP164)&gt;0,"Pay supplier: "&amp;N(AP164)&amp;" days overdue; ","")&amp;IF(AND(O164&lt;&gt;"",AY164="",N(BD164)&gt;0),"Expedite delivery: "&amp;N(BD164)&amp;" days late; ","")&amp;IF(AND(BI164="Awaiting Approval",ISNUMBER(B164),Settings!$B$4-N(B164)&gt;Settings!$B$19),"Get approval: PR waiting "&amp;(Settings!$B$4-N(B164))&amp;" days; ","")&amp;IF(AND(BI164="Approved - PO Pending",ISNUMBER(J164),Settings!$B$4-N(J164)&gt;Settings!$B$20),"Issue PO: approved "&amp;(Settings!$B$4-N(J164))&amp;" days ago; ","")&amp;IF(AND(OR(BI164="Awaiting Approval",BI164="Approved - PO Pending"),N(AB164)&gt;Settings!$B$7),"Negotiate price: "&amp;TEXT(AB164,"0%")&amp;" above budget; ","")&amp;IF(LEFT(AX164,12)="Short Closed","Short closed: claim balance / credit note"&amp;IF(N(AL164)&gt;0," BDT "&amp;TEXT(AL164,"#,##0"),"")&amp;"; ","")&amp;IF(BF164="Rejected","QC rejected: return / replace; ","")&amp;IF(AND(O164&lt;&gt;"",AY164="",N(AL164)&gt;0,N(BD164)&gt;0),"Advance at risk: BDT "&amp;TEXT(AL164,"#,##0")&amp;" paid, goods late; ","")&amp;IF(AND(BJ164&lt;&gt;"",BJ164&lt;&gt;"OK"),"Fix data entry (see Data Check); ",""))</f>
        <v/>
      </c>
      <c r="BL164" s="73" t="str">
        <f aca="false">IF(BK164="","",IF(OR(N(AP164)&gt;30,AND(AY164="",N(BD164)&gt;15),BF164="Rejected",AND(LEFT(AX164,12)="Short Closed",N(AL164)&gt;0),AND(O164&lt;&gt;"",AY164="",N(AL164)&gt;0,N(BD164)&gt;0)),"High",IF(OR(N(AP164)&gt;0,AND(AY164="",N(BD164)&gt;7),LEFT(AX164,12)="Short Closed",AND(BI164="Awaiting Approval",ISNUMBER(B164),Settings!$B$4-N(B164)&gt;2*Settings!$B$19),AND(BI164="Approved - PO Pending",ISNUMBER(J164),Settings!$B$4-N(J164)&gt;2*Settings!$B$20)),"Medium","Low")))</f>
        <v/>
      </c>
      <c r="BM164" s="77" t="str">
        <f aca="false">IF(BL164="","",IF(BL164="High",1,IF(BL164="Medium",2,3))*10000+ROW())</f>
        <v/>
      </c>
      <c r="BN164" s="62"/>
    </row>
    <row r="165" customFormat="false" ht="18" hidden="false" customHeight="true" outlineLevel="0" collapsed="false">
      <c r="A165" s="60"/>
      <c r="B165" s="61"/>
      <c r="C165" s="62"/>
      <c r="D165" s="62"/>
      <c r="E165" s="62"/>
      <c r="F165" s="62"/>
      <c r="G165" s="62"/>
      <c r="H165" s="60"/>
      <c r="I165" s="60"/>
      <c r="J165" s="61"/>
      <c r="K165" s="60"/>
      <c r="L165" s="60"/>
      <c r="M165" s="62"/>
      <c r="N165" s="60"/>
      <c r="O165" s="60"/>
      <c r="P165" s="61"/>
      <c r="Q165" s="63"/>
      <c r="R165" s="60"/>
      <c r="S165" s="64"/>
      <c r="T165" s="60"/>
      <c r="U165" s="65" t="str">
        <f aca="false">IF(AND(T165="",S165=""),"",IF(T165="",1,IFERROR(INDEX(Settings!$B$12:$B$16,MATCH(T165,Settings!$A$12:$A$16,0)),1)))</f>
        <v/>
      </c>
      <c r="V165" s="64"/>
      <c r="W165" s="66" t="str">
        <f aca="false">IF(OR(Q165="",S165=""),"",Q165*S165*U165)</f>
        <v/>
      </c>
      <c r="X165" s="65" t="str">
        <f aca="false">IF(OR(W165="",N(Q165)=0),"",W165/Q165)</f>
        <v/>
      </c>
      <c r="Y165" s="65" t="str">
        <f aca="false">IF(OR(X165="",P165="",E165=""),"",IF(_xlfn.MAXIFS($P$6:$P$205,$E$6:$E$205,E165,$P$6:$P$205,"&lt;"&amp;P165,$X$6:$X$205,"&gt;0")=0,"",IFERROR(AVERAGEIFS($X$6:$X$205,$E$6:$E$205,E165,$P$6:$P$205,_xlfn.MAXIFS($P$6:$P$205,$E$6:$E$205,E165,$P$6:$P$205,"&lt;"&amp;P165,$X$6:$X$205,"&gt;0"),$X$6:$X$205,"&gt;0"),"")))</f>
        <v/>
      </c>
      <c r="Z165" s="67" t="str">
        <f aca="false">IF(OR(Y165="",X165=""),"",X165/Y165-1)</f>
        <v/>
      </c>
      <c r="AA165" s="68" t="str">
        <f aca="false">IF(OR(W165="",V165=""),"",W165-Q165*V165)</f>
        <v/>
      </c>
      <c r="AB165" s="69" t="str">
        <f aca="false">IF(AA165="","",IF(N(V165)*N(Q165)=0,"",AA165/(Q165*V165)))</f>
        <v/>
      </c>
      <c r="AC165" s="70"/>
      <c r="AD165" s="66" t="str">
        <f aca="false">IF(W165="","",W165*(1+N(AC165)))</f>
        <v/>
      </c>
      <c r="AE165" s="62"/>
      <c r="AF165" s="71"/>
      <c r="AG165" s="71"/>
      <c r="AH165" s="71"/>
      <c r="AI165" s="66" t="str">
        <f aca="false">IF(A165="","",N(AF165)+N(AG165)+N(AH165))</f>
        <v/>
      </c>
      <c r="AJ165" s="72" t="str">
        <f aca="false">IF(AD165="","",IF(N(AD165)=0,"",AI165/AD165))</f>
        <v/>
      </c>
      <c r="AK165" s="66" t="str">
        <f aca="false">IF(AD165="","",IF(AD165-AI165&lt;1,0,ROUND(AD165-AI165,2)))</f>
        <v/>
      </c>
      <c r="AL165" s="66" t="str">
        <f aca="false">IF(OR(O165="",AD165=""),"",MAX(0,ROUND(N(AI165)-(AD165-N(AW165)),0)))</f>
        <v/>
      </c>
      <c r="AM165" s="73" t="str">
        <f aca="false">IF(A165="","",IF(O165="","No PO Yet",IF(AI165=0,"Not Paid",IF(N(AJ165)&gt;=0.999,"Fully Paid",IF(N(AG165)+N(AH165)&gt;0,"Partially Paid","Initial / Advance Paid")))))</f>
        <v/>
      </c>
      <c r="AN165" s="61"/>
      <c r="AO165" s="61"/>
      <c r="AP165" s="74" t="str">
        <f aca="false">IF(AK165="","",IF(OR(N(AK165)=0,AO165=""),"",MAX(0,Settings!$B$4-AO165)))</f>
        <v/>
      </c>
      <c r="AQ165" s="73" t="str">
        <f aca="false">IF(AK165="","",IF(N(AK165)&lt;=0,"",IF(AO165="","No Due Date",IF(Settings!$B$4&lt;=AO165,"Not Yet Due",IF(Settings!$B$4-AO165&lt;=30,"1-30 Days",IF(Settings!$B$4-AO165&lt;=60,"31-60 Days",IF(Settings!$B$4-AO165&lt;=90,"61-90 Days","90+ Days")))))))</f>
        <v/>
      </c>
      <c r="AR165" s="61"/>
      <c r="AS165" s="61"/>
      <c r="AT165" s="63"/>
      <c r="AU165" s="72" t="str">
        <f aca="false">IF(Q165="","",IF(N(Q165)=0,"",N(AT165)/Q165))</f>
        <v/>
      </c>
      <c r="AV165" s="75" t="str">
        <f aca="false">IF(OR(A165="",O165="",Q165=""),"",MAX(0,Q165-N(AT165)))</f>
        <v/>
      </c>
      <c r="AW165" s="66" t="str">
        <f aca="false">IF(OR(AV165="",W165=""),"",IF(N(Q165)=0,0,AV165/Q165*AD165))</f>
        <v/>
      </c>
      <c r="AX165" s="76" t="str">
        <f aca="false">IF(A165="","",IF(O165="","No PO Yet",IF(Q165="","Order Qty Missing",IF(N(AT165)&gt;=Q165,IF(N(AT165)&gt;Q165,"All In-house (+"&amp;TEXT(N(AT165)-Q165,"#,##0")&amp;" "&amp;R165&amp;" excess)","All In-house"),IF(AY165&lt;&gt;"","Short Closed - "&amp;TEXT(AV165,"#,##0")&amp;" "&amp;R165&amp;" not received",IF(N(AT165)=0,"Not Started - "&amp;TEXT(AV165,"#,##0")&amp;" "&amp;R165&amp;" pending","Pending "&amp;TEXT(AV165,"#,##0")&amp;" "&amp;R165&amp;" ("&amp;TEXT(AU165,"0%")&amp;" received)"))))))</f>
        <v/>
      </c>
      <c r="AY165" s="61"/>
      <c r="AZ165" s="77" t="str">
        <f aca="false">IF(OR(B165="",J165=""),"",J165-B165)</f>
        <v/>
      </c>
      <c r="BA165" s="77" t="str">
        <f aca="false">IF(OR(J165="",P165=""),"",P165-J165)</f>
        <v/>
      </c>
      <c r="BB165" s="77" t="str">
        <f aca="false">IF(OR(P165="",AY165=""),"",AY165-P165)</f>
        <v/>
      </c>
      <c r="BC165" s="77" t="str">
        <f aca="false">IF(OR(B165="",AY165=""),"",AY165-B165)</f>
        <v/>
      </c>
      <c r="BD165" s="74" t="str">
        <f aca="false">IF(OR(AR165="",O165=""),"",MAX(0,IF(AY165="",Settings!$B$4,AY165)-AR165))</f>
        <v/>
      </c>
      <c r="BE165" s="73" t="str">
        <f aca="false">IF(OR(AY165="",AR165=""),"",IF(AND(AY165&lt;=AR165,N(AU165)&gt;=Settings!$B$6),"OTIF","Not OTIF"))</f>
        <v/>
      </c>
      <c r="BF165" s="60"/>
      <c r="BG165" s="62"/>
      <c r="BH165" s="78"/>
      <c r="BI165" s="76" t="str">
        <f aca="false">IF(A165="","",IF(K165="Rejected","Rejected",IF(K165&lt;&gt;"Approved","Awaiting Approval",IF(O165="","Approved - PO Pending",IF(AY165&lt;&gt;"",IF(N(AJ165)&gt;=0.999,"Closed","In-house Closed - Payment Due"),IF(AS165&lt;&gt;"","Receiving In-house","PO Issued - Awaiting Delivery"))))))</f>
        <v/>
      </c>
      <c r="BJ165" s="76" t="str">
        <f aca="false">IF(A165="","",IF(IF(AND(A165&lt;&gt;"",OR(B165="",C165="",E165="",F165="",H165="")),"PR info missing; ","")&amp;IF(AND(K165="Approved",OR(J165="",I165="")),"Approval ref/date missing; ","")&amp;IF(AND(O165&lt;&gt;"",K165&lt;&gt;"Approved"),"PO without approval; ","")&amp;IF(AND(O165&lt;&gt;"",OR(P165="",M165="",Q165="",S165="",T165="")),"PO details missing; ","")&amp;IF(AND(O165&lt;&gt;"",AR165=""),"Committed date missing; ","")&amp;IF(AND(ISNUMBER(J165),ISNUMBER(B165),N(J165)&lt;N(B165)),"Approval dated before PR; ","")&amp;IF(AND(ISNUMBER(P165),ISNUMBER(J165),N(P165)&lt;N(J165)),"PO dated before approval; ","")&amp;IF(AND(ISNUMBER(AY165),ISNUMBER(AS165),N(AY165)&lt;N(AS165)),"Close before in-house start; ","")&amp;IF(AND(AY165&lt;&gt;"",AS165=""),"In-house start date missing; ","")&amp;IF(AND(AY165&lt;&gt;"",AT165=""),"Qty received missing; ","")&amp;IF(AND(AY165&lt;&gt;"",BF165=""),"QC status missing; ","")&amp;IF(N(AT165)&gt;N(Q165)*1.05,"Received &gt; ordered +5%; ","")&amp;IF(AND(N(AI165)&gt;0,AE165=""),"Payment terms missing; ","")&amp;IF(N(AI165)&gt;N(AD165)+1,"Overpaid vs PO; ","")&amp;IF(AND(N(AK165)&gt;0,AY165&lt;&gt;"",AO165=""),"Payment due date missing; ","")="","OK",IF(AND(A165&lt;&gt;"",OR(B165="",C165="",E165="",F165="",H165="")),"PR info missing; ","")&amp;IF(AND(K165="Approved",OR(J165="",I165="")),"Approval ref/date missing; ","")&amp;IF(AND(O165&lt;&gt;"",K165&lt;&gt;"Approved"),"PO without approval; ","")&amp;IF(AND(O165&lt;&gt;"",OR(P165="",M165="",Q165="",S165="",T165="")),"PO details missing; ","")&amp;IF(AND(O165&lt;&gt;"",AR165=""),"Committed date missing; ","")&amp;IF(AND(ISNUMBER(J165),ISNUMBER(B165),N(J165)&lt;N(B165)),"Approval dated before PR; ","")&amp;IF(AND(ISNUMBER(P165),ISNUMBER(J165),N(P165)&lt;N(J165)),"PO dated before approval; ","")&amp;IF(AND(ISNUMBER(AY165),ISNUMBER(AS165),N(AY165)&lt;N(AS165)),"Close before in-house start; ","")&amp;IF(AND(AY165&lt;&gt;"",AS165=""),"In-house start date missing; ","")&amp;IF(AND(AY165&lt;&gt;"",AT165=""),"Qty received missing; ","")&amp;IF(AND(AY165&lt;&gt;"",BF165=""),"QC status missing; ","")&amp;IF(N(AT165)&gt;N(Q165)*1.05,"Received &gt; ordered +5%; ","")&amp;IF(AND(N(AI165)&gt;0,AE165=""),"Payment terms missing; ","")&amp;IF(N(AI165)&gt;N(AD165)+1,"Overpaid vs PO; ","")&amp;IF(AND(N(AK165)&gt;0,AY165&lt;&gt;"",AO165=""),"Payment due date missing; ","")))</f>
        <v/>
      </c>
      <c r="BK165" s="76" t="str">
        <f aca="false">IF(A165="","",IF(N(AP165)&gt;0,"Pay supplier: "&amp;N(AP165)&amp;" days overdue; ","")&amp;IF(AND(O165&lt;&gt;"",AY165="",N(BD165)&gt;0),"Expedite delivery: "&amp;N(BD165)&amp;" days late; ","")&amp;IF(AND(BI165="Awaiting Approval",ISNUMBER(B165),Settings!$B$4-N(B165)&gt;Settings!$B$19),"Get approval: PR waiting "&amp;(Settings!$B$4-N(B165))&amp;" days; ","")&amp;IF(AND(BI165="Approved - PO Pending",ISNUMBER(J165),Settings!$B$4-N(J165)&gt;Settings!$B$20),"Issue PO: approved "&amp;(Settings!$B$4-N(J165))&amp;" days ago; ","")&amp;IF(AND(OR(BI165="Awaiting Approval",BI165="Approved - PO Pending"),N(AB165)&gt;Settings!$B$7),"Negotiate price: "&amp;TEXT(AB165,"0%")&amp;" above budget; ","")&amp;IF(LEFT(AX165,12)="Short Closed","Short closed: claim balance / credit note"&amp;IF(N(AL165)&gt;0," BDT "&amp;TEXT(AL165,"#,##0"),"")&amp;"; ","")&amp;IF(BF165="Rejected","QC rejected: return / replace; ","")&amp;IF(AND(O165&lt;&gt;"",AY165="",N(AL165)&gt;0,N(BD165)&gt;0),"Advance at risk: BDT "&amp;TEXT(AL165,"#,##0")&amp;" paid, goods late; ","")&amp;IF(AND(BJ165&lt;&gt;"",BJ165&lt;&gt;"OK"),"Fix data entry (see Data Check); ",""))</f>
        <v/>
      </c>
      <c r="BL165" s="73" t="str">
        <f aca="false">IF(BK165="","",IF(OR(N(AP165)&gt;30,AND(AY165="",N(BD165)&gt;15),BF165="Rejected",AND(LEFT(AX165,12)="Short Closed",N(AL165)&gt;0),AND(O165&lt;&gt;"",AY165="",N(AL165)&gt;0,N(BD165)&gt;0)),"High",IF(OR(N(AP165)&gt;0,AND(AY165="",N(BD165)&gt;7),LEFT(AX165,12)="Short Closed",AND(BI165="Awaiting Approval",ISNUMBER(B165),Settings!$B$4-N(B165)&gt;2*Settings!$B$19),AND(BI165="Approved - PO Pending",ISNUMBER(J165),Settings!$B$4-N(J165)&gt;2*Settings!$B$20)),"Medium","Low")))</f>
        <v/>
      </c>
      <c r="BM165" s="77" t="str">
        <f aca="false">IF(BL165="","",IF(BL165="High",1,IF(BL165="Medium",2,3))*10000+ROW())</f>
        <v/>
      </c>
      <c r="BN165" s="62"/>
    </row>
    <row r="166" customFormat="false" ht="18" hidden="false" customHeight="true" outlineLevel="0" collapsed="false">
      <c r="A166" s="60"/>
      <c r="B166" s="61"/>
      <c r="C166" s="62"/>
      <c r="D166" s="62"/>
      <c r="E166" s="62"/>
      <c r="F166" s="62"/>
      <c r="G166" s="62"/>
      <c r="H166" s="60"/>
      <c r="I166" s="60"/>
      <c r="J166" s="61"/>
      <c r="K166" s="60"/>
      <c r="L166" s="60"/>
      <c r="M166" s="62"/>
      <c r="N166" s="60"/>
      <c r="O166" s="60"/>
      <c r="P166" s="61"/>
      <c r="Q166" s="63"/>
      <c r="R166" s="60"/>
      <c r="S166" s="64"/>
      <c r="T166" s="60"/>
      <c r="U166" s="65" t="str">
        <f aca="false">IF(AND(T166="",S166=""),"",IF(T166="",1,IFERROR(INDEX(Settings!$B$12:$B$16,MATCH(T166,Settings!$A$12:$A$16,0)),1)))</f>
        <v/>
      </c>
      <c r="V166" s="64"/>
      <c r="W166" s="66" t="str">
        <f aca="false">IF(OR(Q166="",S166=""),"",Q166*S166*U166)</f>
        <v/>
      </c>
      <c r="X166" s="65" t="str">
        <f aca="false">IF(OR(W166="",N(Q166)=0),"",W166/Q166)</f>
        <v/>
      </c>
      <c r="Y166" s="65" t="str">
        <f aca="false">IF(OR(X166="",P166="",E166=""),"",IF(_xlfn.MAXIFS($P$6:$P$205,$E$6:$E$205,E166,$P$6:$P$205,"&lt;"&amp;P166,$X$6:$X$205,"&gt;0")=0,"",IFERROR(AVERAGEIFS($X$6:$X$205,$E$6:$E$205,E166,$P$6:$P$205,_xlfn.MAXIFS($P$6:$P$205,$E$6:$E$205,E166,$P$6:$P$205,"&lt;"&amp;P166,$X$6:$X$205,"&gt;0"),$X$6:$X$205,"&gt;0"),"")))</f>
        <v/>
      </c>
      <c r="Z166" s="67" t="str">
        <f aca="false">IF(OR(Y166="",X166=""),"",X166/Y166-1)</f>
        <v/>
      </c>
      <c r="AA166" s="68" t="str">
        <f aca="false">IF(OR(W166="",V166=""),"",W166-Q166*V166)</f>
        <v/>
      </c>
      <c r="AB166" s="69" t="str">
        <f aca="false">IF(AA166="","",IF(N(V166)*N(Q166)=0,"",AA166/(Q166*V166)))</f>
        <v/>
      </c>
      <c r="AC166" s="70"/>
      <c r="AD166" s="66" t="str">
        <f aca="false">IF(W166="","",W166*(1+N(AC166)))</f>
        <v/>
      </c>
      <c r="AE166" s="62"/>
      <c r="AF166" s="71"/>
      <c r="AG166" s="71"/>
      <c r="AH166" s="71"/>
      <c r="AI166" s="66" t="str">
        <f aca="false">IF(A166="","",N(AF166)+N(AG166)+N(AH166))</f>
        <v/>
      </c>
      <c r="AJ166" s="72" t="str">
        <f aca="false">IF(AD166="","",IF(N(AD166)=0,"",AI166/AD166))</f>
        <v/>
      </c>
      <c r="AK166" s="66" t="str">
        <f aca="false">IF(AD166="","",IF(AD166-AI166&lt;1,0,ROUND(AD166-AI166,2)))</f>
        <v/>
      </c>
      <c r="AL166" s="66" t="str">
        <f aca="false">IF(OR(O166="",AD166=""),"",MAX(0,ROUND(N(AI166)-(AD166-N(AW166)),0)))</f>
        <v/>
      </c>
      <c r="AM166" s="73" t="str">
        <f aca="false">IF(A166="","",IF(O166="","No PO Yet",IF(AI166=0,"Not Paid",IF(N(AJ166)&gt;=0.999,"Fully Paid",IF(N(AG166)+N(AH166)&gt;0,"Partially Paid","Initial / Advance Paid")))))</f>
        <v/>
      </c>
      <c r="AN166" s="61"/>
      <c r="AO166" s="61"/>
      <c r="AP166" s="74" t="str">
        <f aca="false">IF(AK166="","",IF(OR(N(AK166)=0,AO166=""),"",MAX(0,Settings!$B$4-AO166)))</f>
        <v/>
      </c>
      <c r="AQ166" s="73" t="str">
        <f aca="false">IF(AK166="","",IF(N(AK166)&lt;=0,"",IF(AO166="","No Due Date",IF(Settings!$B$4&lt;=AO166,"Not Yet Due",IF(Settings!$B$4-AO166&lt;=30,"1-30 Days",IF(Settings!$B$4-AO166&lt;=60,"31-60 Days",IF(Settings!$B$4-AO166&lt;=90,"61-90 Days","90+ Days")))))))</f>
        <v/>
      </c>
      <c r="AR166" s="61"/>
      <c r="AS166" s="61"/>
      <c r="AT166" s="63"/>
      <c r="AU166" s="72" t="str">
        <f aca="false">IF(Q166="","",IF(N(Q166)=0,"",N(AT166)/Q166))</f>
        <v/>
      </c>
      <c r="AV166" s="75" t="str">
        <f aca="false">IF(OR(A166="",O166="",Q166=""),"",MAX(0,Q166-N(AT166)))</f>
        <v/>
      </c>
      <c r="AW166" s="66" t="str">
        <f aca="false">IF(OR(AV166="",W166=""),"",IF(N(Q166)=0,0,AV166/Q166*AD166))</f>
        <v/>
      </c>
      <c r="AX166" s="76" t="str">
        <f aca="false">IF(A166="","",IF(O166="","No PO Yet",IF(Q166="","Order Qty Missing",IF(N(AT166)&gt;=Q166,IF(N(AT166)&gt;Q166,"All In-house (+"&amp;TEXT(N(AT166)-Q166,"#,##0")&amp;" "&amp;R166&amp;" excess)","All In-house"),IF(AY166&lt;&gt;"","Short Closed - "&amp;TEXT(AV166,"#,##0")&amp;" "&amp;R166&amp;" not received",IF(N(AT166)=0,"Not Started - "&amp;TEXT(AV166,"#,##0")&amp;" "&amp;R166&amp;" pending","Pending "&amp;TEXT(AV166,"#,##0")&amp;" "&amp;R166&amp;" ("&amp;TEXT(AU166,"0%")&amp;" received)"))))))</f>
        <v/>
      </c>
      <c r="AY166" s="61"/>
      <c r="AZ166" s="77" t="str">
        <f aca="false">IF(OR(B166="",J166=""),"",J166-B166)</f>
        <v/>
      </c>
      <c r="BA166" s="77" t="str">
        <f aca="false">IF(OR(J166="",P166=""),"",P166-J166)</f>
        <v/>
      </c>
      <c r="BB166" s="77" t="str">
        <f aca="false">IF(OR(P166="",AY166=""),"",AY166-P166)</f>
        <v/>
      </c>
      <c r="BC166" s="77" t="str">
        <f aca="false">IF(OR(B166="",AY166=""),"",AY166-B166)</f>
        <v/>
      </c>
      <c r="BD166" s="74" t="str">
        <f aca="false">IF(OR(AR166="",O166=""),"",MAX(0,IF(AY166="",Settings!$B$4,AY166)-AR166))</f>
        <v/>
      </c>
      <c r="BE166" s="73" t="str">
        <f aca="false">IF(OR(AY166="",AR166=""),"",IF(AND(AY166&lt;=AR166,N(AU166)&gt;=Settings!$B$6),"OTIF","Not OTIF"))</f>
        <v/>
      </c>
      <c r="BF166" s="60"/>
      <c r="BG166" s="62"/>
      <c r="BH166" s="78"/>
      <c r="BI166" s="76" t="str">
        <f aca="false">IF(A166="","",IF(K166="Rejected","Rejected",IF(K166&lt;&gt;"Approved","Awaiting Approval",IF(O166="","Approved - PO Pending",IF(AY166&lt;&gt;"",IF(N(AJ166)&gt;=0.999,"Closed","In-house Closed - Payment Due"),IF(AS166&lt;&gt;"","Receiving In-house","PO Issued - Awaiting Delivery"))))))</f>
        <v/>
      </c>
      <c r="BJ166" s="76" t="str">
        <f aca="false">IF(A166="","",IF(IF(AND(A166&lt;&gt;"",OR(B166="",C166="",E166="",F166="",H166="")),"PR info missing; ","")&amp;IF(AND(K166="Approved",OR(J166="",I166="")),"Approval ref/date missing; ","")&amp;IF(AND(O166&lt;&gt;"",K166&lt;&gt;"Approved"),"PO without approval; ","")&amp;IF(AND(O166&lt;&gt;"",OR(P166="",M166="",Q166="",S166="",T166="")),"PO details missing; ","")&amp;IF(AND(O166&lt;&gt;"",AR166=""),"Committed date missing; ","")&amp;IF(AND(ISNUMBER(J166),ISNUMBER(B166),N(J166)&lt;N(B166)),"Approval dated before PR; ","")&amp;IF(AND(ISNUMBER(P166),ISNUMBER(J166),N(P166)&lt;N(J166)),"PO dated before approval; ","")&amp;IF(AND(ISNUMBER(AY166),ISNUMBER(AS166),N(AY166)&lt;N(AS166)),"Close before in-house start; ","")&amp;IF(AND(AY166&lt;&gt;"",AS166=""),"In-house start date missing; ","")&amp;IF(AND(AY166&lt;&gt;"",AT166=""),"Qty received missing; ","")&amp;IF(AND(AY166&lt;&gt;"",BF166=""),"QC status missing; ","")&amp;IF(N(AT166)&gt;N(Q166)*1.05,"Received &gt; ordered +5%; ","")&amp;IF(AND(N(AI166)&gt;0,AE166=""),"Payment terms missing; ","")&amp;IF(N(AI166)&gt;N(AD166)+1,"Overpaid vs PO; ","")&amp;IF(AND(N(AK166)&gt;0,AY166&lt;&gt;"",AO166=""),"Payment due date missing; ","")="","OK",IF(AND(A166&lt;&gt;"",OR(B166="",C166="",E166="",F166="",H166="")),"PR info missing; ","")&amp;IF(AND(K166="Approved",OR(J166="",I166="")),"Approval ref/date missing; ","")&amp;IF(AND(O166&lt;&gt;"",K166&lt;&gt;"Approved"),"PO without approval; ","")&amp;IF(AND(O166&lt;&gt;"",OR(P166="",M166="",Q166="",S166="",T166="")),"PO details missing; ","")&amp;IF(AND(O166&lt;&gt;"",AR166=""),"Committed date missing; ","")&amp;IF(AND(ISNUMBER(J166),ISNUMBER(B166),N(J166)&lt;N(B166)),"Approval dated before PR; ","")&amp;IF(AND(ISNUMBER(P166),ISNUMBER(J166),N(P166)&lt;N(J166)),"PO dated before approval; ","")&amp;IF(AND(ISNUMBER(AY166),ISNUMBER(AS166),N(AY166)&lt;N(AS166)),"Close before in-house start; ","")&amp;IF(AND(AY166&lt;&gt;"",AS166=""),"In-house start date missing; ","")&amp;IF(AND(AY166&lt;&gt;"",AT166=""),"Qty received missing; ","")&amp;IF(AND(AY166&lt;&gt;"",BF166=""),"QC status missing; ","")&amp;IF(N(AT166)&gt;N(Q166)*1.05,"Received &gt; ordered +5%; ","")&amp;IF(AND(N(AI166)&gt;0,AE166=""),"Payment terms missing; ","")&amp;IF(N(AI166)&gt;N(AD166)+1,"Overpaid vs PO; ","")&amp;IF(AND(N(AK166)&gt;0,AY166&lt;&gt;"",AO166=""),"Payment due date missing; ","")))</f>
        <v/>
      </c>
      <c r="BK166" s="76" t="str">
        <f aca="false">IF(A166="","",IF(N(AP166)&gt;0,"Pay supplier: "&amp;N(AP166)&amp;" days overdue; ","")&amp;IF(AND(O166&lt;&gt;"",AY166="",N(BD166)&gt;0),"Expedite delivery: "&amp;N(BD166)&amp;" days late; ","")&amp;IF(AND(BI166="Awaiting Approval",ISNUMBER(B166),Settings!$B$4-N(B166)&gt;Settings!$B$19),"Get approval: PR waiting "&amp;(Settings!$B$4-N(B166))&amp;" days; ","")&amp;IF(AND(BI166="Approved - PO Pending",ISNUMBER(J166),Settings!$B$4-N(J166)&gt;Settings!$B$20),"Issue PO: approved "&amp;(Settings!$B$4-N(J166))&amp;" days ago; ","")&amp;IF(AND(OR(BI166="Awaiting Approval",BI166="Approved - PO Pending"),N(AB166)&gt;Settings!$B$7),"Negotiate price: "&amp;TEXT(AB166,"0%")&amp;" above budget; ","")&amp;IF(LEFT(AX166,12)="Short Closed","Short closed: claim balance / credit note"&amp;IF(N(AL166)&gt;0," BDT "&amp;TEXT(AL166,"#,##0"),"")&amp;"; ","")&amp;IF(BF166="Rejected","QC rejected: return / replace; ","")&amp;IF(AND(O166&lt;&gt;"",AY166="",N(AL166)&gt;0,N(BD166)&gt;0),"Advance at risk: BDT "&amp;TEXT(AL166,"#,##0")&amp;" paid, goods late; ","")&amp;IF(AND(BJ166&lt;&gt;"",BJ166&lt;&gt;"OK"),"Fix data entry (see Data Check); ",""))</f>
        <v/>
      </c>
      <c r="BL166" s="73" t="str">
        <f aca="false">IF(BK166="","",IF(OR(N(AP166)&gt;30,AND(AY166="",N(BD166)&gt;15),BF166="Rejected",AND(LEFT(AX166,12)="Short Closed",N(AL166)&gt;0),AND(O166&lt;&gt;"",AY166="",N(AL166)&gt;0,N(BD166)&gt;0)),"High",IF(OR(N(AP166)&gt;0,AND(AY166="",N(BD166)&gt;7),LEFT(AX166,12)="Short Closed",AND(BI166="Awaiting Approval",ISNUMBER(B166),Settings!$B$4-N(B166)&gt;2*Settings!$B$19),AND(BI166="Approved - PO Pending",ISNUMBER(J166),Settings!$B$4-N(J166)&gt;2*Settings!$B$20)),"Medium","Low")))</f>
        <v/>
      </c>
      <c r="BM166" s="77" t="str">
        <f aca="false">IF(BL166="","",IF(BL166="High",1,IF(BL166="Medium",2,3))*10000+ROW())</f>
        <v/>
      </c>
      <c r="BN166" s="62"/>
    </row>
    <row r="167" customFormat="false" ht="18" hidden="false" customHeight="true" outlineLevel="0" collapsed="false">
      <c r="A167" s="60"/>
      <c r="B167" s="61"/>
      <c r="C167" s="62"/>
      <c r="D167" s="62"/>
      <c r="E167" s="62"/>
      <c r="F167" s="62"/>
      <c r="G167" s="62"/>
      <c r="H167" s="60"/>
      <c r="I167" s="60"/>
      <c r="J167" s="61"/>
      <c r="K167" s="60"/>
      <c r="L167" s="60"/>
      <c r="M167" s="62"/>
      <c r="N167" s="60"/>
      <c r="O167" s="60"/>
      <c r="P167" s="61"/>
      <c r="Q167" s="63"/>
      <c r="R167" s="60"/>
      <c r="S167" s="64"/>
      <c r="T167" s="60"/>
      <c r="U167" s="65" t="str">
        <f aca="false">IF(AND(T167="",S167=""),"",IF(T167="",1,IFERROR(INDEX(Settings!$B$12:$B$16,MATCH(T167,Settings!$A$12:$A$16,0)),1)))</f>
        <v/>
      </c>
      <c r="V167" s="64"/>
      <c r="W167" s="66" t="str">
        <f aca="false">IF(OR(Q167="",S167=""),"",Q167*S167*U167)</f>
        <v/>
      </c>
      <c r="X167" s="65" t="str">
        <f aca="false">IF(OR(W167="",N(Q167)=0),"",W167/Q167)</f>
        <v/>
      </c>
      <c r="Y167" s="65" t="str">
        <f aca="false">IF(OR(X167="",P167="",E167=""),"",IF(_xlfn.MAXIFS($P$6:$P$205,$E$6:$E$205,E167,$P$6:$P$205,"&lt;"&amp;P167,$X$6:$X$205,"&gt;0")=0,"",IFERROR(AVERAGEIFS($X$6:$X$205,$E$6:$E$205,E167,$P$6:$P$205,_xlfn.MAXIFS($P$6:$P$205,$E$6:$E$205,E167,$P$6:$P$205,"&lt;"&amp;P167,$X$6:$X$205,"&gt;0"),$X$6:$X$205,"&gt;0"),"")))</f>
        <v/>
      </c>
      <c r="Z167" s="67" t="str">
        <f aca="false">IF(OR(Y167="",X167=""),"",X167/Y167-1)</f>
        <v/>
      </c>
      <c r="AA167" s="68" t="str">
        <f aca="false">IF(OR(W167="",V167=""),"",W167-Q167*V167)</f>
        <v/>
      </c>
      <c r="AB167" s="69" t="str">
        <f aca="false">IF(AA167="","",IF(N(V167)*N(Q167)=0,"",AA167/(Q167*V167)))</f>
        <v/>
      </c>
      <c r="AC167" s="70"/>
      <c r="AD167" s="66" t="str">
        <f aca="false">IF(W167="","",W167*(1+N(AC167)))</f>
        <v/>
      </c>
      <c r="AE167" s="62"/>
      <c r="AF167" s="71"/>
      <c r="AG167" s="71"/>
      <c r="AH167" s="71"/>
      <c r="AI167" s="66" t="str">
        <f aca="false">IF(A167="","",N(AF167)+N(AG167)+N(AH167))</f>
        <v/>
      </c>
      <c r="AJ167" s="72" t="str">
        <f aca="false">IF(AD167="","",IF(N(AD167)=0,"",AI167/AD167))</f>
        <v/>
      </c>
      <c r="AK167" s="66" t="str">
        <f aca="false">IF(AD167="","",IF(AD167-AI167&lt;1,0,ROUND(AD167-AI167,2)))</f>
        <v/>
      </c>
      <c r="AL167" s="66" t="str">
        <f aca="false">IF(OR(O167="",AD167=""),"",MAX(0,ROUND(N(AI167)-(AD167-N(AW167)),0)))</f>
        <v/>
      </c>
      <c r="AM167" s="73" t="str">
        <f aca="false">IF(A167="","",IF(O167="","No PO Yet",IF(AI167=0,"Not Paid",IF(N(AJ167)&gt;=0.999,"Fully Paid",IF(N(AG167)+N(AH167)&gt;0,"Partially Paid","Initial / Advance Paid")))))</f>
        <v/>
      </c>
      <c r="AN167" s="61"/>
      <c r="AO167" s="61"/>
      <c r="AP167" s="74" t="str">
        <f aca="false">IF(AK167="","",IF(OR(N(AK167)=0,AO167=""),"",MAX(0,Settings!$B$4-AO167)))</f>
        <v/>
      </c>
      <c r="AQ167" s="73" t="str">
        <f aca="false">IF(AK167="","",IF(N(AK167)&lt;=0,"",IF(AO167="","No Due Date",IF(Settings!$B$4&lt;=AO167,"Not Yet Due",IF(Settings!$B$4-AO167&lt;=30,"1-30 Days",IF(Settings!$B$4-AO167&lt;=60,"31-60 Days",IF(Settings!$B$4-AO167&lt;=90,"61-90 Days","90+ Days")))))))</f>
        <v/>
      </c>
      <c r="AR167" s="61"/>
      <c r="AS167" s="61"/>
      <c r="AT167" s="63"/>
      <c r="AU167" s="72" t="str">
        <f aca="false">IF(Q167="","",IF(N(Q167)=0,"",N(AT167)/Q167))</f>
        <v/>
      </c>
      <c r="AV167" s="75" t="str">
        <f aca="false">IF(OR(A167="",O167="",Q167=""),"",MAX(0,Q167-N(AT167)))</f>
        <v/>
      </c>
      <c r="AW167" s="66" t="str">
        <f aca="false">IF(OR(AV167="",W167=""),"",IF(N(Q167)=0,0,AV167/Q167*AD167))</f>
        <v/>
      </c>
      <c r="AX167" s="76" t="str">
        <f aca="false">IF(A167="","",IF(O167="","No PO Yet",IF(Q167="","Order Qty Missing",IF(N(AT167)&gt;=Q167,IF(N(AT167)&gt;Q167,"All In-house (+"&amp;TEXT(N(AT167)-Q167,"#,##0")&amp;" "&amp;R167&amp;" excess)","All In-house"),IF(AY167&lt;&gt;"","Short Closed - "&amp;TEXT(AV167,"#,##0")&amp;" "&amp;R167&amp;" not received",IF(N(AT167)=0,"Not Started - "&amp;TEXT(AV167,"#,##0")&amp;" "&amp;R167&amp;" pending","Pending "&amp;TEXT(AV167,"#,##0")&amp;" "&amp;R167&amp;" ("&amp;TEXT(AU167,"0%")&amp;" received)"))))))</f>
        <v/>
      </c>
      <c r="AY167" s="61"/>
      <c r="AZ167" s="77" t="str">
        <f aca="false">IF(OR(B167="",J167=""),"",J167-B167)</f>
        <v/>
      </c>
      <c r="BA167" s="77" t="str">
        <f aca="false">IF(OR(J167="",P167=""),"",P167-J167)</f>
        <v/>
      </c>
      <c r="BB167" s="77" t="str">
        <f aca="false">IF(OR(P167="",AY167=""),"",AY167-P167)</f>
        <v/>
      </c>
      <c r="BC167" s="77" t="str">
        <f aca="false">IF(OR(B167="",AY167=""),"",AY167-B167)</f>
        <v/>
      </c>
      <c r="BD167" s="74" t="str">
        <f aca="false">IF(OR(AR167="",O167=""),"",MAX(0,IF(AY167="",Settings!$B$4,AY167)-AR167))</f>
        <v/>
      </c>
      <c r="BE167" s="73" t="str">
        <f aca="false">IF(OR(AY167="",AR167=""),"",IF(AND(AY167&lt;=AR167,N(AU167)&gt;=Settings!$B$6),"OTIF","Not OTIF"))</f>
        <v/>
      </c>
      <c r="BF167" s="60"/>
      <c r="BG167" s="62"/>
      <c r="BH167" s="78"/>
      <c r="BI167" s="76" t="str">
        <f aca="false">IF(A167="","",IF(K167="Rejected","Rejected",IF(K167&lt;&gt;"Approved","Awaiting Approval",IF(O167="","Approved - PO Pending",IF(AY167&lt;&gt;"",IF(N(AJ167)&gt;=0.999,"Closed","In-house Closed - Payment Due"),IF(AS167&lt;&gt;"","Receiving In-house","PO Issued - Awaiting Delivery"))))))</f>
        <v/>
      </c>
      <c r="BJ167" s="76" t="str">
        <f aca="false">IF(A167="","",IF(IF(AND(A167&lt;&gt;"",OR(B167="",C167="",E167="",F167="",H167="")),"PR info missing; ","")&amp;IF(AND(K167="Approved",OR(J167="",I167="")),"Approval ref/date missing; ","")&amp;IF(AND(O167&lt;&gt;"",K167&lt;&gt;"Approved"),"PO without approval; ","")&amp;IF(AND(O167&lt;&gt;"",OR(P167="",M167="",Q167="",S167="",T167="")),"PO details missing; ","")&amp;IF(AND(O167&lt;&gt;"",AR167=""),"Committed date missing; ","")&amp;IF(AND(ISNUMBER(J167),ISNUMBER(B167),N(J167)&lt;N(B167)),"Approval dated before PR; ","")&amp;IF(AND(ISNUMBER(P167),ISNUMBER(J167),N(P167)&lt;N(J167)),"PO dated before approval; ","")&amp;IF(AND(ISNUMBER(AY167),ISNUMBER(AS167),N(AY167)&lt;N(AS167)),"Close before in-house start; ","")&amp;IF(AND(AY167&lt;&gt;"",AS167=""),"In-house start date missing; ","")&amp;IF(AND(AY167&lt;&gt;"",AT167=""),"Qty received missing; ","")&amp;IF(AND(AY167&lt;&gt;"",BF167=""),"QC status missing; ","")&amp;IF(N(AT167)&gt;N(Q167)*1.05,"Received &gt; ordered +5%; ","")&amp;IF(AND(N(AI167)&gt;0,AE167=""),"Payment terms missing; ","")&amp;IF(N(AI167)&gt;N(AD167)+1,"Overpaid vs PO; ","")&amp;IF(AND(N(AK167)&gt;0,AY167&lt;&gt;"",AO167=""),"Payment due date missing; ","")="","OK",IF(AND(A167&lt;&gt;"",OR(B167="",C167="",E167="",F167="",H167="")),"PR info missing; ","")&amp;IF(AND(K167="Approved",OR(J167="",I167="")),"Approval ref/date missing; ","")&amp;IF(AND(O167&lt;&gt;"",K167&lt;&gt;"Approved"),"PO without approval; ","")&amp;IF(AND(O167&lt;&gt;"",OR(P167="",M167="",Q167="",S167="",T167="")),"PO details missing; ","")&amp;IF(AND(O167&lt;&gt;"",AR167=""),"Committed date missing; ","")&amp;IF(AND(ISNUMBER(J167),ISNUMBER(B167),N(J167)&lt;N(B167)),"Approval dated before PR; ","")&amp;IF(AND(ISNUMBER(P167),ISNUMBER(J167),N(P167)&lt;N(J167)),"PO dated before approval; ","")&amp;IF(AND(ISNUMBER(AY167),ISNUMBER(AS167),N(AY167)&lt;N(AS167)),"Close before in-house start; ","")&amp;IF(AND(AY167&lt;&gt;"",AS167=""),"In-house start date missing; ","")&amp;IF(AND(AY167&lt;&gt;"",AT167=""),"Qty received missing; ","")&amp;IF(AND(AY167&lt;&gt;"",BF167=""),"QC status missing; ","")&amp;IF(N(AT167)&gt;N(Q167)*1.05,"Received &gt; ordered +5%; ","")&amp;IF(AND(N(AI167)&gt;0,AE167=""),"Payment terms missing; ","")&amp;IF(N(AI167)&gt;N(AD167)+1,"Overpaid vs PO; ","")&amp;IF(AND(N(AK167)&gt;0,AY167&lt;&gt;"",AO167=""),"Payment due date missing; ","")))</f>
        <v/>
      </c>
      <c r="BK167" s="76" t="str">
        <f aca="false">IF(A167="","",IF(N(AP167)&gt;0,"Pay supplier: "&amp;N(AP167)&amp;" days overdue; ","")&amp;IF(AND(O167&lt;&gt;"",AY167="",N(BD167)&gt;0),"Expedite delivery: "&amp;N(BD167)&amp;" days late; ","")&amp;IF(AND(BI167="Awaiting Approval",ISNUMBER(B167),Settings!$B$4-N(B167)&gt;Settings!$B$19),"Get approval: PR waiting "&amp;(Settings!$B$4-N(B167))&amp;" days; ","")&amp;IF(AND(BI167="Approved - PO Pending",ISNUMBER(J167),Settings!$B$4-N(J167)&gt;Settings!$B$20),"Issue PO: approved "&amp;(Settings!$B$4-N(J167))&amp;" days ago; ","")&amp;IF(AND(OR(BI167="Awaiting Approval",BI167="Approved - PO Pending"),N(AB167)&gt;Settings!$B$7),"Negotiate price: "&amp;TEXT(AB167,"0%")&amp;" above budget; ","")&amp;IF(LEFT(AX167,12)="Short Closed","Short closed: claim balance / credit note"&amp;IF(N(AL167)&gt;0," BDT "&amp;TEXT(AL167,"#,##0"),"")&amp;"; ","")&amp;IF(BF167="Rejected","QC rejected: return / replace; ","")&amp;IF(AND(O167&lt;&gt;"",AY167="",N(AL167)&gt;0,N(BD167)&gt;0),"Advance at risk: BDT "&amp;TEXT(AL167,"#,##0")&amp;" paid, goods late; ","")&amp;IF(AND(BJ167&lt;&gt;"",BJ167&lt;&gt;"OK"),"Fix data entry (see Data Check); ",""))</f>
        <v/>
      </c>
      <c r="BL167" s="73" t="str">
        <f aca="false">IF(BK167="","",IF(OR(N(AP167)&gt;30,AND(AY167="",N(BD167)&gt;15),BF167="Rejected",AND(LEFT(AX167,12)="Short Closed",N(AL167)&gt;0),AND(O167&lt;&gt;"",AY167="",N(AL167)&gt;0,N(BD167)&gt;0)),"High",IF(OR(N(AP167)&gt;0,AND(AY167="",N(BD167)&gt;7),LEFT(AX167,12)="Short Closed",AND(BI167="Awaiting Approval",ISNUMBER(B167),Settings!$B$4-N(B167)&gt;2*Settings!$B$19),AND(BI167="Approved - PO Pending",ISNUMBER(J167),Settings!$B$4-N(J167)&gt;2*Settings!$B$20)),"Medium","Low")))</f>
        <v/>
      </c>
      <c r="BM167" s="77" t="str">
        <f aca="false">IF(BL167="","",IF(BL167="High",1,IF(BL167="Medium",2,3))*10000+ROW())</f>
        <v/>
      </c>
      <c r="BN167" s="62"/>
    </row>
    <row r="168" customFormat="false" ht="18" hidden="false" customHeight="true" outlineLevel="0" collapsed="false">
      <c r="A168" s="60"/>
      <c r="B168" s="61"/>
      <c r="C168" s="62"/>
      <c r="D168" s="62"/>
      <c r="E168" s="62"/>
      <c r="F168" s="62"/>
      <c r="G168" s="62"/>
      <c r="H168" s="60"/>
      <c r="I168" s="60"/>
      <c r="J168" s="61"/>
      <c r="K168" s="60"/>
      <c r="L168" s="60"/>
      <c r="M168" s="62"/>
      <c r="N168" s="60"/>
      <c r="O168" s="60"/>
      <c r="P168" s="61"/>
      <c r="Q168" s="63"/>
      <c r="R168" s="60"/>
      <c r="S168" s="64"/>
      <c r="T168" s="60"/>
      <c r="U168" s="65" t="str">
        <f aca="false">IF(AND(T168="",S168=""),"",IF(T168="",1,IFERROR(INDEX(Settings!$B$12:$B$16,MATCH(T168,Settings!$A$12:$A$16,0)),1)))</f>
        <v/>
      </c>
      <c r="V168" s="64"/>
      <c r="W168" s="66" t="str">
        <f aca="false">IF(OR(Q168="",S168=""),"",Q168*S168*U168)</f>
        <v/>
      </c>
      <c r="X168" s="65" t="str">
        <f aca="false">IF(OR(W168="",N(Q168)=0),"",W168/Q168)</f>
        <v/>
      </c>
      <c r="Y168" s="65" t="str">
        <f aca="false">IF(OR(X168="",P168="",E168=""),"",IF(_xlfn.MAXIFS($P$6:$P$205,$E$6:$E$205,E168,$P$6:$P$205,"&lt;"&amp;P168,$X$6:$X$205,"&gt;0")=0,"",IFERROR(AVERAGEIFS($X$6:$X$205,$E$6:$E$205,E168,$P$6:$P$205,_xlfn.MAXIFS($P$6:$P$205,$E$6:$E$205,E168,$P$6:$P$205,"&lt;"&amp;P168,$X$6:$X$205,"&gt;0"),$X$6:$X$205,"&gt;0"),"")))</f>
        <v/>
      </c>
      <c r="Z168" s="67" t="str">
        <f aca="false">IF(OR(Y168="",X168=""),"",X168/Y168-1)</f>
        <v/>
      </c>
      <c r="AA168" s="68" t="str">
        <f aca="false">IF(OR(W168="",V168=""),"",W168-Q168*V168)</f>
        <v/>
      </c>
      <c r="AB168" s="69" t="str">
        <f aca="false">IF(AA168="","",IF(N(V168)*N(Q168)=0,"",AA168/(Q168*V168)))</f>
        <v/>
      </c>
      <c r="AC168" s="70"/>
      <c r="AD168" s="66" t="str">
        <f aca="false">IF(W168="","",W168*(1+N(AC168)))</f>
        <v/>
      </c>
      <c r="AE168" s="62"/>
      <c r="AF168" s="71"/>
      <c r="AG168" s="71"/>
      <c r="AH168" s="71"/>
      <c r="AI168" s="66" t="str">
        <f aca="false">IF(A168="","",N(AF168)+N(AG168)+N(AH168))</f>
        <v/>
      </c>
      <c r="AJ168" s="72" t="str">
        <f aca="false">IF(AD168="","",IF(N(AD168)=0,"",AI168/AD168))</f>
        <v/>
      </c>
      <c r="AK168" s="66" t="str">
        <f aca="false">IF(AD168="","",IF(AD168-AI168&lt;1,0,ROUND(AD168-AI168,2)))</f>
        <v/>
      </c>
      <c r="AL168" s="66" t="str">
        <f aca="false">IF(OR(O168="",AD168=""),"",MAX(0,ROUND(N(AI168)-(AD168-N(AW168)),0)))</f>
        <v/>
      </c>
      <c r="AM168" s="73" t="str">
        <f aca="false">IF(A168="","",IF(O168="","No PO Yet",IF(AI168=0,"Not Paid",IF(N(AJ168)&gt;=0.999,"Fully Paid",IF(N(AG168)+N(AH168)&gt;0,"Partially Paid","Initial / Advance Paid")))))</f>
        <v/>
      </c>
      <c r="AN168" s="61"/>
      <c r="AO168" s="61"/>
      <c r="AP168" s="74" t="str">
        <f aca="false">IF(AK168="","",IF(OR(N(AK168)=0,AO168=""),"",MAX(0,Settings!$B$4-AO168)))</f>
        <v/>
      </c>
      <c r="AQ168" s="73" t="str">
        <f aca="false">IF(AK168="","",IF(N(AK168)&lt;=0,"",IF(AO168="","No Due Date",IF(Settings!$B$4&lt;=AO168,"Not Yet Due",IF(Settings!$B$4-AO168&lt;=30,"1-30 Days",IF(Settings!$B$4-AO168&lt;=60,"31-60 Days",IF(Settings!$B$4-AO168&lt;=90,"61-90 Days","90+ Days")))))))</f>
        <v/>
      </c>
      <c r="AR168" s="61"/>
      <c r="AS168" s="61"/>
      <c r="AT168" s="63"/>
      <c r="AU168" s="72" t="str">
        <f aca="false">IF(Q168="","",IF(N(Q168)=0,"",N(AT168)/Q168))</f>
        <v/>
      </c>
      <c r="AV168" s="75" t="str">
        <f aca="false">IF(OR(A168="",O168="",Q168=""),"",MAX(0,Q168-N(AT168)))</f>
        <v/>
      </c>
      <c r="AW168" s="66" t="str">
        <f aca="false">IF(OR(AV168="",W168=""),"",IF(N(Q168)=0,0,AV168/Q168*AD168))</f>
        <v/>
      </c>
      <c r="AX168" s="76" t="str">
        <f aca="false">IF(A168="","",IF(O168="","No PO Yet",IF(Q168="","Order Qty Missing",IF(N(AT168)&gt;=Q168,IF(N(AT168)&gt;Q168,"All In-house (+"&amp;TEXT(N(AT168)-Q168,"#,##0")&amp;" "&amp;R168&amp;" excess)","All In-house"),IF(AY168&lt;&gt;"","Short Closed - "&amp;TEXT(AV168,"#,##0")&amp;" "&amp;R168&amp;" not received",IF(N(AT168)=0,"Not Started - "&amp;TEXT(AV168,"#,##0")&amp;" "&amp;R168&amp;" pending","Pending "&amp;TEXT(AV168,"#,##0")&amp;" "&amp;R168&amp;" ("&amp;TEXT(AU168,"0%")&amp;" received)"))))))</f>
        <v/>
      </c>
      <c r="AY168" s="61"/>
      <c r="AZ168" s="77" t="str">
        <f aca="false">IF(OR(B168="",J168=""),"",J168-B168)</f>
        <v/>
      </c>
      <c r="BA168" s="77" t="str">
        <f aca="false">IF(OR(J168="",P168=""),"",P168-J168)</f>
        <v/>
      </c>
      <c r="BB168" s="77" t="str">
        <f aca="false">IF(OR(P168="",AY168=""),"",AY168-P168)</f>
        <v/>
      </c>
      <c r="BC168" s="77" t="str">
        <f aca="false">IF(OR(B168="",AY168=""),"",AY168-B168)</f>
        <v/>
      </c>
      <c r="BD168" s="74" t="str">
        <f aca="false">IF(OR(AR168="",O168=""),"",MAX(0,IF(AY168="",Settings!$B$4,AY168)-AR168))</f>
        <v/>
      </c>
      <c r="BE168" s="73" t="str">
        <f aca="false">IF(OR(AY168="",AR168=""),"",IF(AND(AY168&lt;=AR168,N(AU168)&gt;=Settings!$B$6),"OTIF","Not OTIF"))</f>
        <v/>
      </c>
      <c r="BF168" s="60"/>
      <c r="BG168" s="62"/>
      <c r="BH168" s="78"/>
      <c r="BI168" s="76" t="str">
        <f aca="false">IF(A168="","",IF(K168="Rejected","Rejected",IF(K168&lt;&gt;"Approved","Awaiting Approval",IF(O168="","Approved - PO Pending",IF(AY168&lt;&gt;"",IF(N(AJ168)&gt;=0.999,"Closed","In-house Closed - Payment Due"),IF(AS168&lt;&gt;"","Receiving In-house","PO Issued - Awaiting Delivery"))))))</f>
        <v/>
      </c>
      <c r="BJ168" s="76" t="str">
        <f aca="false">IF(A168="","",IF(IF(AND(A168&lt;&gt;"",OR(B168="",C168="",E168="",F168="",H168="")),"PR info missing; ","")&amp;IF(AND(K168="Approved",OR(J168="",I168="")),"Approval ref/date missing; ","")&amp;IF(AND(O168&lt;&gt;"",K168&lt;&gt;"Approved"),"PO without approval; ","")&amp;IF(AND(O168&lt;&gt;"",OR(P168="",M168="",Q168="",S168="",T168="")),"PO details missing; ","")&amp;IF(AND(O168&lt;&gt;"",AR168=""),"Committed date missing; ","")&amp;IF(AND(ISNUMBER(J168),ISNUMBER(B168),N(J168)&lt;N(B168)),"Approval dated before PR; ","")&amp;IF(AND(ISNUMBER(P168),ISNUMBER(J168),N(P168)&lt;N(J168)),"PO dated before approval; ","")&amp;IF(AND(ISNUMBER(AY168),ISNUMBER(AS168),N(AY168)&lt;N(AS168)),"Close before in-house start; ","")&amp;IF(AND(AY168&lt;&gt;"",AS168=""),"In-house start date missing; ","")&amp;IF(AND(AY168&lt;&gt;"",AT168=""),"Qty received missing; ","")&amp;IF(AND(AY168&lt;&gt;"",BF168=""),"QC status missing; ","")&amp;IF(N(AT168)&gt;N(Q168)*1.05,"Received &gt; ordered +5%; ","")&amp;IF(AND(N(AI168)&gt;0,AE168=""),"Payment terms missing; ","")&amp;IF(N(AI168)&gt;N(AD168)+1,"Overpaid vs PO; ","")&amp;IF(AND(N(AK168)&gt;0,AY168&lt;&gt;"",AO168=""),"Payment due date missing; ","")="","OK",IF(AND(A168&lt;&gt;"",OR(B168="",C168="",E168="",F168="",H168="")),"PR info missing; ","")&amp;IF(AND(K168="Approved",OR(J168="",I168="")),"Approval ref/date missing; ","")&amp;IF(AND(O168&lt;&gt;"",K168&lt;&gt;"Approved"),"PO without approval; ","")&amp;IF(AND(O168&lt;&gt;"",OR(P168="",M168="",Q168="",S168="",T168="")),"PO details missing; ","")&amp;IF(AND(O168&lt;&gt;"",AR168=""),"Committed date missing; ","")&amp;IF(AND(ISNUMBER(J168),ISNUMBER(B168),N(J168)&lt;N(B168)),"Approval dated before PR; ","")&amp;IF(AND(ISNUMBER(P168),ISNUMBER(J168),N(P168)&lt;N(J168)),"PO dated before approval; ","")&amp;IF(AND(ISNUMBER(AY168),ISNUMBER(AS168),N(AY168)&lt;N(AS168)),"Close before in-house start; ","")&amp;IF(AND(AY168&lt;&gt;"",AS168=""),"In-house start date missing; ","")&amp;IF(AND(AY168&lt;&gt;"",AT168=""),"Qty received missing; ","")&amp;IF(AND(AY168&lt;&gt;"",BF168=""),"QC status missing; ","")&amp;IF(N(AT168)&gt;N(Q168)*1.05,"Received &gt; ordered +5%; ","")&amp;IF(AND(N(AI168)&gt;0,AE168=""),"Payment terms missing; ","")&amp;IF(N(AI168)&gt;N(AD168)+1,"Overpaid vs PO; ","")&amp;IF(AND(N(AK168)&gt;0,AY168&lt;&gt;"",AO168=""),"Payment due date missing; ","")))</f>
        <v/>
      </c>
      <c r="BK168" s="76" t="str">
        <f aca="false">IF(A168="","",IF(N(AP168)&gt;0,"Pay supplier: "&amp;N(AP168)&amp;" days overdue; ","")&amp;IF(AND(O168&lt;&gt;"",AY168="",N(BD168)&gt;0),"Expedite delivery: "&amp;N(BD168)&amp;" days late; ","")&amp;IF(AND(BI168="Awaiting Approval",ISNUMBER(B168),Settings!$B$4-N(B168)&gt;Settings!$B$19),"Get approval: PR waiting "&amp;(Settings!$B$4-N(B168))&amp;" days; ","")&amp;IF(AND(BI168="Approved - PO Pending",ISNUMBER(J168),Settings!$B$4-N(J168)&gt;Settings!$B$20),"Issue PO: approved "&amp;(Settings!$B$4-N(J168))&amp;" days ago; ","")&amp;IF(AND(OR(BI168="Awaiting Approval",BI168="Approved - PO Pending"),N(AB168)&gt;Settings!$B$7),"Negotiate price: "&amp;TEXT(AB168,"0%")&amp;" above budget; ","")&amp;IF(LEFT(AX168,12)="Short Closed","Short closed: claim balance / credit note"&amp;IF(N(AL168)&gt;0," BDT "&amp;TEXT(AL168,"#,##0"),"")&amp;"; ","")&amp;IF(BF168="Rejected","QC rejected: return / replace; ","")&amp;IF(AND(O168&lt;&gt;"",AY168="",N(AL168)&gt;0,N(BD168)&gt;0),"Advance at risk: BDT "&amp;TEXT(AL168,"#,##0")&amp;" paid, goods late; ","")&amp;IF(AND(BJ168&lt;&gt;"",BJ168&lt;&gt;"OK"),"Fix data entry (see Data Check); ",""))</f>
        <v/>
      </c>
      <c r="BL168" s="73" t="str">
        <f aca="false">IF(BK168="","",IF(OR(N(AP168)&gt;30,AND(AY168="",N(BD168)&gt;15),BF168="Rejected",AND(LEFT(AX168,12)="Short Closed",N(AL168)&gt;0),AND(O168&lt;&gt;"",AY168="",N(AL168)&gt;0,N(BD168)&gt;0)),"High",IF(OR(N(AP168)&gt;0,AND(AY168="",N(BD168)&gt;7),LEFT(AX168,12)="Short Closed",AND(BI168="Awaiting Approval",ISNUMBER(B168),Settings!$B$4-N(B168)&gt;2*Settings!$B$19),AND(BI168="Approved - PO Pending",ISNUMBER(J168),Settings!$B$4-N(J168)&gt;2*Settings!$B$20)),"Medium","Low")))</f>
        <v/>
      </c>
      <c r="BM168" s="77" t="str">
        <f aca="false">IF(BL168="","",IF(BL168="High",1,IF(BL168="Medium",2,3))*10000+ROW())</f>
        <v/>
      </c>
      <c r="BN168" s="62"/>
    </row>
    <row r="169" customFormat="false" ht="18" hidden="false" customHeight="true" outlineLevel="0" collapsed="false">
      <c r="A169" s="60"/>
      <c r="B169" s="61"/>
      <c r="C169" s="62"/>
      <c r="D169" s="62"/>
      <c r="E169" s="62"/>
      <c r="F169" s="62"/>
      <c r="G169" s="62"/>
      <c r="H169" s="60"/>
      <c r="I169" s="60"/>
      <c r="J169" s="61"/>
      <c r="K169" s="60"/>
      <c r="L169" s="60"/>
      <c r="M169" s="62"/>
      <c r="N169" s="60"/>
      <c r="O169" s="60"/>
      <c r="P169" s="61"/>
      <c r="Q169" s="63"/>
      <c r="R169" s="60"/>
      <c r="S169" s="64"/>
      <c r="T169" s="60"/>
      <c r="U169" s="65" t="str">
        <f aca="false">IF(AND(T169="",S169=""),"",IF(T169="",1,IFERROR(INDEX(Settings!$B$12:$B$16,MATCH(T169,Settings!$A$12:$A$16,0)),1)))</f>
        <v/>
      </c>
      <c r="V169" s="64"/>
      <c r="W169" s="66" t="str">
        <f aca="false">IF(OR(Q169="",S169=""),"",Q169*S169*U169)</f>
        <v/>
      </c>
      <c r="X169" s="65" t="str">
        <f aca="false">IF(OR(W169="",N(Q169)=0),"",W169/Q169)</f>
        <v/>
      </c>
      <c r="Y169" s="65" t="str">
        <f aca="false">IF(OR(X169="",P169="",E169=""),"",IF(_xlfn.MAXIFS($P$6:$P$205,$E$6:$E$205,E169,$P$6:$P$205,"&lt;"&amp;P169,$X$6:$X$205,"&gt;0")=0,"",IFERROR(AVERAGEIFS($X$6:$X$205,$E$6:$E$205,E169,$P$6:$P$205,_xlfn.MAXIFS($P$6:$P$205,$E$6:$E$205,E169,$P$6:$P$205,"&lt;"&amp;P169,$X$6:$X$205,"&gt;0"),$X$6:$X$205,"&gt;0"),"")))</f>
        <v/>
      </c>
      <c r="Z169" s="67" t="str">
        <f aca="false">IF(OR(Y169="",X169=""),"",X169/Y169-1)</f>
        <v/>
      </c>
      <c r="AA169" s="68" t="str">
        <f aca="false">IF(OR(W169="",V169=""),"",W169-Q169*V169)</f>
        <v/>
      </c>
      <c r="AB169" s="69" t="str">
        <f aca="false">IF(AA169="","",IF(N(V169)*N(Q169)=0,"",AA169/(Q169*V169)))</f>
        <v/>
      </c>
      <c r="AC169" s="70"/>
      <c r="AD169" s="66" t="str">
        <f aca="false">IF(W169="","",W169*(1+N(AC169)))</f>
        <v/>
      </c>
      <c r="AE169" s="62"/>
      <c r="AF169" s="71"/>
      <c r="AG169" s="71"/>
      <c r="AH169" s="71"/>
      <c r="AI169" s="66" t="str">
        <f aca="false">IF(A169="","",N(AF169)+N(AG169)+N(AH169))</f>
        <v/>
      </c>
      <c r="AJ169" s="72" t="str">
        <f aca="false">IF(AD169="","",IF(N(AD169)=0,"",AI169/AD169))</f>
        <v/>
      </c>
      <c r="AK169" s="66" t="str">
        <f aca="false">IF(AD169="","",IF(AD169-AI169&lt;1,0,ROUND(AD169-AI169,2)))</f>
        <v/>
      </c>
      <c r="AL169" s="66" t="str">
        <f aca="false">IF(OR(O169="",AD169=""),"",MAX(0,ROUND(N(AI169)-(AD169-N(AW169)),0)))</f>
        <v/>
      </c>
      <c r="AM169" s="73" t="str">
        <f aca="false">IF(A169="","",IF(O169="","No PO Yet",IF(AI169=0,"Not Paid",IF(N(AJ169)&gt;=0.999,"Fully Paid",IF(N(AG169)+N(AH169)&gt;0,"Partially Paid","Initial / Advance Paid")))))</f>
        <v/>
      </c>
      <c r="AN169" s="61"/>
      <c r="AO169" s="61"/>
      <c r="AP169" s="74" t="str">
        <f aca="false">IF(AK169="","",IF(OR(N(AK169)=0,AO169=""),"",MAX(0,Settings!$B$4-AO169)))</f>
        <v/>
      </c>
      <c r="AQ169" s="73" t="str">
        <f aca="false">IF(AK169="","",IF(N(AK169)&lt;=0,"",IF(AO169="","No Due Date",IF(Settings!$B$4&lt;=AO169,"Not Yet Due",IF(Settings!$B$4-AO169&lt;=30,"1-30 Days",IF(Settings!$B$4-AO169&lt;=60,"31-60 Days",IF(Settings!$B$4-AO169&lt;=90,"61-90 Days","90+ Days")))))))</f>
        <v/>
      </c>
      <c r="AR169" s="61"/>
      <c r="AS169" s="61"/>
      <c r="AT169" s="63"/>
      <c r="AU169" s="72" t="str">
        <f aca="false">IF(Q169="","",IF(N(Q169)=0,"",N(AT169)/Q169))</f>
        <v/>
      </c>
      <c r="AV169" s="75" t="str">
        <f aca="false">IF(OR(A169="",O169="",Q169=""),"",MAX(0,Q169-N(AT169)))</f>
        <v/>
      </c>
      <c r="AW169" s="66" t="str">
        <f aca="false">IF(OR(AV169="",W169=""),"",IF(N(Q169)=0,0,AV169/Q169*AD169))</f>
        <v/>
      </c>
      <c r="AX169" s="76" t="str">
        <f aca="false">IF(A169="","",IF(O169="","No PO Yet",IF(Q169="","Order Qty Missing",IF(N(AT169)&gt;=Q169,IF(N(AT169)&gt;Q169,"All In-house (+"&amp;TEXT(N(AT169)-Q169,"#,##0")&amp;" "&amp;R169&amp;" excess)","All In-house"),IF(AY169&lt;&gt;"","Short Closed - "&amp;TEXT(AV169,"#,##0")&amp;" "&amp;R169&amp;" not received",IF(N(AT169)=0,"Not Started - "&amp;TEXT(AV169,"#,##0")&amp;" "&amp;R169&amp;" pending","Pending "&amp;TEXT(AV169,"#,##0")&amp;" "&amp;R169&amp;" ("&amp;TEXT(AU169,"0%")&amp;" received)"))))))</f>
        <v/>
      </c>
      <c r="AY169" s="61"/>
      <c r="AZ169" s="77" t="str">
        <f aca="false">IF(OR(B169="",J169=""),"",J169-B169)</f>
        <v/>
      </c>
      <c r="BA169" s="77" t="str">
        <f aca="false">IF(OR(J169="",P169=""),"",P169-J169)</f>
        <v/>
      </c>
      <c r="BB169" s="77" t="str">
        <f aca="false">IF(OR(P169="",AY169=""),"",AY169-P169)</f>
        <v/>
      </c>
      <c r="BC169" s="77" t="str">
        <f aca="false">IF(OR(B169="",AY169=""),"",AY169-B169)</f>
        <v/>
      </c>
      <c r="BD169" s="74" t="str">
        <f aca="false">IF(OR(AR169="",O169=""),"",MAX(0,IF(AY169="",Settings!$B$4,AY169)-AR169))</f>
        <v/>
      </c>
      <c r="BE169" s="73" t="str">
        <f aca="false">IF(OR(AY169="",AR169=""),"",IF(AND(AY169&lt;=AR169,N(AU169)&gt;=Settings!$B$6),"OTIF","Not OTIF"))</f>
        <v/>
      </c>
      <c r="BF169" s="60"/>
      <c r="BG169" s="62"/>
      <c r="BH169" s="78"/>
      <c r="BI169" s="76" t="str">
        <f aca="false">IF(A169="","",IF(K169="Rejected","Rejected",IF(K169&lt;&gt;"Approved","Awaiting Approval",IF(O169="","Approved - PO Pending",IF(AY169&lt;&gt;"",IF(N(AJ169)&gt;=0.999,"Closed","In-house Closed - Payment Due"),IF(AS169&lt;&gt;"","Receiving In-house","PO Issued - Awaiting Delivery"))))))</f>
        <v/>
      </c>
      <c r="BJ169" s="76" t="str">
        <f aca="false">IF(A169="","",IF(IF(AND(A169&lt;&gt;"",OR(B169="",C169="",E169="",F169="",H169="")),"PR info missing; ","")&amp;IF(AND(K169="Approved",OR(J169="",I169="")),"Approval ref/date missing; ","")&amp;IF(AND(O169&lt;&gt;"",K169&lt;&gt;"Approved"),"PO without approval; ","")&amp;IF(AND(O169&lt;&gt;"",OR(P169="",M169="",Q169="",S169="",T169="")),"PO details missing; ","")&amp;IF(AND(O169&lt;&gt;"",AR169=""),"Committed date missing; ","")&amp;IF(AND(ISNUMBER(J169),ISNUMBER(B169),N(J169)&lt;N(B169)),"Approval dated before PR; ","")&amp;IF(AND(ISNUMBER(P169),ISNUMBER(J169),N(P169)&lt;N(J169)),"PO dated before approval; ","")&amp;IF(AND(ISNUMBER(AY169),ISNUMBER(AS169),N(AY169)&lt;N(AS169)),"Close before in-house start; ","")&amp;IF(AND(AY169&lt;&gt;"",AS169=""),"In-house start date missing; ","")&amp;IF(AND(AY169&lt;&gt;"",AT169=""),"Qty received missing; ","")&amp;IF(AND(AY169&lt;&gt;"",BF169=""),"QC status missing; ","")&amp;IF(N(AT169)&gt;N(Q169)*1.05,"Received &gt; ordered +5%; ","")&amp;IF(AND(N(AI169)&gt;0,AE169=""),"Payment terms missing; ","")&amp;IF(N(AI169)&gt;N(AD169)+1,"Overpaid vs PO; ","")&amp;IF(AND(N(AK169)&gt;0,AY169&lt;&gt;"",AO169=""),"Payment due date missing; ","")="","OK",IF(AND(A169&lt;&gt;"",OR(B169="",C169="",E169="",F169="",H169="")),"PR info missing; ","")&amp;IF(AND(K169="Approved",OR(J169="",I169="")),"Approval ref/date missing; ","")&amp;IF(AND(O169&lt;&gt;"",K169&lt;&gt;"Approved"),"PO without approval; ","")&amp;IF(AND(O169&lt;&gt;"",OR(P169="",M169="",Q169="",S169="",T169="")),"PO details missing; ","")&amp;IF(AND(O169&lt;&gt;"",AR169=""),"Committed date missing; ","")&amp;IF(AND(ISNUMBER(J169),ISNUMBER(B169),N(J169)&lt;N(B169)),"Approval dated before PR; ","")&amp;IF(AND(ISNUMBER(P169),ISNUMBER(J169),N(P169)&lt;N(J169)),"PO dated before approval; ","")&amp;IF(AND(ISNUMBER(AY169),ISNUMBER(AS169),N(AY169)&lt;N(AS169)),"Close before in-house start; ","")&amp;IF(AND(AY169&lt;&gt;"",AS169=""),"In-house start date missing; ","")&amp;IF(AND(AY169&lt;&gt;"",AT169=""),"Qty received missing; ","")&amp;IF(AND(AY169&lt;&gt;"",BF169=""),"QC status missing; ","")&amp;IF(N(AT169)&gt;N(Q169)*1.05,"Received &gt; ordered +5%; ","")&amp;IF(AND(N(AI169)&gt;0,AE169=""),"Payment terms missing; ","")&amp;IF(N(AI169)&gt;N(AD169)+1,"Overpaid vs PO; ","")&amp;IF(AND(N(AK169)&gt;0,AY169&lt;&gt;"",AO169=""),"Payment due date missing; ","")))</f>
        <v/>
      </c>
      <c r="BK169" s="76" t="str">
        <f aca="false">IF(A169="","",IF(N(AP169)&gt;0,"Pay supplier: "&amp;N(AP169)&amp;" days overdue; ","")&amp;IF(AND(O169&lt;&gt;"",AY169="",N(BD169)&gt;0),"Expedite delivery: "&amp;N(BD169)&amp;" days late; ","")&amp;IF(AND(BI169="Awaiting Approval",ISNUMBER(B169),Settings!$B$4-N(B169)&gt;Settings!$B$19),"Get approval: PR waiting "&amp;(Settings!$B$4-N(B169))&amp;" days; ","")&amp;IF(AND(BI169="Approved - PO Pending",ISNUMBER(J169),Settings!$B$4-N(J169)&gt;Settings!$B$20),"Issue PO: approved "&amp;(Settings!$B$4-N(J169))&amp;" days ago; ","")&amp;IF(AND(OR(BI169="Awaiting Approval",BI169="Approved - PO Pending"),N(AB169)&gt;Settings!$B$7),"Negotiate price: "&amp;TEXT(AB169,"0%")&amp;" above budget; ","")&amp;IF(LEFT(AX169,12)="Short Closed","Short closed: claim balance / credit note"&amp;IF(N(AL169)&gt;0," BDT "&amp;TEXT(AL169,"#,##0"),"")&amp;"; ","")&amp;IF(BF169="Rejected","QC rejected: return / replace; ","")&amp;IF(AND(O169&lt;&gt;"",AY169="",N(AL169)&gt;0,N(BD169)&gt;0),"Advance at risk: BDT "&amp;TEXT(AL169,"#,##0")&amp;" paid, goods late; ","")&amp;IF(AND(BJ169&lt;&gt;"",BJ169&lt;&gt;"OK"),"Fix data entry (see Data Check); ",""))</f>
        <v/>
      </c>
      <c r="BL169" s="73" t="str">
        <f aca="false">IF(BK169="","",IF(OR(N(AP169)&gt;30,AND(AY169="",N(BD169)&gt;15),BF169="Rejected",AND(LEFT(AX169,12)="Short Closed",N(AL169)&gt;0),AND(O169&lt;&gt;"",AY169="",N(AL169)&gt;0,N(BD169)&gt;0)),"High",IF(OR(N(AP169)&gt;0,AND(AY169="",N(BD169)&gt;7),LEFT(AX169,12)="Short Closed",AND(BI169="Awaiting Approval",ISNUMBER(B169),Settings!$B$4-N(B169)&gt;2*Settings!$B$19),AND(BI169="Approved - PO Pending",ISNUMBER(J169),Settings!$B$4-N(J169)&gt;2*Settings!$B$20)),"Medium","Low")))</f>
        <v/>
      </c>
      <c r="BM169" s="77" t="str">
        <f aca="false">IF(BL169="","",IF(BL169="High",1,IF(BL169="Medium",2,3))*10000+ROW())</f>
        <v/>
      </c>
      <c r="BN169" s="62"/>
    </row>
    <row r="170" customFormat="false" ht="18" hidden="false" customHeight="true" outlineLevel="0" collapsed="false">
      <c r="A170" s="60"/>
      <c r="B170" s="61"/>
      <c r="C170" s="62"/>
      <c r="D170" s="62"/>
      <c r="E170" s="62"/>
      <c r="F170" s="62"/>
      <c r="G170" s="62"/>
      <c r="H170" s="60"/>
      <c r="I170" s="60"/>
      <c r="J170" s="61"/>
      <c r="K170" s="60"/>
      <c r="L170" s="60"/>
      <c r="M170" s="62"/>
      <c r="N170" s="60"/>
      <c r="O170" s="60"/>
      <c r="P170" s="61"/>
      <c r="Q170" s="63"/>
      <c r="R170" s="60"/>
      <c r="S170" s="64"/>
      <c r="T170" s="60"/>
      <c r="U170" s="65" t="str">
        <f aca="false">IF(AND(T170="",S170=""),"",IF(T170="",1,IFERROR(INDEX(Settings!$B$12:$B$16,MATCH(T170,Settings!$A$12:$A$16,0)),1)))</f>
        <v/>
      </c>
      <c r="V170" s="64"/>
      <c r="W170" s="66" t="str">
        <f aca="false">IF(OR(Q170="",S170=""),"",Q170*S170*U170)</f>
        <v/>
      </c>
      <c r="X170" s="65" t="str">
        <f aca="false">IF(OR(W170="",N(Q170)=0),"",W170/Q170)</f>
        <v/>
      </c>
      <c r="Y170" s="65" t="str">
        <f aca="false">IF(OR(X170="",P170="",E170=""),"",IF(_xlfn.MAXIFS($P$6:$P$205,$E$6:$E$205,E170,$P$6:$P$205,"&lt;"&amp;P170,$X$6:$X$205,"&gt;0")=0,"",IFERROR(AVERAGEIFS($X$6:$X$205,$E$6:$E$205,E170,$P$6:$P$205,_xlfn.MAXIFS($P$6:$P$205,$E$6:$E$205,E170,$P$6:$P$205,"&lt;"&amp;P170,$X$6:$X$205,"&gt;0"),$X$6:$X$205,"&gt;0"),"")))</f>
        <v/>
      </c>
      <c r="Z170" s="67" t="str">
        <f aca="false">IF(OR(Y170="",X170=""),"",X170/Y170-1)</f>
        <v/>
      </c>
      <c r="AA170" s="68" t="str">
        <f aca="false">IF(OR(W170="",V170=""),"",W170-Q170*V170)</f>
        <v/>
      </c>
      <c r="AB170" s="69" t="str">
        <f aca="false">IF(AA170="","",IF(N(V170)*N(Q170)=0,"",AA170/(Q170*V170)))</f>
        <v/>
      </c>
      <c r="AC170" s="70"/>
      <c r="AD170" s="66" t="str">
        <f aca="false">IF(W170="","",W170*(1+N(AC170)))</f>
        <v/>
      </c>
      <c r="AE170" s="62"/>
      <c r="AF170" s="71"/>
      <c r="AG170" s="71"/>
      <c r="AH170" s="71"/>
      <c r="AI170" s="66" t="str">
        <f aca="false">IF(A170="","",N(AF170)+N(AG170)+N(AH170))</f>
        <v/>
      </c>
      <c r="AJ170" s="72" t="str">
        <f aca="false">IF(AD170="","",IF(N(AD170)=0,"",AI170/AD170))</f>
        <v/>
      </c>
      <c r="AK170" s="66" t="str">
        <f aca="false">IF(AD170="","",IF(AD170-AI170&lt;1,0,ROUND(AD170-AI170,2)))</f>
        <v/>
      </c>
      <c r="AL170" s="66" t="str">
        <f aca="false">IF(OR(O170="",AD170=""),"",MAX(0,ROUND(N(AI170)-(AD170-N(AW170)),0)))</f>
        <v/>
      </c>
      <c r="AM170" s="73" t="str">
        <f aca="false">IF(A170="","",IF(O170="","No PO Yet",IF(AI170=0,"Not Paid",IF(N(AJ170)&gt;=0.999,"Fully Paid",IF(N(AG170)+N(AH170)&gt;0,"Partially Paid","Initial / Advance Paid")))))</f>
        <v/>
      </c>
      <c r="AN170" s="61"/>
      <c r="AO170" s="61"/>
      <c r="AP170" s="74" t="str">
        <f aca="false">IF(AK170="","",IF(OR(N(AK170)=0,AO170=""),"",MAX(0,Settings!$B$4-AO170)))</f>
        <v/>
      </c>
      <c r="AQ170" s="73" t="str">
        <f aca="false">IF(AK170="","",IF(N(AK170)&lt;=0,"",IF(AO170="","No Due Date",IF(Settings!$B$4&lt;=AO170,"Not Yet Due",IF(Settings!$B$4-AO170&lt;=30,"1-30 Days",IF(Settings!$B$4-AO170&lt;=60,"31-60 Days",IF(Settings!$B$4-AO170&lt;=90,"61-90 Days","90+ Days")))))))</f>
        <v/>
      </c>
      <c r="AR170" s="61"/>
      <c r="AS170" s="61"/>
      <c r="AT170" s="63"/>
      <c r="AU170" s="72" t="str">
        <f aca="false">IF(Q170="","",IF(N(Q170)=0,"",N(AT170)/Q170))</f>
        <v/>
      </c>
      <c r="AV170" s="75" t="str">
        <f aca="false">IF(OR(A170="",O170="",Q170=""),"",MAX(0,Q170-N(AT170)))</f>
        <v/>
      </c>
      <c r="AW170" s="66" t="str">
        <f aca="false">IF(OR(AV170="",W170=""),"",IF(N(Q170)=0,0,AV170/Q170*AD170))</f>
        <v/>
      </c>
      <c r="AX170" s="76" t="str">
        <f aca="false">IF(A170="","",IF(O170="","No PO Yet",IF(Q170="","Order Qty Missing",IF(N(AT170)&gt;=Q170,IF(N(AT170)&gt;Q170,"All In-house (+"&amp;TEXT(N(AT170)-Q170,"#,##0")&amp;" "&amp;R170&amp;" excess)","All In-house"),IF(AY170&lt;&gt;"","Short Closed - "&amp;TEXT(AV170,"#,##0")&amp;" "&amp;R170&amp;" not received",IF(N(AT170)=0,"Not Started - "&amp;TEXT(AV170,"#,##0")&amp;" "&amp;R170&amp;" pending","Pending "&amp;TEXT(AV170,"#,##0")&amp;" "&amp;R170&amp;" ("&amp;TEXT(AU170,"0%")&amp;" received)"))))))</f>
        <v/>
      </c>
      <c r="AY170" s="61"/>
      <c r="AZ170" s="77" t="str">
        <f aca="false">IF(OR(B170="",J170=""),"",J170-B170)</f>
        <v/>
      </c>
      <c r="BA170" s="77" t="str">
        <f aca="false">IF(OR(J170="",P170=""),"",P170-J170)</f>
        <v/>
      </c>
      <c r="BB170" s="77" t="str">
        <f aca="false">IF(OR(P170="",AY170=""),"",AY170-P170)</f>
        <v/>
      </c>
      <c r="BC170" s="77" t="str">
        <f aca="false">IF(OR(B170="",AY170=""),"",AY170-B170)</f>
        <v/>
      </c>
      <c r="BD170" s="74" t="str">
        <f aca="false">IF(OR(AR170="",O170=""),"",MAX(0,IF(AY170="",Settings!$B$4,AY170)-AR170))</f>
        <v/>
      </c>
      <c r="BE170" s="73" t="str">
        <f aca="false">IF(OR(AY170="",AR170=""),"",IF(AND(AY170&lt;=AR170,N(AU170)&gt;=Settings!$B$6),"OTIF","Not OTIF"))</f>
        <v/>
      </c>
      <c r="BF170" s="60"/>
      <c r="BG170" s="62"/>
      <c r="BH170" s="78"/>
      <c r="BI170" s="76" t="str">
        <f aca="false">IF(A170="","",IF(K170="Rejected","Rejected",IF(K170&lt;&gt;"Approved","Awaiting Approval",IF(O170="","Approved - PO Pending",IF(AY170&lt;&gt;"",IF(N(AJ170)&gt;=0.999,"Closed","In-house Closed - Payment Due"),IF(AS170&lt;&gt;"","Receiving In-house","PO Issued - Awaiting Delivery"))))))</f>
        <v/>
      </c>
      <c r="BJ170" s="76" t="str">
        <f aca="false">IF(A170="","",IF(IF(AND(A170&lt;&gt;"",OR(B170="",C170="",E170="",F170="",H170="")),"PR info missing; ","")&amp;IF(AND(K170="Approved",OR(J170="",I170="")),"Approval ref/date missing; ","")&amp;IF(AND(O170&lt;&gt;"",K170&lt;&gt;"Approved"),"PO without approval; ","")&amp;IF(AND(O170&lt;&gt;"",OR(P170="",M170="",Q170="",S170="",T170="")),"PO details missing; ","")&amp;IF(AND(O170&lt;&gt;"",AR170=""),"Committed date missing; ","")&amp;IF(AND(ISNUMBER(J170),ISNUMBER(B170),N(J170)&lt;N(B170)),"Approval dated before PR; ","")&amp;IF(AND(ISNUMBER(P170),ISNUMBER(J170),N(P170)&lt;N(J170)),"PO dated before approval; ","")&amp;IF(AND(ISNUMBER(AY170),ISNUMBER(AS170),N(AY170)&lt;N(AS170)),"Close before in-house start; ","")&amp;IF(AND(AY170&lt;&gt;"",AS170=""),"In-house start date missing; ","")&amp;IF(AND(AY170&lt;&gt;"",AT170=""),"Qty received missing; ","")&amp;IF(AND(AY170&lt;&gt;"",BF170=""),"QC status missing; ","")&amp;IF(N(AT170)&gt;N(Q170)*1.05,"Received &gt; ordered +5%; ","")&amp;IF(AND(N(AI170)&gt;0,AE170=""),"Payment terms missing; ","")&amp;IF(N(AI170)&gt;N(AD170)+1,"Overpaid vs PO; ","")&amp;IF(AND(N(AK170)&gt;0,AY170&lt;&gt;"",AO170=""),"Payment due date missing; ","")="","OK",IF(AND(A170&lt;&gt;"",OR(B170="",C170="",E170="",F170="",H170="")),"PR info missing; ","")&amp;IF(AND(K170="Approved",OR(J170="",I170="")),"Approval ref/date missing; ","")&amp;IF(AND(O170&lt;&gt;"",K170&lt;&gt;"Approved"),"PO without approval; ","")&amp;IF(AND(O170&lt;&gt;"",OR(P170="",M170="",Q170="",S170="",T170="")),"PO details missing; ","")&amp;IF(AND(O170&lt;&gt;"",AR170=""),"Committed date missing; ","")&amp;IF(AND(ISNUMBER(J170),ISNUMBER(B170),N(J170)&lt;N(B170)),"Approval dated before PR; ","")&amp;IF(AND(ISNUMBER(P170),ISNUMBER(J170),N(P170)&lt;N(J170)),"PO dated before approval; ","")&amp;IF(AND(ISNUMBER(AY170),ISNUMBER(AS170),N(AY170)&lt;N(AS170)),"Close before in-house start; ","")&amp;IF(AND(AY170&lt;&gt;"",AS170=""),"In-house start date missing; ","")&amp;IF(AND(AY170&lt;&gt;"",AT170=""),"Qty received missing; ","")&amp;IF(AND(AY170&lt;&gt;"",BF170=""),"QC status missing; ","")&amp;IF(N(AT170)&gt;N(Q170)*1.05,"Received &gt; ordered +5%; ","")&amp;IF(AND(N(AI170)&gt;0,AE170=""),"Payment terms missing; ","")&amp;IF(N(AI170)&gt;N(AD170)+1,"Overpaid vs PO; ","")&amp;IF(AND(N(AK170)&gt;0,AY170&lt;&gt;"",AO170=""),"Payment due date missing; ","")))</f>
        <v/>
      </c>
      <c r="BK170" s="76" t="str">
        <f aca="false">IF(A170="","",IF(N(AP170)&gt;0,"Pay supplier: "&amp;N(AP170)&amp;" days overdue; ","")&amp;IF(AND(O170&lt;&gt;"",AY170="",N(BD170)&gt;0),"Expedite delivery: "&amp;N(BD170)&amp;" days late; ","")&amp;IF(AND(BI170="Awaiting Approval",ISNUMBER(B170),Settings!$B$4-N(B170)&gt;Settings!$B$19),"Get approval: PR waiting "&amp;(Settings!$B$4-N(B170))&amp;" days; ","")&amp;IF(AND(BI170="Approved - PO Pending",ISNUMBER(J170),Settings!$B$4-N(J170)&gt;Settings!$B$20),"Issue PO: approved "&amp;(Settings!$B$4-N(J170))&amp;" days ago; ","")&amp;IF(AND(OR(BI170="Awaiting Approval",BI170="Approved - PO Pending"),N(AB170)&gt;Settings!$B$7),"Negotiate price: "&amp;TEXT(AB170,"0%")&amp;" above budget; ","")&amp;IF(LEFT(AX170,12)="Short Closed","Short closed: claim balance / credit note"&amp;IF(N(AL170)&gt;0," BDT "&amp;TEXT(AL170,"#,##0"),"")&amp;"; ","")&amp;IF(BF170="Rejected","QC rejected: return / replace; ","")&amp;IF(AND(O170&lt;&gt;"",AY170="",N(AL170)&gt;0,N(BD170)&gt;0),"Advance at risk: BDT "&amp;TEXT(AL170,"#,##0")&amp;" paid, goods late; ","")&amp;IF(AND(BJ170&lt;&gt;"",BJ170&lt;&gt;"OK"),"Fix data entry (see Data Check); ",""))</f>
        <v/>
      </c>
      <c r="BL170" s="73" t="str">
        <f aca="false">IF(BK170="","",IF(OR(N(AP170)&gt;30,AND(AY170="",N(BD170)&gt;15),BF170="Rejected",AND(LEFT(AX170,12)="Short Closed",N(AL170)&gt;0),AND(O170&lt;&gt;"",AY170="",N(AL170)&gt;0,N(BD170)&gt;0)),"High",IF(OR(N(AP170)&gt;0,AND(AY170="",N(BD170)&gt;7),LEFT(AX170,12)="Short Closed",AND(BI170="Awaiting Approval",ISNUMBER(B170),Settings!$B$4-N(B170)&gt;2*Settings!$B$19),AND(BI170="Approved - PO Pending",ISNUMBER(J170),Settings!$B$4-N(J170)&gt;2*Settings!$B$20)),"Medium","Low")))</f>
        <v/>
      </c>
      <c r="BM170" s="77" t="str">
        <f aca="false">IF(BL170="","",IF(BL170="High",1,IF(BL170="Medium",2,3))*10000+ROW())</f>
        <v/>
      </c>
      <c r="BN170" s="62"/>
    </row>
    <row r="171" customFormat="false" ht="18" hidden="false" customHeight="true" outlineLevel="0" collapsed="false">
      <c r="A171" s="60"/>
      <c r="B171" s="61"/>
      <c r="C171" s="62"/>
      <c r="D171" s="62"/>
      <c r="E171" s="62"/>
      <c r="F171" s="62"/>
      <c r="G171" s="62"/>
      <c r="H171" s="60"/>
      <c r="I171" s="60"/>
      <c r="J171" s="61"/>
      <c r="K171" s="60"/>
      <c r="L171" s="60"/>
      <c r="M171" s="62"/>
      <c r="N171" s="60"/>
      <c r="O171" s="60"/>
      <c r="P171" s="61"/>
      <c r="Q171" s="63"/>
      <c r="R171" s="60"/>
      <c r="S171" s="64"/>
      <c r="T171" s="60"/>
      <c r="U171" s="65" t="str">
        <f aca="false">IF(AND(T171="",S171=""),"",IF(T171="",1,IFERROR(INDEX(Settings!$B$12:$B$16,MATCH(T171,Settings!$A$12:$A$16,0)),1)))</f>
        <v/>
      </c>
      <c r="V171" s="64"/>
      <c r="W171" s="66" t="str">
        <f aca="false">IF(OR(Q171="",S171=""),"",Q171*S171*U171)</f>
        <v/>
      </c>
      <c r="X171" s="65" t="str">
        <f aca="false">IF(OR(W171="",N(Q171)=0),"",W171/Q171)</f>
        <v/>
      </c>
      <c r="Y171" s="65" t="str">
        <f aca="false">IF(OR(X171="",P171="",E171=""),"",IF(_xlfn.MAXIFS($P$6:$P$205,$E$6:$E$205,E171,$P$6:$P$205,"&lt;"&amp;P171,$X$6:$X$205,"&gt;0")=0,"",IFERROR(AVERAGEIFS($X$6:$X$205,$E$6:$E$205,E171,$P$6:$P$205,_xlfn.MAXIFS($P$6:$P$205,$E$6:$E$205,E171,$P$6:$P$205,"&lt;"&amp;P171,$X$6:$X$205,"&gt;0"),$X$6:$X$205,"&gt;0"),"")))</f>
        <v/>
      </c>
      <c r="Z171" s="67" t="str">
        <f aca="false">IF(OR(Y171="",X171=""),"",X171/Y171-1)</f>
        <v/>
      </c>
      <c r="AA171" s="68" t="str">
        <f aca="false">IF(OR(W171="",V171=""),"",W171-Q171*V171)</f>
        <v/>
      </c>
      <c r="AB171" s="69" t="str">
        <f aca="false">IF(AA171="","",IF(N(V171)*N(Q171)=0,"",AA171/(Q171*V171)))</f>
        <v/>
      </c>
      <c r="AC171" s="70"/>
      <c r="AD171" s="66" t="str">
        <f aca="false">IF(W171="","",W171*(1+N(AC171)))</f>
        <v/>
      </c>
      <c r="AE171" s="62"/>
      <c r="AF171" s="71"/>
      <c r="AG171" s="71"/>
      <c r="AH171" s="71"/>
      <c r="AI171" s="66" t="str">
        <f aca="false">IF(A171="","",N(AF171)+N(AG171)+N(AH171))</f>
        <v/>
      </c>
      <c r="AJ171" s="72" t="str">
        <f aca="false">IF(AD171="","",IF(N(AD171)=0,"",AI171/AD171))</f>
        <v/>
      </c>
      <c r="AK171" s="66" t="str">
        <f aca="false">IF(AD171="","",IF(AD171-AI171&lt;1,0,ROUND(AD171-AI171,2)))</f>
        <v/>
      </c>
      <c r="AL171" s="66" t="str">
        <f aca="false">IF(OR(O171="",AD171=""),"",MAX(0,ROUND(N(AI171)-(AD171-N(AW171)),0)))</f>
        <v/>
      </c>
      <c r="AM171" s="73" t="str">
        <f aca="false">IF(A171="","",IF(O171="","No PO Yet",IF(AI171=0,"Not Paid",IF(N(AJ171)&gt;=0.999,"Fully Paid",IF(N(AG171)+N(AH171)&gt;0,"Partially Paid","Initial / Advance Paid")))))</f>
        <v/>
      </c>
      <c r="AN171" s="61"/>
      <c r="AO171" s="61"/>
      <c r="AP171" s="74" t="str">
        <f aca="false">IF(AK171="","",IF(OR(N(AK171)=0,AO171=""),"",MAX(0,Settings!$B$4-AO171)))</f>
        <v/>
      </c>
      <c r="AQ171" s="73" t="str">
        <f aca="false">IF(AK171="","",IF(N(AK171)&lt;=0,"",IF(AO171="","No Due Date",IF(Settings!$B$4&lt;=AO171,"Not Yet Due",IF(Settings!$B$4-AO171&lt;=30,"1-30 Days",IF(Settings!$B$4-AO171&lt;=60,"31-60 Days",IF(Settings!$B$4-AO171&lt;=90,"61-90 Days","90+ Days")))))))</f>
        <v/>
      </c>
      <c r="AR171" s="61"/>
      <c r="AS171" s="61"/>
      <c r="AT171" s="63"/>
      <c r="AU171" s="72" t="str">
        <f aca="false">IF(Q171="","",IF(N(Q171)=0,"",N(AT171)/Q171))</f>
        <v/>
      </c>
      <c r="AV171" s="75" t="str">
        <f aca="false">IF(OR(A171="",O171="",Q171=""),"",MAX(0,Q171-N(AT171)))</f>
        <v/>
      </c>
      <c r="AW171" s="66" t="str">
        <f aca="false">IF(OR(AV171="",W171=""),"",IF(N(Q171)=0,0,AV171/Q171*AD171))</f>
        <v/>
      </c>
      <c r="AX171" s="76" t="str">
        <f aca="false">IF(A171="","",IF(O171="","No PO Yet",IF(Q171="","Order Qty Missing",IF(N(AT171)&gt;=Q171,IF(N(AT171)&gt;Q171,"All In-house (+"&amp;TEXT(N(AT171)-Q171,"#,##0")&amp;" "&amp;R171&amp;" excess)","All In-house"),IF(AY171&lt;&gt;"","Short Closed - "&amp;TEXT(AV171,"#,##0")&amp;" "&amp;R171&amp;" not received",IF(N(AT171)=0,"Not Started - "&amp;TEXT(AV171,"#,##0")&amp;" "&amp;R171&amp;" pending","Pending "&amp;TEXT(AV171,"#,##0")&amp;" "&amp;R171&amp;" ("&amp;TEXT(AU171,"0%")&amp;" received)"))))))</f>
        <v/>
      </c>
      <c r="AY171" s="61"/>
      <c r="AZ171" s="77" t="str">
        <f aca="false">IF(OR(B171="",J171=""),"",J171-B171)</f>
        <v/>
      </c>
      <c r="BA171" s="77" t="str">
        <f aca="false">IF(OR(J171="",P171=""),"",P171-J171)</f>
        <v/>
      </c>
      <c r="BB171" s="77" t="str">
        <f aca="false">IF(OR(P171="",AY171=""),"",AY171-P171)</f>
        <v/>
      </c>
      <c r="BC171" s="77" t="str">
        <f aca="false">IF(OR(B171="",AY171=""),"",AY171-B171)</f>
        <v/>
      </c>
      <c r="BD171" s="74" t="str">
        <f aca="false">IF(OR(AR171="",O171=""),"",MAX(0,IF(AY171="",Settings!$B$4,AY171)-AR171))</f>
        <v/>
      </c>
      <c r="BE171" s="73" t="str">
        <f aca="false">IF(OR(AY171="",AR171=""),"",IF(AND(AY171&lt;=AR171,N(AU171)&gt;=Settings!$B$6),"OTIF","Not OTIF"))</f>
        <v/>
      </c>
      <c r="BF171" s="60"/>
      <c r="BG171" s="62"/>
      <c r="BH171" s="78"/>
      <c r="BI171" s="76" t="str">
        <f aca="false">IF(A171="","",IF(K171="Rejected","Rejected",IF(K171&lt;&gt;"Approved","Awaiting Approval",IF(O171="","Approved - PO Pending",IF(AY171&lt;&gt;"",IF(N(AJ171)&gt;=0.999,"Closed","In-house Closed - Payment Due"),IF(AS171&lt;&gt;"","Receiving In-house","PO Issued - Awaiting Delivery"))))))</f>
        <v/>
      </c>
      <c r="BJ171" s="76" t="str">
        <f aca="false">IF(A171="","",IF(IF(AND(A171&lt;&gt;"",OR(B171="",C171="",E171="",F171="",H171="")),"PR info missing; ","")&amp;IF(AND(K171="Approved",OR(J171="",I171="")),"Approval ref/date missing; ","")&amp;IF(AND(O171&lt;&gt;"",K171&lt;&gt;"Approved"),"PO without approval; ","")&amp;IF(AND(O171&lt;&gt;"",OR(P171="",M171="",Q171="",S171="",T171="")),"PO details missing; ","")&amp;IF(AND(O171&lt;&gt;"",AR171=""),"Committed date missing; ","")&amp;IF(AND(ISNUMBER(J171),ISNUMBER(B171),N(J171)&lt;N(B171)),"Approval dated before PR; ","")&amp;IF(AND(ISNUMBER(P171),ISNUMBER(J171),N(P171)&lt;N(J171)),"PO dated before approval; ","")&amp;IF(AND(ISNUMBER(AY171),ISNUMBER(AS171),N(AY171)&lt;N(AS171)),"Close before in-house start; ","")&amp;IF(AND(AY171&lt;&gt;"",AS171=""),"In-house start date missing; ","")&amp;IF(AND(AY171&lt;&gt;"",AT171=""),"Qty received missing; ","")&amp;IF(AND(AY171&lt;&gt;"",BF171=""),"QC status missing; ","")&amp;IF(N(AT171)&gt;N(Q171)*1.05,"Received &gt; ordered +5%; ","")&amp;IF(AND(N(AI171)&gt;0,AE171=""),"Payment terms missing; ","")&amp;IF(N(AI171)&gt;N(AD171)+1,"Overpaid vs PO; ","")&amp;IF(AND(N(AK171)&gt;0,AY171&lt;&gt;"",AO171=""),"Payment due date missing; ","")="","OK",IF(AND(A171&lt;&gt;"",OR(B171="",C171="",E171="",F171="",H171="")),"PR info missing; ","")&amp;IF(AND(K171="Approved",OR(J171="",I171="")),"Approval ref/date missing; ","")&amp;IF(AND(O171&lt;&gt;"",K171&lt;&gt;"Approved"),"PO without approval; ","")&amp;IF(AND(O171&lt;&gt;"",OR(P171="",M171="",Q171="",S171="",T171="")),"PO details missing; ","")&amp;IF(AND(O171&lt;&gt;"",AR171=""),"Committed date missing; ","")&amp;IF(AND(ISNUMBER(J171),ISNUMBER(B171),N(J171)&lt;N(B171)),"Approval dated before PR; ","")&amp;IF(AND(ISNUMBER(P171),ISNUMBER(J171),N(P171)&lt;N(J171)),"PO dated before approval; ","")&amp;IF(AND(ISNUMBER(AY171),ISNUMBER(AS171),N(AY171)&lt;N(AS171)),"Close before in-house start; ","")&amp;IF(AND(AY171&lt;&gt;"",AS171=""),"In-house start date missing; ","")&amp;IF(AND(AY171&lt;&gt;"",AT171=""),"Qty received missing; ","")&amp;IF(AND(AY171&lt;&gt;"",BF171=""),"QC status missing; ","")&amp;IF(N(AT171)&gt;N(Q171)*1.05,"Received &gt; ordered +5%; ","")&amp;IF(AND(N(AI171)&gt;0,AE171=""),"Payment terms missing; ","")&amp;IF(N(AI171)&gt;N(AD171)+1,"Overpaid vs PO; ","")&amp;IF(AND(N(AK171)&gt;0,AY171&lt;&gt;"",AO171=""),"Payment due date missing; ","")))</f>
        <v/>
      </c>
      <c r="BK171" s="76" t="str">
        <f aca="false">IF(A171="","",IF(N(AP171)&gt;0,"Pay supplier: "&amp;N(AP171)&amp;" days overdue; ","")&amp;IF(AND(O171&lt;&gt;"",AY171="",N(BD171)&gt;0),"Expedite delivery: "&amp;N(BD171)&amp;" days late; ","")&amp;IF(AND(BI171="Awaiting Approval",ISNUMBER(B171),Settings!$B$4-N(B171)&gt;Settings!$B$19),"Get approval: PR waiting "&amp;(Settings!$B$4-N(B171))&amp;" days; ","")&amp;IF(AND(BI171="Approved - PO Pending",ISNUMBER(J171),Settings!$B$4-N(J171)&gt;Settings!$B$20),"Issue PO: approved "&amp;(Settings!$B$4-N(J171))&amp;" days ago; ","")&amp;IF(AND(OR(BI171="Awaiting Approval",BI171="Approved - PO Pending"),N(AB171)&gt;Settings!$B$7),"Negotiate price: "&amp;TEXT(AB171,"0%")&amp;" above budget; ","")&amp;IF(LEFT(AX171,12)="Short Closed","Short closed: claim balance / credit note"&amp;IF(N(AL171)&gt;0," BDT "&amp;TEXT(AL171,"#,##0"),"")&amp;"; ","")&amp;IF(BF171="Rejected","QC rejected: return / replace; ","")&amp;IF(AND(O171&lt;&gt;"",AY171="",N(AL171)&gt;0,N(BD171)&gt;0),"Advance at risk: BDT "&amp;TEXT(AL171,"#,##0")&amp;" paid, goods late; ","")&amp;IF(AND(BJ171&lt;&gt;"",BJ171&lt;&gt;"OK"),"Fix data entry (see Data Check); ",""))</f>
        <v/>
      </c>
      <c r="BL171" s="73" t="str">
        <f aca="false">IF(BK171="","",IF(OR(N(AP171)&gt;30,AND(AY171="",N(BD171)&gt;15),BF171="Rejected",AND(LEFT(AX171,12)="Short Closed",N(AL171)&gt;0),AND(O171&lt;&gt;"",AY171="",N(AL171)&gt;0,N(BD171)&gt;0)),"High",IF(OR(N(AP171)&gt;0,AND(AY171="",N(BD171)&gt;7),LEFT(AX171,12)="Short Closed",AND(BI171="Awaiting Approval",ISNUMBER(B171),Settings!$B$4-N(B171)&gt;2*Settings!$B$19),AND(BI171="Approved - PO Pending",ISNUMBER(J171),Settings!$B$4-N(J171)&gt;2*Settings!$B$20)),"Medium","Low")))</f>
        <v/>
      </c>
      <c r="BM171" s="77" t="str">
        <f aca="false">IF(BL171="","",IF(BL171="High",1,IF(BL171="Medium",2,3))*10000+ROW())</f>
        <v/>
      </c>
      <c r="BN171" s="62"/>
    </row>
    <row r="172" customFormat="false" ht="18" hidden="false" customHeight="true" outlineLevel="0" collapsed="false">
      <c r="A172" s="60"/>
      <c r="B172" s="61"/>
      <c r="C172" s="62"/>
      <c r="D172" s="62"/>
      <c r="E172" s="62"/>
      <c r="F172" s="62"/>
      <c r="G172" s="62"/>
      <c r="H172" s="60"/>
      <c r="I172" s="60"/>
      <c r="J172" s="61"/>
      <c r="K172" s="60"/>
      <c r="L172" s="60"/>
      <c r="M172" s="62"/>
      <c r="N172" s="60"/>
      <c r="O172" s="60"/>
      <c r="P172" s="61"/>
      <c r="Q172" s="63"/>
      <c r="R172" s="60"/>
      <c r="S172" s="64"/>
      <c r="T172" s="60"/>
      <c r="U172" s="65" t="str">
        <f aca="false">IF(AND(T172="",S172=""),"",IF(T172="",1,IFERROR(INDEX(Settings!$B$12:$B$16,MATCH(T172,Settings!$A$12:$A$16,0)),1)))</f>
        <v/>
      </c>
      <c r="V172" s="64"/>
      <c r="W172" s="66" t="str">
        <f aca="false">IF(OR(Q172="",S172=""),"",Q172*S172*U172)</f>
        <v/>
      </c>
      <c r="X172" s="65" t="str">
        <f aca="false">IF(OR(W172="",N(Q172)=0),"",W172/Q172)</f>
        <v/>
      </c>
      <c r="Y172" s="65" t="str">
        <f aca="false">IF(OR(X172="",P172="",E172=""),"",IF(_xlfn.MAXIFS($P$6:$P$205,$E$6:$E$205,E172,$P$6:$P$205,"&lt;"&amp;P172,$X$6:$X$205,"&gt;0")=0,"",IFERROR(AVERAGEIFS($X$6:$X$205,$E$6:$E$205,E172,$P$6:$P$205,_xlfn.MAXIFS($P$6:$P$205,$E$6:$E$205,E172,$P$6:$P$205,"&lt;"&amp;P172,$X$6:$X$205,"&gt;0"),$X$6:$X$205,"&gt;0"),"")))</f>
        <v/>
      </c>
      <c r="Z172" s="67" t="str">
        <f aca="false">IF(OR(Y172="",X172=""),"",X172/Y172-1)</f>
        <v/>
      </c>
      <c r="AA172" s="68" t="str">
        <f aca="false">IF(OR(W172="",V172=""),"",W172-Q172*V172)</f>
        <v/>
      </c>
      <c r="AB172" s="69" t="str">
        <f aca="false">IF(AA172="","",IF(N(V172)*N(Q172)=0,"",AA172/(Q172*V172)))</f>
        <v/>
      </c>
      <c r="AC172" s="70"/>
      <c r="AD172" s="66" t="str">
        <f aca="false">IF(W172="","",W172*(1+N(AC172)))</f>
        <v/>
      </c>
      <c r="AE172" s="62"/>
      <c r="AF172" s="71"/>
      <c r="AG172" s="71"/>
      <c r="AH172" s="71"/>
      <c r="AI172" s="66" t="str">
        <f aca="false">IF(A172="","",N(AF172)+N(AG172)+N(AH172))</f>
        <v/>
      </c>
      <c r="AJ172" s="72" t="str">
        <f aca="false">IF(AD172="","",IF(N(AD172)=0,"",AI172/AD172))</f>
        <v/>
      </c>
      <c r="AK172" s="66" t="str">
        <f aca="false">IF(AD172="","",IF(AD172-AI172&lt;1,0,ROUND(AD172-AI172,2)))</f>
        <v/>
      </c>
      <c r="AL172" s="66" t="str">
        <f aca="false">IF(OR(O172="",AD172=""),"",MAX(0,ROUND(N(AI172)-(AD172-N(AW172)),0)))</f>
        <v/>
      </c>
      <c r="AM172" s="73" t="str">
        <f aca="false">IF(A172="","",IF(O172="","No PO Yet",IF(AI172=0,"Not Paid",IF(N(AJ172)&gt;=0.999,"Fully Paid",IF(N(AG172)+N(AH172)&gt;0,"Partially Paid","Initial / Advance Paid")))))</f>
        <v/>
      </c>
      <c r="AN172" s="61"/>
      <c r="AO172" s="61"/>
      <c r="AP172" s="74" t="str">
        <f aca="false">IF(AK172="","",IF(OR(N(AK172)=0,AO172=""),"",MAX(0,Settings!$B$4-AO172)))</f>
        <v/>
      </c>
      <c r="AQ172" s="73" t="str">
        <f aca="false">IF(AK172="","",IF(N(AK172)&lt;=0,"",IF(AO172="","No Due Date",IF(Settings!$B$4&lt;=AO172,"Not Yet Due",IF(Settings!$B$4-AO172&lt;=30,"1-30 Days",IF(Settings!$B$4-AO172&lt;=60,"31-60 Days",IF(Settings!$B$4-AO172&lt;=90,"61-90 Days","90+ Days")))))))</f>
        <v/>
      </c>
      <c r="AR172" s="61"/>
      <c r="AS172" s="61"/>
      <c r="AT172" s="63"/>
      <c r="AU172" s="72" t="str">
        <f aca="false">IF(Q172="","",IF(N(Q172)=0,"",N(AT172)/Q172))</f>
        <v/>
      </c>
      <c r="AV172" s="75" t="str">
        <f aca="false">IF(OR(A172="",O172="",Q172=""),"",MAX(0,Q172-N(AT172)))</f>
        <v/>
      </c>
      <c r="AW172" s="66" t="str">
        <f aca="false">IF(OR(AV172="",W172=""),"",IF(N(Q172)=0,0,AV172/Q172*AD172))</f>
        <v/>
      </c>
      <c r="AX172" s="76" t="str">
        <f aca="false">IF(A172="","",IF(O172="","No PO Yet",IF(Q172="","Order Qty Missing",IF(N(AT172)&gt;=Q172,IF(N(AT172)&gt;Q172,"All In-house (+"&amp;TEXT(N(AT172)-Q172,"#,##0")&amp;" "&amp;R172&amp;" excess)","All In-house"),IF(AY172&lt;&gt;"","Short Closed - "&amp;TEXT(AV172,"#,##0")&amp;" "&amp;R172&amp;" not received",IF(N(AT172)=0,"Not Started - "&amp;TEXT(AV172,"#,##0")&amp;" "&amp;R172&amp;" pending","Pending "&amp;TEXT(AV172,"#,##0")&amp;" "&amp;R172&amp;" ("&amp;TEXT(AU172,"0%")&amp;" received)"))))))</f>
        <v/>
      </c>
      <c r="AY172" s="61"/>
      <c r="AZ172" s="77" t="str">
        <f aca="false">IF(OR(B172="",J172=""),"",J172-B172)</f>
        <v/>
      </c>
      <c r="BA172" s="77" t="str">
        <f aca="false">IF(OR(J172="",P172=""),"",P172-J172)</f>
        <v/>
      </c>
      <c r="BB172" s="77" t="str">
        <f aca="false">IF(OR(P172="",AY172=""),"",AY172-P172)</f>
        <v/>
      </c>
      <c r="BC172" s="77" t="str">
        <f aca="false">IF(OR(B172="",AY172=""),"",AY172-B172)</f>
        <v/>
      </c>
      <c r="BD172" s="74" t="str">
        <f aca="false">IF(OR(AR172="",O172=""),"",MAX(0,IF(AY172="",Settings!$B$4,AY172)-AR172))</f>
        <v/>
      </c>
      <c r="BE172" s="73" t="str">
        <f aca="false">IF(OR(AY172="",AR172=""),"",IF(AND(AY172&lt;=AR172,N(AU172)&gt;=Settings!$B$6),"OTIF","Not OTIF"))</f>
        <v/>
      </c>
      <c r="BF172" s="60"/>
      <c r="BG172" s="62"/>
      <c r="BH172" s="78"/>
      <c r="BI172" s="76" t="str">
        <f aca="false">IF(A172="","",IF(K172="Rejected","Rejected",IF(K172&lt;&gt;"Approved","Awaiting Approval",IF(O172="","Approved - PO Pending",IF(AY172&lt;&gt;"",IF(N(AJ172)&gt;=0.999,"Closed","In-house Closed - Payment Due"),IF(AS172&lt;&gt;"","Receiving In-house","PO Issued - Awaiting Delivery"))))))</f>
        <v/>
      </c>
      <c r="BJ172" s="76" t="str">
        <f aca="false">IF(A172="","",IF(IF(AND(A172&lt;&gt;"",OR(B172="",C172="",E172="",F172="",H172="")),"PR info missing; ","")&amp;IF(AND(K172="Approved",OR(J172="",I172="")),"Approval ref/date missing; ","")&amp;IF(AND(O172&lt;&gt;"",K172&lt;&gt;"Approved"),"PO without approval; ","")&amp;IF(AND(O172&lt;&gt;"",OR(P172="",M172="",Q172="",S172="",T172="")),"PO details missing; ","")&amp;IF(AND(O172&lt;&gt;"",AR172=""),"Committed date missing; ","")&amp;IF(AND(ISNUMBER(J172),ISNUMBER(B172),N(J172)&lt;N(B172)),"Approval dated before PR; ","")&amp;IF(AND(ISNUMBER(P172),ISNUMBER(J172),N(P172)&lt;N(J172)),"PO dated before approval; ","")&amp;IF(AND(ISNUMBER(AY172),ISNUMBER(AS172),N(AY172)&lt;N(AS172)),"Close before in-house start; ","")&amp;IF(AND(AY172&lt;&gt;"",AS172=""),"In-house start date missing; ","")&amp;IF(AND(AY172&lt;&gt;"",AT172=""),"Qty received missing; ","")&amp;IF(AND(AY172&lt;&gt;"",BF172=""),"QC status missing; ","")&amp;IF(N(AT172)&gt;N(Q172)*1.05,"Received &gt; ordered +5%; ","")&amp;IF(AND(N(AI172)&gt;0,AE172=""),"Payment terms missing; ","")&amp;IF(N(AI172)&gt;N(AD172)+1,"Overpaid vs PO; ","")&amp;IF(AND(N(AK172)&gt;0,AY172&lt;&gt;"",AO172=""),"Payment due date missing; ","")="","OK",IF(AND(A172&lt;&gt;"",OR(B172="",C172="",E172="",F172="",H172="")),"PR info missing; ","")&amp;IF(AND(K172="Approved",OR(J172="",I172="")),"Approval ref/date missing; ","")&amp;IF(AND(O172&lt;&gt;"",K172&lt;&gt;"Approved"),"PO without approval; ","")&amp;IF(AND(O172&lt;&gt;"",OR(P172="",M172="",Q172="",S172="",T172="")),"PO details missing; ","")&amp;IF(AND(O172&lt;&gt;"",AR172=""),"Committed date missing; ","")&amp;IF(AND(ISNUMBER(J172),ISNUMBER(B172),N(J172)&lt;N(B172)),"Approval dated before PR; ","")&amp;IF(AND(ISNUMBER(P172),ISNUMBER(J172),N(P172)&lt;N(J172)),"PO dated before approval; ","")&amp;IF(AND(ISNUMBER(AY172),ISNUMBER(AS172),N(AY172)&lt;N(AS172)),"Close before in-house start; ","")&amp;IF(AND(AY172&lt;&gt;"",AS172=""),"In-house start date missing; ","")&amp;IF(AND(AY172&lt;&gt;"",AT172=""),"Qty received missing; ","")&amp;IF(AND(AY172&lt;&gt;"",BF172=""),"QC status missing; ","")&amp;IF(N(AT172)&gt;N(Q172)*1.05,"Received &gt; ordered +5%; ","")&amp;IF(AND(N(AI172)&gt;0,AE172=""),"Payment terms missing; ","")&amp;IF(N(AI172)&gt;N(AD172)+1,"Overpaid vs PO; ","")&amp;IF(AND(N(AK172)&gt;0,AY172&lt;&gt;"",AO172=""),"Payment due date missing; ","")))</f>
        <v/>
      </c>
      <c r="BK172" s="76" t="str">
        <f aca="false">IF(A172="","",IF(N(AP172)&gt;0,"Pay supplier: "&amp;N(AP172)&amp;" days overdue; ","")&amp;IF(AND(O172&lt;&gt;"",AY172="",N(BD172)&gt;0),"Expedite delivery: "&amp;N(BD172)&amp;" days late; ","")&amp;IF(AND(BI172="Awaiting Approval",ISNUMBER(B172),Settings!$B$4-N(B172)&gt;Settings!$B$19),"Get approval: PR waiting "&amp;(Settings!$B$4-N(B172))&amp;" days; ","")&amp;IF(AND(BI172="Approved - PO Pending",ISNUMBER(J172),Settings!$B$4-N(J172)&gt;Settings!$B$20),"Issue PO: approved "&amp;(Settings!$B$4-N(J172))&amp;" days ago; ","")&amp;IF(AND(OR(BI172="Awaiting Approval",BI172="Approved - PO Pending"),N(AB172)&gt;Settings!$B$7),"Negotiate price: "&amp;TEXT(AB172,"0%")&amp;" above budget; ","")&amp;IF(LEFT(AX172,12)="Short Closed","Short closed: claim balance / credit note"&amp;IF(N(AL172)&gt;0," BDT "&amp;TEXT(AL172,"#,##0"),"")&amp;"; ","")&amp;IF(BF172="Rejected","QC rejected: return / replace; ","")&amp;IF(AND(O172&lt;&gt;"",AY172="",N(AL172)&gt;0,N(BD172)&gt;0),"Advance at risk: BDT "&amp;TEXT(AL172,"#,##0")&amp;" paid, goods late; ","")&amp;IF(AND(BJ172&lt;&gt;"",BJ172&lt;&gt;"OK"),"Fix data entry (see Data Check); ",""))</f>
        <v/>
      </c>
      <c r="BL172" s="73" t="str">
        <f aca="false">IF(BK172="","",IF(OR(N(AP172)&gt;30,AND(AY172="",N(BD172)&gt;15),BF172="Rejected",AND(LEFT(AX172,12)="Short Closed",N(AL172)&gt;0),AND(O172&lt;&gt;"",AY172="",N(AL172)&gt;0,N(BD172)&gt;0)),"High",IF(OR(N(AP172)&gt;0,AND(AY172="",N(BD172)&gt;7),LEFT(AX172,12)="Short Closed",AND(BI172="Awaiting Approval",ISNUMBER(B172),Settings!$B$4-N(B172)&gt;2*Settings!$B$19),AND(BI172="Approved - PO Pending",ISNUMBER(J172),Settings!$B$4-N(J172)&gt;2*Settings!$B$20)),"Medium","Low")))</f>
        <v/>
      </c>
      <c r="BM172" s="77" t="str">
        <f aca="false">IF(BL172="","",IF(BL172="High",1,IF(BL172="Medium",2,3))*10000+ROW())</f>
        <v/>
      </c>
      <c r="BN172" s="62"/>
    </row>
    <row r="173" customFormat="false" ht="18" hidden="false" customHeight="true" outlineLevel="0" collapsed="false">
      <c r="A173" s="60"/>
      <c r="B173" s="61"/>
      <c r="C173" s="62"/>
      <c r="D173" s="62"/>
      <c r="E173" s="62"/>
      <c r="F173" s="62"/>
      <c r="G173" s="62"/>
      <c r="H173" s="60"/>
      <c r="I173" s="60"/>
      <c r="J173" s="61"/>
      <c r="K173" s="60"/>
      <c r="L173" s="60"/>
      <c r="M173" s="62"/>
      <c r="N173" s="60"/>
      <c r="O173" s="60"/>
      <c r="P173" s="61"/>
      <c r="Q173" s="63"/>
      <c r="R173" s="60"/>
      <c r="S173" s="64"/>
      <c r="T173" s="60"/>
      <c r="U173" s="65" t="str">
        <f aca="false">IF(AND(T173="",S173=""),"",IF(T173="",1,IFERROR(INDEX(Settings!$B$12:$B$16,MATCH(T173,Settings!$A$12:$A$16,0)),1)))</f>
        <v/>
      </c>
      <c r="V173" s="64"/>
      <c r="W173" s="66" t="str">
        <f aca="false">IF(OR(Q173="",S173=""),"",Q173*S173*U173)</f>
        <v/>
      </c>
      <c r="X173" s="65" t="str">
        <f aca="false">IF(OR(W173="",N(Q173)=0),"",W173/Q173)</f>
        <v/>
      </c>
      <c r="Y173" s="65" t="str">
        <f aca="false">IF(OR(X173="",P173="",E173=""),"",IF(_xlfn.MAXIFS($P$6:$P$205,$E$6:$E$205,E173,$P$6:$P$205,"&lt;"&amp;P173,$X$6:$X$205,"&gt;0")=0,"",IFERROR(AVERAGEIFS($X$6:$X$205,$E$6:$E$205,E173,$P$6:$P$205,_xlfn.MAXIFS($P$6:$P$205,$E$6:$E$205,E173,$P$6:$P$205,"&lt;"&amp;P173,$X$6:$X$205,"&gt;0"),$X$6:$X$205,"&gt;0"),"")))</f>
        <v/>
      </c>
      <c r="Z173" s="67" t="str">
        <f aca="false">IF(OR(Y173="",X173=""),"",X173/Y173-1)</f>
        <v/>
      </c>
      <c r="AA173" s="68" t="str">
        <f aca="false">IF(OR(W173="",V173=""),"",W173-Q173*V173)</f>
        <v/>
      </c>
      <c r="AB173" s="69" t="str">
        <f aca="false">IF(AA173="","",IF(N(V173)*N(Q173)=0,"",AA173/(Q173*V173)))</f>
        <v/>
      </c>
      <c r="AC173" s="70"/>
      <c r="AD173" s="66" t="str">
        <f aca="false">IF(W173="","",W173*(1+N(AC173)))</f>
        <v/>
      </c>
      <c r="AE173" s="62"/>
      <c r="AF173" s="71"/>
      <c r="AG173" s="71"/>
      <c r="AH173" s="71"/>
      <c r="AI173" s="66" t="str">
        <f aca="false">IF(A173="","",N(AF173)+N(AG173)+N(AH173))</f>
        <v/>
      </c>
      <c r="AJ173" s="72" t="str">
        <f aca="false">IF(AD173="","",IF(N(AD173)=0,"",AI173/AD173))</f>
        <v/>
      </c>
      <c r="AK173" s="66" t="str">
        <f aca="false">IF(AD173="","",IF(AD173-AI173&lt;1,0,ROUND(AD173-AI173,2)))</f>
        <v/>
      </c>
      <c r="AL173" s="66" t="str">
        <f aca="false">IF(OR(O173="",AD173=""),"",MAX(0,ROUND(N(AI173)-(AD173-N(AW173)),0)))</f>
        <v/>
      </c>
      <c r="AM173" s="73" t="str">
        <f aca="false">IF(A173="","",IF(O173="","No PO Yet",IF(AI173=0,"Not Paid",IF(N(AJ173)&gt;=0.999,"Fully Paid",IF(N(AG173)+N(AH173)&gt;0,"Partially Paid","Initial / Advance Paid")))))</f>
        <v/>
      </c>
      <c r="AN173" s="61"/>
      <c r="AO173" s="61"/>
      <c r="AP173" s="74" t="str">
        <f aca="false">IF(AK173="","",IF(OR(N(AK173)=0,AO173=""),"",MAX(0,Settings!$B$4-AO173)))</f>
        <v/>
      </c>
      <c r="AQ173" s="73" t="str">
        <f aca="false">IF(AK173="","",IF(N(AK173)&lt;=0,"",IF(AO173="","No Due Date",IF(Settings!$B$4&lt;=AO173,"Not Yet Due",IF(Settings!$B$4-AO173&lt;=30,"1-30 Days",IF(Settings!$B$4-AO173&lt;=60,"31-60 Days",IF(Settings!$B$4-AO173&lt;=90,"61-90 Days","90+ Days")))))))</f>
        <v/>
      </c>
      <c r="AR173" s="61"/>
      <c r="AS173" s="61"/>
      <c r="AT173" s="63"/>
      <c r="AU173" s="72" t="str">
        <f aca="false">IF(Q173="","",IF(N(Q173)=0,"",N(AT173)/Q173))</f>
        <v/>
      </c>
      <c r="AV173" s="75" t="str">
        <f aca="false">IF(OR(A173="",O173="",Q173=""),"",MAX(0,Q173-N(AT173)))</f>
        <v/>
      </c>
      <c r="AW173" s="66" t="str">
        <f aca="false">IF(OR(AV173="",W173=""),"",IF(N(Q173)=0,0,AV173/Q173*AD173))</f>
        <v/>
      </c>
      <c r="AX173" s="76" t="str">
        <f aca="false">IF(A173="","",IF(O173="","No PO Yet",IF(Q173="","Order Qty Missing",IF(N(AT173)&gt;=Q173,IF(N(AT173)&gt;Q173,"All In-house (+"&amp;TEXT(N(AT173)-Q173,"#,##0")&amp;" "&amp;R173&amp;" excess)","All In-house"),IF(AY173&lt;&gt;"","Short Closed - "&amp;TEXT(AV173,"#,##0")&amp;" "&amp;R173&amp;" not received",IF(N(AT173)=0,"Not Started - "&amp;TEXT(AV173,"#,##0")&amp;" "&amp;R173&amp;" pending","Pending "&amp;TEXT(AV173,"#,##0")&amp;" "&amp;R173&amp;" ("&amp;TEXT(AU173,"0%")&amp;" received)"))))))</f>
        <v/>
      </c>
      <c r="AY173" s="61"/>
      <c r="AZ173" s="77" t="str">
        <f aca="false">IF(OR(B173="",J173=""),"",J173-B173)</f>
        <v/>
      </c>
      <c r="BA173" s="77" t="str">
        <f aca="false">IF(OR(J173="",P173=""),"",P173-J173)</f>
        <v/>
      </c>
      <c r="BB173" s="77" t="str">
        <f aca="false">IF(OR(P173="",AY173=""),"",AY173-P173)</f>
        <v/>
      </c>
      <c r="BC173" s="77" t="str">
        <f aca="false">IF(OR(B173="",AY173=""),"",AY173-B173)</f>
        <v/>
      </c>
      <c r="BD173" s="74" t="str">
        <f aca="false">IF(OR(AR173="",O173=""),"",MAX(0,IF(AY173="",Settings!$B$4,AY173)-AR173))</f>
        <v/>
      </c>
      <c r="BE173" s="73" t="str">
        <f aca="false">IF(OR(AY173="",AR173=""),"",IF(AND(AY173&lt;=AR173,N(AU173)&gt;=Settings!$B$6),"OTIF","Not OTIF"))</f>
        <v/>
      </c>
      <c r="BF173" s="60"/>
      <c r="BG173" s="62"/>
      <c r="BH173" s="78"/>
      <c r="BI173" s="76" t="str">
        <f aca="false">IF(A173="","",IF(K173="Rejected","Rejected",IF(K173&lt;&gt;"Approved","Awaiting Approval",IF(O173="","Approved - PO Pending",IF(AY173&lt;&gt;"",IF(N(AJ173)&gt;=0.999,"Closed","In-house Closed - Payment Due"),IF(AS173&lt;&gt;"","Receiving In-house","PO Issued - Awaiting Delivery"))))))</f>
        <v/>
      </c>
      <c r="BJ173" s="76" t="str">
        <f aca="false">IF(A173="","",IF(IF(AND(A173&lt;&gt;"",OR(B173="",C173="",E173="",F173="",H173="")),"PR info missing; ","")&amp;IF(AND(K173="Approved",OR(J173="",I173="")),"Approval ref/date missing; ","")&amp;IF(AND(O173&lt;&gt;"",K173&lt;&gt;"Approved"),"PO without approval; ","")&amp;IF(AND(O173&lt;&gt;"",OR(P173="",M173="",Q173="",S173="",T173="")),"PO details missing; ","")&amp;IF(AND(O173&lt;&gt;"",AR173=""),"Committed date missing; ","")&amp;IF(AND(ISNUMBER(J173),ISNUMBER(B173),N(J173)&lt;N(B173)),"Approval dated before PR; ","")&amp;IF(AND(ISNUMBER(P173),ISNUMBER(J173),N(P173)&lt;N(J173)),"PO dated before approval; ","")&amp;IF(AND(ISNUMBER(AY173),ISNUMBER(AS173),N(AY173)&lt;N(AS173)),"Close before in-house start; ","")&amp;IF(AND(AY173&lt;&gt;"",AS173=""),"In-house start date missing; ","")&amp;IF(AND(AY173&lt;&gt;"",AT173=""),"Qty received missing; ","")&amp;IF(AND(AY173&lt;&gt;"",BF173=""),"QC status missing; ","")&amp;IF(N(AT173)&gt;N(Q173)*1.05,"Received &gt; ordered +5%; ","")&amp;IF(AND(N(AI173)&gt;0,AE173=""),"Payment terms missing; ","")&amp;IF(N(AI173)&gt;N(AD173)+1,"Overpaid vs PO; ","")&amp;IF(AND(N(AK173)&gt;0,AY173&lt;&gt;"",AO173=""),"Payment due date missing; ","")="","OK",IF(AND(A173&lt;&gt;"",OR(B173="",C173="",E173="",F173="",H173="")),"PR info missing; ","")&amp;IF(AND(K173="Approved",OR(J173="",I173="")),"Approval ref/date missing; ","")&amp;IF(AND(O173&lt;&gt;"",K173&lt;&gt;"Approved"),"PO without approval; ","")&amp;IF(AND(O173&lt;&gt;"",OR(P173="",M173="",Q173="",S173="",T173="")),"PO details missing; ","")&amp;IF(AND(O173&lt;&gt;"",AR173=""),"Committed date missing; ","")&amp;IF(AND(ISNUMBER(J173),ISNUMBER(B173),N(J173)&lt;N(B173)),"Approval dated before PR; ","")&amp;IF(AND(ISNUMBER(P173),ISNUMBER(J173),N(P173)&lt;N(J173)),"PO dated before approval; ","")&amp;IF(AND(ISNUMBER(AY173),ISNUMBER(AS173),N(AY173)&lt;N(AS173)),"Close before in-house start; ","")&amp;IF(AND(AY173&lt;&gt;"",AS173=""),"In-house start date missing; ","")&amp;IF(AND(AY173&lt;&gt;"",AT173=""),"Qty received missing; ","")&amp;IF(AND(AY173&lt;&gt;"",BF173=""),"QC status missing; ","")&amp;IF(N(AT173)&gt;N(Q173)*1.05,"Received &gt; ordered +5%; ","")&amp;IF(AND(N(AI173)&gt;0,AE173=""),"Payment terms missing; ","")&amp;IF(N(AI173)&gt;N(AD173)+1,"Overpaid vs PO; ","")&amp;IF(AND(N(AK173)&gt;0,AY173&lt;&gt;"",AO173=""),"Payment due date missing; ","")))</f>
        <v/>
      </c>
      <c r="BK173" s="76" t="str">
        <f aca="false">IF(A173="","",IF(N(AP173)&gt;0,"Pay supplier: "&amp;N(AP173)&amp;" days overdue; ","")&amp;IF(AND(O173&lt;&gt;"",AY173="",N(BD173)&gt;0),"Expedite delivery: "&amp;N(BD173)&amp;" days late; ","")&amp;IF(AND(BI173="Awaiting Approval",ISNUMBER(B173),Settings!$B$4-N(B173)&gt;Settings!$B$19),"Get approval: PR waiting "&amp;(Settings!$B$4-N(B173))&amp;" days; ","")&amp;IF(AND(BI173="Approved - PO Pending",ISNUMBER(J173),Settings!$B$4-N(J173)&gt;Settings!$B$20),"Issue PO: approved "&amp;(Settings!$B$4-N(J173))&amp;" days ago; ","")&amp;IF(AND(OR(BI173="Awaiting Approval",BI173="Approved - PO Pending"),N(AB173)&gt;Settings!$B$7),"Negotiate price: "&amp;TEXT(AB173,"0%")&amp;" above budget; ","")&amp;IF(LEFT(AX173,12)="Short Closed","Short closed: claim balance / credit note"&amp;IF(N(AL173)&gt;0," BDT "&amp;TEXT(AL173,"#,##0"),"")&amp;"; ","")&amp;IF(BF173="Rejected","QC rejected: return / replace; ","")&amp;IF(AND(O173&lt;&gt;"",AY173="",N(AL173)&gt;0,N(BD173)&gt;0),"Advance at risk: BDT "&amp;TEXT(AL173,"#,##0")&amp;" paid, goods late; ","")&amp;IF(AND(BJ173&lt;&gt;"",BJ173&lt;&gt;"OK"),"Fix data entry (see Data Check); ",""))</f>
        <v/>
      </c>
      <c r="BL173" s="73" t="str">
        <f aca="false">IF(BK173="","",IF(OR(N(AP173)&gt;30,AND(AY173="",N(BD173)&gt;15),BF173="Rejected",AND(LEFT(AX173,12)="Short Closed",N(AL173)&gt;0),AND(O173&lt;&gt;"",AY173="",N(AL173)&gt;0,N(BD173)&gt;0)),"High",IF(OR(N(AP173)&gt;0,AND(AY173="",N(BD173)&gt;7),LEFT(AX173,12)="Short Closed",AND(BI173="Awaiting Approval",ISNUMBER(B173),Settings!$B$4-N(B173)&gt;2*Settings!$B$19),AND(BI173="Approved - PO Pending",ISNUMBER(J173),Settings!$B$4-N(J173)&gt;2*Settings!$B$20)),"Medium","Low")))</f>
        <v/>
      </c>
      <c r="BM173" s="77" t="str">
        <f aca="false">IF(BL173="","",IF(BL173="High",1,IF(BL173="Medium",2,3))*10000+ROW())</f>
        <v/>
      </c>
      <c r="BN173" s="62"/>
    </row>
    <row r="174" customFormat="false" ht="18" hidden="false" customHeight="true" outlineLevel="0" collapsed="false">
      <c r="A174" s="60"/>
      <c r="B174" s="61"/>
      <c r="C174" s="62"/>
      <c r="D174" s="62"/>
      <c r="E174" s="62"/>
      <c r="F174" s="62"/>
      <c r="G174" s="62"/>
      <c r="H174" s="60"/>
      <c r="I174" s="60"/>
      <c r="J174" s="61"/>
      <c r="K174" s="60"/>
      <c r="L174" s="60"/>
      <c r="M174" s="62"/>
      <c r="N174" s="60"/>
      <c r="O174" s="60"/>
      <c r="P174" s="61"/>
      <c r="Q174" s="63"/>
      <c r="R174" s="60"/>
      <c r="S174" s="64"/>
      <c r="T174" s="60"/>
      <c r="U174" s="65" t="str">
        <f aca="false">IF(AND(T174="",S174=""),"",IF(T174="",1,IFERROR(INDEX(Settings!$B$12:$B$16,MATCH(T174,Settings!$A$12:$A$16,0)),1)))</f>
        <v/>
      </c>
      <c r="V174" s="64"/>
      <c r="W174" s="66" t="str">
        <f aca="false">IF(OR(Q174="",S174=""),"",Q174*S174*U174)</f>
        <v/>
      </c>
      <c r="X174" s="65" t="str">
        <f aca="false">IF(OR(W174="",N(Q174)=0),"",W174/Q174)</f>
        <v/>
      </c>
      <c r="Y174" s="65" t="str">
        <f aca="false">IF(OR(X174="",P174="",E174=""),"",IF(_xlfn.MAXIFS($P$6:$P$205,$E$6:$E$205,E174,$P$6:$P$205,"&lt;"&amp;P174,$X$6:$X$205,"&gt;0")=0,"",IFERROR(AVERAGEIFS($X$6:$X$205,$E$6:$E$205,E174,$P$6:$P$205,_xlfn.MAXIFS($P$6:$P$205,$E$6:$E$205,E174,$P$6:$P$205,"&lt;"&amp;P174,$X$6:$X$205,"&gt;0"),$X$6:$X$205,"&gt;0"),"")))</f>
        <v/>
      </c>
      <c r="Z174" s="67" t="str">
        <f aca="false">IF(OR(Y174="",X174=""),"",X174/Y174-1)</f>
        <v/>
      </c>
      <c r="AA174" s="68" t="str">
        <f aca="false">IF(OR(W174="",V174=""),"",W174-Q174*V174)</f>
        <v/>
      </c>
      <c r="AB174" s="69" t="str">
        <f aca="false">IF(AA174="","",IF(N(V174)*N(Q174)=0,"",AA174/(Q174*V174)))</f>
        <v/>
      </c>
      <c r="AC174" s="70"/>
      <c r="AD174" s="66" t="str">
        <f aca="false">IF(W174="","",W174*(1+N(AC174)))</f>
        <v/>
      </c>
      <c r="AE174" s="62"/>
      <c r="AF174" s="71"/>
      <c r="AG174" s="71"/>
      <c r="AH174" s="71"/>
      <c r="AI174" s="66" t="str">
        <f aca="false">IF(A174="","",N(AF174)+N(AG174)+N(AH174))</f>
        <v/>
      </c>
      <c r="AJ174" s="72" t="str">
        <f aca="false">IF(AD174="","",IF(N(AD174)=0,"",AI174/AD174))</f>
        <v/>
      </c>
      <c r="AK174" s="66" t="str">
        <f aca="false">IF(AD174="","",IF(AD174-AI174&lt;1,0,ROUND(AD174-AI174,2)))</f>
        <v/>
      </c>
      <c r="AL174" s="66" t="str">
        <f aca="false">IF(OR(O174="",AD174=""),"",MAX(0,ROUND(N(AI174)-(AD174-N(AW174)),0)))</f>
        <v/>
      </c>
      <c r="AM174" s="73" t="str">
        <f aca="false">IF(A174="","",IF(O174="","No PO Yet",IF(AI174=0,"Not Paid",IF(N(AJ174)&gt;=0.999,"Fully Paid",IF(N(AG174)+N(AH174)&gt;0,"Partially Paid","Initial / Advance Paid")))))</f>
        <v/>
      </c>
      <c r="AN174" s="61"/>
      <c r="AO174" s="61"/>
      <c r="AP174" s="74" t="str">
        <f aca="false">IF(AK174="","",IF(OR(N(AK174)=0,AO174=""),"",MAX(0,Settings!$B$4-AO174)))</f>
        <v/>
      </c>
      <c r="AQ174" s="73" t="str">
        <f aca="false">IF(AK174="","",IF(N(AK174)&lt;=0,"",IF(AO174="","No Due Date",IF(Settings!$B$4&lt;=AO174,"Not Yet Due",IF(Settings!$B$4-AO174&lt;=30,"1-30 Days",IF(Settings!$B$4-AO174&lt;=60,"31-60 Days",IF(Settings!$B$4-AO174&lt;=90,"61-90 Days","90+ Days")))))))</f>
        <v/>
      </c>
      <c r="AR174" s="61"/>
      <c r="AS174" s="61"/>
      <c r="AT174" s="63"/>
      <c r="AU174" s="72" t="str">
        <f aca="false">IF(Q174="","",IF(N(Q174)=0,"",N(AT174)/Q174))</f>
        <v/>
      </c>
      <c r="AV174" s="75" t="str">
        <f aca="false">IF(OR(A174="",O174="",Q174=""),"",MAX(0,Q174-N(AT174)))</f>
        <v/>
      </c>
      <c r="AW174" s="66" t="str">
        <f aca="false">IF(OR(AV174="",W174=""),"",IF(N(Q174)=0,0,AV174/Q174*AD174))</f>
        <v/>
      </c>
      <c r="AX174" s="76" t="str">
        <f aca="false">IF(A174="","",IF(O174="","No PO Yet",IF(Q174="","Order Qty Missing",IF(N(AT174)&gt;=Q174,IF(N(AT174)&gt;Q174,"All In-house (+"&amp;TEXT(N(AT174)-Q174,"#,##0")&amp;" "&amp;R174&amp;" excess)","All In-house"),IF(AY174&lt;&gt;"","Short Closed - "&amp;TEXT(AV174,"#,##0")&amp;" "&amp;R174&amp;" not received",IF(N(AT174)=0,"Not Started - "&amp;TEXT(AV174,"#,##0")&amp;" "&amp;R174&amp;" pending","Pending "&amp;TEXT(AV174,"#,##0")&amp;" "&amp;R174&amp;" ("&amp;TEXT(AU174,"0%")&amp;" received)"))))))</f>
        <v/>
      </c>
      <c r="AY174" s="61"/>
      <c r="AZ174" s="77" t="str">
        <f aca="false">IF(OR(B174="",J174=""),"",J174-B174)</f>
        <v/>
      </c>
      <c r="BA174" s="77" t="str">
        <f aca="false">IF(OR(J174="",P174=""),"",P174-J174)</f>
        <v/>
      </c>
      <c r="BB174" s="77" t="str">
        <f aca="false">IF(OR(P174="",AY174=""),"",AY174-P174)</f>
        <v/>
      </c>
      <c r="BC174" s="77" t="str">
        <f aca="false">IF(OR(B174="",AY174=""),"",AY174-B174)</f>
        <v/>
      </c>
      <c r="BD174" s="74" t="str">
        <f aca="false">IF(OR(AR174="",O174=""),"",MAX(0,IF(AY174="",Settings!$B$4,AY174)-AR174))</f>
        <v/>
      </c>
      <c r="BE174" s="73" t="str">
        <f aca="false">IF(OR(AY174="",AR174=""),"",IF(AND(AY174&lt;=AR174,N(AU174)&gt;=Settings!$B$6),"OTIF","Not OTIF"))</f>
        <v/>
      </c>
      <c r="BF174" s="60"/>
      <c r="BG174" s="62"/>
      <c r="BH174" s="78"/>
      <c r="BI174" s="76" t="str">
        <f aca="false">IF(A174="","",IF(K174="Rejected","Rejected",IF(K174&lt;&gt;"Approved","Awaiting Approval",IF(O174="","Approved - PO Pending",IF(AY174&lt;&gt;"",IF(N(AJ174)&gt;=0.999,"Closed","In-house Closed - Payment Due"),IF(AS174&lt;&gt;"","Receiving In-house","PO Issued - Awaiting Delivery"))))))</f>
        <v/>
      </c>
      <c r="BJ174" s="76" t="str">
        <f aca="false">IF(A174="","",IF(IF(AND(A174&lt;&gt;"",OR(B174="",C174="",E174="",F174="",H174="")),"PR info missing; ","")&amp;IF(AND(K174="Approved",OR(J174="",I174="")),"Approval ref/date missing; ","")&amp;IF(AND(O174&lt;&gt;"",K174&lt;&gt;"Approved"),"PO without approval; ","")&amp;IF(AND(O174&lt;&gt;"",OR(P174="",M174="",Q174="",S174="",T174="")),"PO details missing; ","")&amp;IF(AND(O174&lt;&gt;"",AR174=""),"Committed date missing; ","")&amp;IF(AND(ISNUMBER(J174),ISNUMBER(B174),N(J174)&lt;N(B174)),"Approval dated before PR; ","")&amp;IF(AND(ISNUMBER(P174),ISNUMBER(J174),N(P174)&lt;N(J174)),"PO dated before approval; ","")&amp;IF(AND(ISNUMBER(AY174),ISNUMBER(AS174),N(AY174)&lt;N(AS174)),"Close before in-house start; ","")&amp;IF(AND(AY174&lt;&gt;"",AS174=""),"In-house start date missing; ","")&amp;IF(AND(AY174&lt;&gt;"",AT174=""),"Qty received missing; ","")&amp;IF(AND(AY174&lt;&gt;"",BF174=""),"QC status missing; ","")&amp;IF(N(AT174)&gt;N(Q174)*1.05,"Received &gt; ordered +5%; ","")&amp;IF(AND(N(AI174)&gt;0,AE174=""),"Payment terms missing; ","")&amp;IF(N(AI174)&gt;N(AD174)+1,"Overpaid vs PO; ","")&amp;IF(AND(N(AK174)&gt;0,AY174&lt;&gt;"",AO174=""),"Payment due date missing; ","")="","OK",IF(AND(A174&lt;&gt;"",OR(B174="",C174="",E174="",F174="",H174="")),"PR info missing; ","")&amp;IF(AND(K174="Approved",OR(J174="",I174="")),"Approval ref/date missing; ","")&amp;IF(AND(O174&lt;&gt;"",K174&lt;&gt;"Approved"),"PO without approval; ","")&amp;IF(AND(O174&lt;&gt;"",OR(P174="",M174="",Q174="",S174="",T174="")),"PO details missing; ","")&amp;IF(AND(O174&lt;&gt;"",AR174=""),"Committed date missing; ","")&amp;IF(AND(ISNUMBER(J174),ISNUMBER(B174),N(J174)&lt;N(B174)),"Approval dated before PR; ","")&amp;IF(AND(ISNUMBER(P174),ISNUMBER(J174),N(P174)&lt;N(J174)),"PO dated before approval; ","")&amp;IF(AND(ISNUMBER(AY174),ISNUMBER(AS174),N(AY174)&lt;N(AS174)),"Close before in-house start; ","")&amp;IF(AND(AY174&lt;&gt;"",AS174=""),"In-house start date missing; ","")&amp;IF(AND(AY174&lt;&gt;"",AT174=""),"Qty received missing; ","")&amp;IF(AND(AY174&lt;&gt;"",BF174=""),"QC status missing; ","")&amp;IF(N(AT174)&gt;N(Q174)*1.05,"Received &gt; ordered +5%; ","")&amp;IF(AND(N(AI174)&gt;0,AE174=""),"Payment terms missing; ","")&amp;IF(N(AI174)&gt;N(AD174)+1,"Overpaid vs PO; ","")&amp;IF(AND(N(AK174)&gt;0,AY174&lt;&gt;"",AO174=""),"Payment due date missing; ","")))</f>
        <v/>
      </c>
      <c r="BK174" s="76" t="str">
        <f aca="false">IF(A174="","",IF(N(AP174)&gt;0,"Pay supplier: "&amp;N(AP174)&amp;" days overdue; ","")&amp;IF(AND(O174&lt;&gt;"",AY174="",N(BD174)&gt;0),"Expedite delivery: "&amp;N(BD174)&amp;" days late; ","")&amp;IF(AND(BI174="Awaiting Approval",ISNUMBER(B174),Settings!$B$4-N(B174)&gt;Settings!$B$19),"Get approval: PR waiting "&amp;(Settings!$B$4-N(B174))&amp;" days; ","")&amp;IF(AND(BI174="Approved - PO Pending",ISNUMBER(J174),Settings!$B$4-N(J174)&gt;Settings!$B$20),"Issue PO: approved "&amp;(Settings!$B$4-N(J174))&amp;" days ago; ","")&amp;IF(AND(OR(BI174="Awaiting Approval",BI174="Approved - PO Pending"),N(AB174)&gt;Settings!$B$7),"Negotiate price: "&amp;TEXT(AB174,"0%")&amp;" above budget; ","")&amp;IF(LEFT(AX174,12)="Short Closed","Short closed: claim balance / credit note"&amp;IF(N(AL174)&gt;0," BDT "&amp;TEXT(AL174,"#,##0"),"")&amp;"; ","")&amp;IF(BF174="Rejected","QC rejected: return / replace; ","")&amp;IF(AND(O174&lt;&gt;"",AY174="",N(AL174)&gt;0,N(BD174)&gt;0),"Advance at risk: BDT "&amp;TEXT(AL174,"#,##0")&amp;" paid, goods late; ","")&amp;IF(AND(BJ174&lt;&gt;"",BJ174&lt;&gt;"OK"),"Fix data entry (see Data Check); ",""))</f>
        <v/>
      </c>
      <c r="BL174" s="73" t="str">
        <f aca="false">IF(BK174="","",IF(OR(N(AP174)&gt;30,AND(AY174="",N(BD174)&gt;15),BF174="Rejected",AND(LEFT(AX174,12)="Short Closed",N(AL174)&gt;0),AND(O174&lt;&gt;"",AY174="",N(AL174)&gt;0,N(BD174)&gt;0)),"High",IF(OR(N(AP174)&gt;0,AND(AY174="",N(BD174)&gt;7),LEFT(AX174,12)="Short Closed",AND(BI174="Awaiting Approval",ISNUMBER(B174),Settings!$B$4-N(B174)&gt;2*Settings!$B$19),AND(BI174="Approved - PO Pending",ISNUMBER(J174),Settings!$B$4-N(J174)&gt;2*Settings!$B$20)),"Medium","Low")))</f>
        <v/>
      </c>
      <c r="BM174" s="77" t="str">
        <f aca="false">IF(BL174="","",IF(BL174="High",1,IF(BL174="Medium",2,3))*10000+ROW())</f>
        <v/>
      </c>
      <c r="BN174" s="62"/>
    </row>
    <row r="175" customFormat="false" ht="18" hidden="false" customHeight="true" outlineLevel="0" collapsed="false">
      <c r="A175" s="60"/>
      <c r="B175" s="61"/>
      <c r="C175" s="62"/>
      <c r="D175" s="62"/>
      <c r="E175" s="62"/>
      <c r="F175" s="62"/>
      <c r="G175" s="62"/>
      <c r="H175" s="60"/>
      <c r="I175" s="60"/>
      <c r="J175" s="61"/>
      <c r="K175" s="60"/>
      <c r="L175" s="60"/>
      <c r="M175" s="62"/>
      <c r="N175" s="60"/>
      <c r="O175" s="60"/>
      <c r="P175" s="61"/>
      <c r="Q175" s="63"/>
      <c r="R175" s="60"/>
      <c r="S175" s="64"/>
      <c r="T175" s="60"/>
      <c r="U175" s="65" t="str">
        <f aca="false">IF(AND(T175="",S175=""),"",IF(T175="",1,IFERROR(INDEX(Settings!$B$12:$B$16,MATCH(T175,Settings!$A$12:$A$16,0)),1)))</f>
        <v/>
      </c>
      <c r="V175" s="64"/>
      <c r="W175" s="66" t="str">
        <f aca="false">IF(OR(Q175="",S175=""),"",Q175*S175*U175)</f>
        <v/>
      </c>
      <c r="X175" s="65" t="str">
        <f aca="false">IF(OR(W175="",N(Q175)=0),"",W175/Q175)</f>
        <v/>
      </c>
      <c r="Y175" s="65" t="str">
        <f aca="false">IF(OR(X175="",P175="",E175=""),"",IF(_xlfn.MAXIFS($P$6:$P$205,$E$6:$E$205,E175,$P$6:$P$205,"&lt;"&amp;P175,$X$6:$X$205,"&gt;0")=0,"",IFERROR(AVERAGEIFS($X$6:$X$205,$E$6:$E$205,E175,$P$6:$P$205,_xlfn.MAXIFS($P$6:$P$205,$E$6:$E$205,E175,$P$6:$P$205,"&lt;"&amp;P175,$X$6:$X$205,"&gt;0"),$X$6:$X$205,"&gt;0"),"")))</f>
        <v/>
      </c>
      <c r="Z175" s="67" t="str">
        <f aca="false">IF(OR(Y175="",X175=""),"",X175/Y175-1)</f>
        <v/>
      </c>
      <c r="AA175" s="68" t="str">
        <f aca="false">IF(OR(W175="",V175=""),"",W175-Q175*V175)</f>
        <v/>
      </c>
      <c r="AB175" s="69" t="str">
        <f aca="false">IF(AA175="","",IF(N(V175)*N(Q175)=0,"",AA175/(Q175*V175)))</f>
        <v/>
      </c>
      <c r="AC175" s="70"/>
      <c r="AD175" s="66" t="str">
        <f aca="false">IF(W175="","",W175*(1+N(AC175)))</f>
        <v/>
      </c>
      <c r="AE175" s="62"/>
      <c r="AF175" s="71"/>
      <c r="AG175" s="71"/>
      <c r="AH175" s="71"/>
      <c r="AI175" s="66" t="str">
        <f aca="false">IF(A175="","",N(AF175)+N(AG175)+N(AH175))</f>
        <v/>
      </c>
      <c r="AJ175" s="72" t="str">
        <f aca="false">IF(AD175="","",IF(N(AD175)=0,"",AI175/AD175))</f>
        <v/>
      </c>
      <c r="AK175" s="66" t="str">
        <f aca="false">IF(AD175="","",IF(AD175-AI175&lt;1,0,ROUND(AD175-AI175,2)))</f>
        <v/>
      </c>
      <c r="AL175" s="66" t="str">
        <f aca="false">IF(OR(O175="",AD175=""),"",MAX(0,ROUND(N(AI175)-(AD175-N(AW175)),0)))</f>
        <v/>
      </c>
      <c r="AM175" s="73" t="str">
        <f aca="false">IF(A175="","",IF(O175="","No PO Yet",IF(AI175=0,"Not Paid",IF(N(AJ175)&gt;=0.999,"Fully Paid",IF(N(AG175)+N(AH175)&gt;0,"Partially Paid","Initial / Advance Paid")))))</f>
        <v/>
      </c>
      <c r="AN175" s="61"/>
      <c r="AO175" s="61"/>
      <c r="AP175" s="74" t="str">
        <f aca="false">IF(AK175="","",IF(OR(N(AK175)=0,AO175=""),"",MAX(0,Settings!$B$4-AO175)))</f>
        <v/>
      </c>
      <c r="AQ175" s="73" t="str">
        <f aca="false">IF(AK175="","",IF(N(AK175)&lt;=0,"",IF(AO175="","No Due Date",IF(Settings!$B$4&lt;=AO175,"Not Yet Due",IF(Settings!$B$4-AO175&lt;=30,"1-30 Days",IF(Settings!$B$4-AO175&lt;=60,"31-60 Days",IF(Settings!$B$4-AO175&lt;=90,"61-90 Days","90+ Days")))))))</f>
        <v/>
      </c>
      <c r="AR175" s="61"/>
      <c r="AS175" s="61"/>
      <c r="AT175" s="63"/>
      <c r="AU175" s="72" t="str">
        <f aca="false">IF(Q175="","",IF(N(Q175)=0,"",N(AT175)/Q175))</f>
        <v/>
      </c>
      <c r="AV175" s="75" t="str">
        <f aca="false">IF(OR(A175="",O175="",Q175=""),"",MAX(0,Q175-N(AT175)))</f>
        <v/>
      </c>
      <c r="AW175" s="66" t="str">
        <f aca="false">IF(OR(AV175="",W175=""),"",IF(N(Q175)=0,0,AV175/Q175*AD175))</f>
        <v/>
      </c>
      <c r="AX175" s="76" t="str">
        <f aca="false">IF(A175="","",IF(O175="","No PO Yet",IF(Q175="","Order Qty Missing",IF(N(AT175)&gt;=Q175,IF(N(AT175)&gt;Q175,"All In-house (+"&amp;TEXT(N(AT175)-Q175,"#,##0")&amp;" "&amp;R175&amp;" excess)","All In-house"),IF(AY175&lt;&gt;"","Short Closed - "&amp;TEXT(AV175,"#,##0")&amp;" "&amp;R175&amp;" not received",IF(N(AT175)=0,"Not Started - "&amp;TEXT(AV175,"#,##0")&amp;" "&amp;R175&amp;" pending","Pending "&amp;TEXT(AV175,"#,##0")&amp;" "&amp;R175&amp;" ("&amp;TEXT(AU175,"0%")&amp;" received)"))))))</f>
        <v/>
      </c>
      <c r="AY175" s="61"/>
      <c r="AZ175" s="77" t="str">
        <f aca="false">IF(OR(B175="",J175=""),"",J175-B175)</f>
        <v/>
      </c>
      <c r="BA175" s="77" t="str">
        <f aca="false">IF(OR(J175="",P175=""),"",P175-J175)</f>
        <v/>
      </c>
      <c r="BB175" s="77" t="str">
        <f aca="false">IF(OR(P175="",AY175=""),"",AY175-P175)</f>
        <v/>
      </c>
      <c r="BC175" s="77" t="str">
        <f aca="false">IF(OR(B175="",AY175=""),"",AY175-B175)</f>
        <v/>
      </c>
      <c r="BD175" s="74" t="str">
        <f aca="false">IF(OR(AR175="",O175=""),"",MAX(0,IF(AY175="",Settings!$B$4,AY175)-AR175))</f>
        <v/>
      </c>
      <c r="BE175" s="73" t="str">
        <f aca="false">IF(OR(AY175="",AR175=""),"",IF(AND(AY175&lt;=AR175,N(AU175)&gt;=Settings!$B$6),"OTIF","Not OTIF"))</f>
        <v/>
      </c>
      <c r="BF175" s="60"/>
      <c r="BG175" s="62"/>
      <c r="BH175" s="78"/>
      <c r="BI175" s="76" t="str">
        <f aca="false">IF(A175="","",IF(K175="Rejected","Rejected",IF(K175&lt;&gt;"Approved","Awaiting Approval",IF(O175="","Approved - PO Pending",IF(AY175&lt;&gt;"",IF(N(AJ175)&gt;=0.999,"Closed","In-house Closed - Payment Due"),IF(AS175&lt;&gt;"","Receiving In-house","PO Issued - Awaiting Delivery"))))))</f>
        <v/>
      </c>
      <c r="BJ175" s="76" t="str">
        <f aca="false">IF(A175="","",IF(IF(AND(A175&lt;&gt;"",OR(B175="",C175="",E175="",F175="",H175="")),"PR info missing; ","")&amp;IF(AND(K175="Approved",OR(J175="",I175="")),"Approval ref/date missing; ","")&amp;IF(AND(O175&lt;&gt;"",K175&lt;&gt;"Approved"),"PO without approval; ","")&amp;IF(AND(O175&lt;&gt;"",OR(P175="",M175="",Q175="",S175="",T175="")),"PO details missing; ","")&amp;IF(AND(O175&lt;&gt;"",AR175=""),"Committed date missing; ","")&amp;IF(AND(ISNUMBER(J175),ISNUMBER(B175),N(J175)&lt;N(B175)),"Approval dated before PR; ","")&amp;IF(AND(ISNUMBER(P175),ISNUMBER(J175),N(P175)&lt;N(J175)),"PO dated before approval; ","")&amp;IF(AND(ISNUMBER(AY175),ISNUMBER(AS175),N(AY175)&lt;N(AS175)),"Close before in-house start; ","")&amp;IF(AND(AY175&lt;&gt;"",AS175=""),"In-house start date missing; ","")&amp;IF(AND(AY175&lt;&gt;"",AT175=""),"Qty received missing; ","")&amp;IF(AND(AY175&lt;&gt;"",BF175=""),"QC status missing; ","")&amp;IF(N(AT175)&gt;N(Q175)*1.05,"Received &gt; ordered +5%; ","")&amp;IF(AND(N(AI175)&gt;0,AE175=""),"Payment terms missing; ","")&amp;IF(N(AI175)&gt;N(AD175)+1,"Overpaid vs PO; ","")&amp;IF(AND(N(AK175)&gt;0,AY175&lt;&gt;"",AO175=""),"Payment due date missing; ","")="","OK",IF(AND(A175&lt;&gt;"",OR(B175="",C175="",E175="",F175="",H175="")),"PR info missing; ","")&amp;IF(AND(K175="Approved",OR(J175="",I175="")),"Approval ref/date missing; ","")&amp;IF(AND(O175&lt;&gt;"",K175&lt;&gt;"Approved"),"PO without approval; ","")&amp;IF(AND(O175&lt;&gt;"",OR(P175="",M175="",Q175="",S175="",T175="")),"PO details missing; ","")&amp;IF(AND(O175&lt;&gt;"",AR175=""),"Committed date missing; ","")&amp;IF(AND(ISNUMBER(J175),ISNUMBER(B175),N(J175)&lt;N(B175)),"Approval dated before PR; ","")&amp;IF(AND(ISNUMBER(P175),ISNUMBER(J175),N(P175)&lt;N(J175)),"PO dated before approval; ","")&amp;IF(AND(ISNUMBER(AY175),ISNUMBER(AS175),N(AY175)&lt;N(AS175)),"Close before in-house start; ","")&amp;IF(AND(AY175&lt;&gt;"",AS175=""),"In-house start date missing; ","")&amp;IF(AND(AY175&lt;&gt;"",AT175=""),"Qty received missing; ","")&amp;IF(AND(AY175&lt;&gt;"",BF175=""),"QC status missing; ","")&amp;IF(N(AT175)&gt;N(Q175)*1.05,"Received &gt; ordered +5%; ","")&amp;IF(AND(N(AI175)&gt;0,AE175=""),"Payment terms missing; ","")&amp;IF(N(AI175)&gt;N(AD175)+1,"Overpaid vs PO; ","")&amp;IF(AND(N(AK175)&gt;0,AY175&lt;&gt;"",AO175=""),"Payment due date missing; ","")))</f>
        <v/>
      </c>
      <c r="BK175" s="76" t="str">
        <f aca="false">IF(A175="","",IF(N(AP175)&gt;0,"Pay supplier: "&amp;N(AP175)&amp;" days overdue; ","")&amp;IF(AND(O175&lt;&gt;"",AY175="",N(BD175)&gt;0),"Expedite delivery: "&amp;N(BD175)&amp;" days late; ","")&amp;IF(AND(BI175="Awaiting Approval",ISNUMBER(B175),Settings!$B$4-N(B175)&gt;Settings!$B$19),"Get approval: PR waiting "&amp;(Settings!$B$4-N(B175))&amp;" days; ","")&amp;IF(AND(BI175="Approved - PO Pending",ISNUMBER(J175),Settings!$B$4-N(J175)&gt;Settings!$B$20),"Issue PO: approved "&amp;(Settings!$B$4-N(J175))&amp;" days ago; ","")&amp;IF(AND(OR(BI175="Awaiting Approval",BI175="Approved - PO Pending"),N(AB175)&gt;Settings!$B$7),"Negotiate price: "&amp;TEXT(AB175,"0%")&amp;" above budget; ","")&amp;IF(LEFT(AX175,12)="Short Closed","Short closed: claim balance / credit note"&amp;IF(N(AL175)&gt;0," BDT "&amp;TEXT(AL175,"#,##0"),"")&amp;"; ","")&amp;IF(BF175="Rejected","QC rejected: return / replace; ","")&amp;IF(AND(O175&lt;&gt;"",AY175="",N(AL175)&gt;0,N(BD175)&gt;0),"Advance at risk: BDT "&amp;TEXT(AL175,"#,##0")&amp;" paid, goods late; ","")&amp;IF(AND(BJ175&lt;&gt;"",BJ175&lt;&gt;"OK"),"Fix data entry (see Data Check); ",""))</f>
        <v/>
      </c>
      <c r="BL175" s="73" t="str">
        <f aca="false">IF(BK175="","",IF(OR(N(AP175)&gt;30,AND(AY175="",N(BD175)&gt;15),BF175="Rejected",AND(LEFT(AX175,12)="Short Closed",N(AL175)&gt;0),AND(O175&lt;&gt;"",AY175="",N(AL175)&gt;0,N(BD175)&gt;0)),"High",IF(OR(N(AP175)&gt;0,AND(AY175="",N(BD175)&gt;7),LEFT(AX175,12)="Short Closed",AND(BI175="Awaiting Approval",ISNUMBER(B175),Settings!$B$4-N(B175)&gt;2*Settings!$B$19),AND(BI175="Approved - PO Pending",ISNUMBER(J175),Settings!$B$4-N(J175)&gt;2*Settings!$B$20)),"Medium","Low")))</f>
        <v/>
      </c>
      <c r="BM175" s="77" t="str">
        <f aca="false">IF(BL175="","",IF(BL175="High",1,IF(BL175="Medium",2,3))*10000+ROW())</f>
        <v/>
      </c>
      <c r="BN175" s="62"/>
    </row>
    <row r="176" customFormat="false" ht="18" hidden="false" customHeight="true" outlineLevel="0" collapsed="false">
      <c r="A176" s="60"/>
      <c r="B176" s="61"/>
      <c r="C176" s="62"/>
      <c r="D176" s="62"/>
      <c r="E176" s="62"/>
      <c r="F176" s="62"/>
      <c r="G176" s="62"/>
      <c r="H176" s="60"/>
      <c r="I176" s="60"/>
      <c r="J176" s="61"/>
      <c r="K176" s="60"/>
      <c r="L176" s="60"/>
      <c r="M176" s="62"/>
      <c r="N176" s="60"/>
      <c r="O176" s="60"/>
      <c r="P176" s="61"/>
      <c r="Q176" s="63"/>
      <c r="R176" s="60"/>
      <c r="S176" s="64"/>
      <c r="T176" s="60"/>
      <c r="U176" s="65" t="str">
        <f aca="false">IF(AND(T176="",S176=""),"",IF(T176="",1,IFERROR(INDEX(Settings!$B$12:$B$16,MATCH(T176,Settings!$A$12:$A$16,0)),1)))</f>
        <v/>
      </c>
      <c r="V176" s="64"/>
      <c r="W176" s="66" t="str">
        <f aca="false">IF(OR(Q176="",S176=""),"",Q176*S176*U176)</f>
        <v/>
      </c>
      <c r="X176" s="65" t="str">
        <f aca="false">IF(OR(W176="",N(Q176)=0),"",W176/Q176)</f>
        <v/>
      </c>
      <c r="Y176" s="65" t="str">
        <f aca="false">IF(OR(X176="",P176="",E176=""),"",IF(_xlfn.MAXIFS($P$6:$P$205,$E$6:$E$205,E176,$P$6:$P$205,"&lt;"&amp;P176,$X$6:$X$205,"&gt;0")=0,"",IFERROR(AVERAGEIFS($X$6:$X$205,$E$6:$E$205,E176,$P$6:$P$205,_xlfn.MAXIFS($P$6:$P$205,$E$6:$E$205,E176,$P$6:$P$205,"&lt;"&amp;P176,$X$6:$X$205,"&gt;0"),$X$6:$X$205,"&gt;0"),"")))</f>
        <v/>
      </c>
      <c r="Z176" s="67" t="str">
        <f aca="false">IF(OR(Y176="",X176=""),"",X176/Y176-1)</f>
        <v/>
      </c>
      <c r="AA176" s="68" t="str">
        <f aca="false">IF(OR(W176="",V176=""),"",W176-Q176*V176)</f>
        <v/>
      </c>
      <c r="AB176" s="69" t="str">
        <f aca="false">IF(AA176="","",IF(N(V176)*N(Q176)=0,"",AA176/(Q176*V176)))</f>
        <v/>
      </c>
      <c r="AC176" s="70"/>
      <c r="AD176" s="66" t="str">
        <f aca="false">IF(W176="","",W176*(1+N(AC176)))</f>
        <v/>
      </c>
      <c r="AE176" s="62"/>
      <c r="AF176" s="71"/>
      <c r="AG176" s="71"/>
      <c r="AH176" s="71"/>
      <c r="AI176" s="66" t="str">
        <f aca="false">IF(A176="","",N(AF176)+N(AG176)+N(AH176))</f>
        <v/>
      </c>
      <c r="AJ176" s="72" t="str">
        <f aca="false">IF(AD176="","",IF(N(AD176)=0,"",AI176/AD176))</f>
        <v/>
      </c>
      <c r="AK176" s="66" t="str">
        <f aca="false">IF(AD176="","",IF(AD176-AI176&lt;1,0,ROUND(AD176-AI176,2)))</f>
        <v/>
      </c>
      <c r="AL176" s="66" t="str">
        <f aca="false">IF(OR(O176="",AD176=""),"",MAX(0,ROUND(N(AI176)-(AD176-N(AW176)),0)))</f>
        <v/>
      </c>
      <c r="AM176" s="73" t="str">
        <f aca="false">IF(A176="","",IF(O176="","No PO Yet",IF(AI176=0,"Not Paid",IF(N(AJ176)&gt;=0.999,"Fully Paid",IF(N(AG176)+N(AH176)&gt;0,"Partially Paid","Initial / Advance Paid")))))</f>
        <v/>
      </c>
      <c r="AN176" s="61"/>
      <c r="AO176" s="61"/>
      <c r="AP176" s="74" t="str">
        <f aca="false">IF(AK176="","",IF(OR(N(AK176)=0,AO176=""),"",MAX(0,Settings!$B$4-AO176)))</f>
        <v/>
      </c>
      <c r="AQ176" s="73" t="str">
        <f aca="false">IF(AK176="","",IF(N(AK176)&lt;=0,"",IF(AO176="","No Due Date",IF(Settings!$B$4&lt;=AO176,"Not Yet Due",IF(Settings!$B$4-AO176&lt;=30,"1-30 Days",IF(Settings!$B$4-AO176&lt;=60,"31-60 Days",IF(Settings!$B$4-AO176&lt;=90,"61-90 Days","90+ Days")))))))</f>
        <v/>
      </c>
      <c r="AR176" s="61"/>
      <c r="AS176" s="61"/>
      <c r="AT176" s="63"/>
      <c r="AU176" s="72" t="str">
        <f aca="false">IF(Q176="","",IF(N(Q176)=0,"",N(AT176)/Q176))</f>
        <v/>
      </c>
      <c r="AV176" s="75" t="str">
        <f aca="false">IF(OR(A176="",O176="",Q176=""),"",MAX(0,Q176-N(AT176)))</f>
        <v/>
      </c>
      <c r="AW176" s="66" t="str">
        <f aca="false">IF(OR(AV176="",W176=""),"",IF(N(Q176)=0,0,AV176/Q176*AD176))</f>
        <v/>
      </c>
      <c r="AX176" s="76" t="str">
        <f aca="false">IF(A176="","",IF(O176="","No PO Yet",IF(Q176="","Order Qty Missing",IF(N(AT176)&gt;=Q176,IF(N(AT176)&gt;Q176,"All In-house (+"&amp;TEXT(N(AT176)-Q176,"#,##0")&amp;" "&amp;R176&amp;" excess)","All In-house"),IF(AY176&lt;&gt;"","Short Closed - "&amp;TEXT(AV176,"#,##0")&amp;" "&amp;R176&amp;" not received",IF(N(AT176)=0,"Not Started - "&amp;TEXT(AV176,"#,##0")&amp;" "&amp;R176&amp;" pending","Pending "&amp;TEXT(AV176,"#,##0")&amp;" "&amp;R176&amp;" ("&amp;TEXT(AU176,"0%")&amp;" received)"))))))</f>
        <v/>
      </c>
      <c r="AY176" s="61"/>
      <c r="AZ176" s="77" t="str">
        <f aca="false">IF(OR(B176="",J176=""),"",J176-B176)</f>
        <v/>
      </c>
      <c r="BA176" s="77" t="str">
        <f aca="false">IF(OR(J176="",P176=""),"",P176-J176)</f>
        <v/>
      </c>
      <c r="BB176" s="77" t="str">
        <f aca="false">IF(OR(P176="",AY176=""),"",AY176-P176)</f>
        <v/>
      </c>
      <c r="BC176" s="77" t="str">
        <f aca="false">IF(OR(B176="",AY176=""),"",AY176-B176)</f>
        <v/>
      </c>
      <c r="BD176" s="74" t="str">
        <f aca="false">IF(OR(AR176="",O176=""),"",MAX(0,IF(AY176="",Settings!$B$4,AY176)-AR176))</f>
        <v/>
      </c>
      <c r="BE176" s="73" t="str">
        <f aca="false">IF(OR(AY176="",AR176=""),"",IF(AND(AY176&lt;=AR176,N(AU176)&gt;=Settings!$B$6),"OTIF","Not OTIF"))</f>
        <v/>
      </c>
      <c r="BF176" s="60"/>
      <c r="BG176" s="62"/>
      <c r="BH176" s="78"/>
      <c r="BI176" s="76" t="str">
        <f aca="false">IF(A176="","",IF(K176="Rejected","Rejected",IF(K176&lt;&gt;"Approved","Awaiting Approval",IF(O176="","Approved - PO Pending",IF(AY176&lt;&gt;"",IF(N(AJ176)&gt;=0.999,"Closed","In-house Closed - Payment Due"),IF(AS176&lt;&gt;"","Receiving In-house","PO Issued - Awaiting Delivery"))))))</f>
        <v/>
      </c>
      <c r="BJ176" s="76" t="str">
        <f aca="false">IF(A176="","",IF(IF(AND(A176&lt;&gt;"",OR(B176="",C176="",E176="",F176="",H176="")),"PR info missing; ","")&amp;IF(AND(K176="Approved",OR(J176="",I176="")),"Approval ref/date missing; ","")&amp;IF(AND(O176&lt;&gt;"",K176&lt;&gt;"Approved"),"PO without approval; ","")&amp;IF(AND(O176&lt;&gt;"",OR(P176="",M176="",Q176="",S176="",T176="")),"PO details missing; ","")&amp;IF(AND(O176&lt;&gt;"",AR176=""),"Committed date missing; ","")&amp;IF(AND(ISNUMBER(J176),ISNUMBER(B176),N(J176)&lt;N(B176)),"Approval dated before PR; ","")&amp;IF(AND(ISNUMBER(P176),ISNUMBER(J176),N(P176)&lt;N(J176)),"PO dated before approval; ","")&amp;IF(AND(ISNUMBER(AY176),ISNUMBER(AS176),N(AY176)&lt;N(AS176)),"Close before in-house start; ","")&amp;IF(AND(AY176&lt;&gt;"",AS176=""),"In-house start date missing; ","")&amp;IF(AND(AY176&lt;&gt;"",AT176=""),"Qty received missing; ","")&amp;IF(AND(AY176&lt;&gt;"",BF176=""),"QC status missing; ","")&amp;IF(N(AT176)&gt;N(Q176)*1.05,"Received &gt; ordered +5%; ","")&amp;IF(AND(N(AI176)&gt;0,AE176=""),"Payment terms missing; ","")&amp;IF(N(AI176)&gt;N(AD176)+1,"Overpaid vs PO; ","")&amp;IF(AND(N(AK176)&gt;0,AY176&lt;&gt;"",AO176=""),"Payment due date missing; ","")="","OK",IF(AND(A176&lt;&gt;"",OR(B176="",C176="",E176="",F176="",H176="")),"PR info missing; ","")&amp;IF(AND(K176="Approved",OR(J176="",I176="")),"Approval ref/date missing; ","")&amp;IF(AND(O176&lt;&gt;"",K176&lt;&gt;"Approved"),"PO without approval; ","")&amp;IF(AND(O176&lt;&gt;"",OR(P176="",M176="",Q176="",S176="",T176="")),"PO details missing; ","")&amp;IF(AND(O176&lt;&gt;"",AR176=""),"Committed date missing; ","")&amp;IF(AND(ISNUMBER(J176),ISNUMBER(B176),N(J176)&lt;N(B176)),"Approval dated before PR; ","")&amp;IF(AND(ISNUMBER(P176),ISNUMBER(J176),N(P176)&lt;N(J176)),"PO dated before approval; ","")&amp;IF(AND(ISNUMBER(AY176),ISNUMBER(AS176),N(AY176)&lt;N(AS176)),"Close before in-house start; ","")&amp;IF(AND(AY176&lt;&gt;"",AS176=""),"In-house start date missing; ","")&amp;IF(AND(AY176&lt;&gt;"",AT176=""),"Qty received missing; ","")&amp;IF(AND(AY176&lt;&gt;"",BF176=""),"QC status missing; ","")&amp;IF(N(AT176)&gt;N(Q176)*1.05,"Received &gt; ordered +5%; ","")&amp;IF(AND(N(AI176)&gt;0,AE176=""),"Payment terms missing; ","")&amp;IF(N(AI176)&gt;N(AD176)+1,"Overpaid vs PO; ","")&amp;IF(AND(N(AK176)&gt;0,AY176&lt;&gt;"",AO176=""),"Payment due date missing; ","")))</f>
        <v/>
      </c>
      <c r="BK176" s="76" t="str">
        <f aca="false">IF(A176="","",IF(N(AP176)&gt;0,"Pay supplier: "&amp;N(AP176)&amp;" days overdue; ","")&amp;IF(AND(O176&lt;&gt;"",AY176="",N(BD176)&gt;0),"Expedite delivery: "&amp;N(BD176)&amp;" days late; ","")&amp;IF(AND(BI176="Awaiting Approval",ISNUMBER(B176),Settings!$B$4-N(B176)&gt;Settings!$B$19),"Get approval: PR waiting "&amp;(Settings!$B$4-N(B176))&amp;" days; ","")&amp;IF(AND(BI176="Approved - PO Pending",ISNUMBER(J176),Settings!$B$4-N(J176)&gt;Settings!$B$20),"Issue PO: approved "&amp;(Settings!$B$4-N(J176))&amp;" days ago; ","")&amp;IF(AND(OR(BI176="Awaiting Approval",BI176="Approved - PO Pending"),N(AB176)&gt;Settings!$B$7),"Negotiate price: "&amp;TEXT(AB176,"0%")&amp;" above budget; ","")&amp;IF(LEFT(AX176,12)="Short Closed","Short closed: claim balance / credit note"&amp;IF(N(AL176)&gt;0," BDT "&amp;TEXT(AL176,"#,##0"),"")&amp;"; ","")&amp;IF(BF176="Rejected","QC rejected: return / replace; ","")&amp;IF(AND(O176&lt;&gt;"",AY176="",N(AL176)&gt;0,N(BD176)&gt;0),"Advance at risk: BDT "&amp;TEXT(AL176,"#,##0")&amp;" paid, goods late; ","")&amp;IF(AND(BJ176&lt;&gt;"",BJ176&lt;&gt;"OK"),"Fix data entry (see Data Check); ",""))</f>
        <v/>
      </c>
      <c r="BL176" s="73" t="str">
        <f aca="false">IF(BK176="","",IF(OR(N(AP176)&gt;30,AND(AY176="",N(BD176)&gt;15),BF176="Rejected",AND(LEFT(AX176,12)="Short Closed",N(AL176)&gt;0),AND(O176&lt;&gt;"",AY176="",N(AL176)&gt;0,N(BD176)&gt;0)),"High",IF(OR(N(AP176)&gt;0,AND(AY176="",N(BD176)&gt;7),LEFT(AX176,12)="Short Closed",AND(BI176="Awaiting Approval",ISNUMBER(B176),Settings!$B$4-N(B176)&gt;2*Settings!$B$19),AND(BI176="Approved - PO Pending",ISNUMBER(J176),Settings!$B$4-N(J176)&gt;2*Settings!$B$20)),"Medium","Low")))</f>
        <v/>
      </c>
      <c r="BM176" s="77" t="str">
        <f aca="false">IF(BL176="","",IF(BL176="High",1,IF(BL176="Medium",2,3))*10000+ROW())</f>
        <v/>
      </c>
      <c r="BN176" s="62"/>
    </row>
    <row r="177" customFormat="false" ht="18" hidden="false" customHeight="true" outlineLevel="0" collapsed="false">
      <c r="A177" s="60"/>
      <c r="B177" s="61"/>
      <c r="C177" s="62"/>
      <c r="D177" s="62"/>
      <c r="E177" s="62"/>
      <c r="F177" s="62"/>
      <c r="G177" s="62"/>
      <c r="H177" s="60"/>
      <c r="I177" s="60"/>
      <c r="J177" s="61"/>
      <c r="K177" s="60"/>
      <c r="L177" s="60"/>
      <c r="M177" s="62"/>
      <c r="N177" s="60"/>
      <c r="O177" s="60"/>
      <c r="P177" s="61"/>
      <c r="Q177" s="63"/>
      <c r="R177" s="60"/>
      <c r="S177" s="64"/>
      <c r="T177" s="60"/>
      <c r="U177" s="65" t="str">
        <f aca="false">IF(AND(T177="",S177=""),"",IF(T177="",1,IFERROR(INDEX(Settings!$B$12:$B$16,MATCH(T177,Settings!$A$12:$A$16,0)),1)))</f>
        <v/>
      </c>
      <c r="V177" s="64"/>
      <c r="W177" s="66" t="str">
        <f aca="false">IF(OR(Q177="",S177=""),"",Q177*S177*U177)</f>
        <v/>
      </c>
      <c r="X177" s="65" t="str">
        <f aca="false">IF(OR(W177="",N(Q177)=0),"",W177/Q177)</f>
        <v/>
      </c>
      <c r="Y177" s="65" t="str">
        <f aca="false">IF(OR(X177="",P177="",E177=""),"",IF(_xlfn.MAXIFS($P$6:$P$205,$E$6:$E$205,E177,$P$6:$P$205,"&lt;"&amp;P177,$X$6:$X$205,"&gt;0")=0,"",IFERROR(AVERAGEIFS($X$6:$X$205,$E$6:$E$205,E177,$P$6:$P$205,_xlfn.MAXIFS($P$6:$P$205,$E$6:$E$205,E177,$P$6:$P$205,"&lt;"&amp;P177,$X$6:$X$205,"&gt;0"),$X$6:$X$205,"&gt;0"),"")))</f>
        <v/>
      </c>
      <c r="Z177" s="67" t="str">
        <f aca="false">IF(OR(Y177="",X177=""),"",X177/Y177-1)</f>
        <v/>
      </c>
      <c r="AA177" s="68" t="str">
        <f aca="false">IF(OR(W177="",V177=""),"",W177-Q177*V177)</f>
        <v/>
      </c>
      <c r="AB177" s="69" t="str">
        <f aca="false">IF(AA177="","",IF(N(V177)*N(Q177)=0,"",AA177/(Q177*V177)))</f>
        <v/>
      </c>
      <c r="AC177" s="70"/>
      <c r="AD177" s="66" t="str">
        <f aca="false">IF(W177="","",W177*(1+N(AC177)))</f>
        <v/>
      </c>
      <c r="AE177" s="62"/>
      <c r="AF177" s="71"/>
      <c r="AG177" s="71"/>
      <c r="AH177" s="71"/>
      <c r="AI177" s="66" t="str">
        <f aca="false">IF(A177="","",N(AF177)+N(AG177)+N(AH177))</f>
        <v/>
      </c>
      <c r="AJ177" s="72" t="str">
        <f aca="false">IF(AD177="","",IF(N(AD177)=0,"",AI177/AD177))</f>
        <v/>
      </c>
      <c r="AK177" s="66" t="str">
        <f aca="false">IF(AD177="","",IF(AD177-AI177&lt;1,0,ROUND(AD177-AI177,2)))</f>
        <v/>
      </c>
      <c r="AL177" s="66" t="str">
        <f aca="false">IF(OR(O177="",AD177=""),"",MAX(0,ROUND(N(AI177)-(AD177-N(AW177)),0)))</f>
        <v/>
      </c>
      <c r="AM177" s="73" t="str">
        <f aca="false">IF(A177="","",IF(O177="","No PO Yet",IF(AI177=0,"Not Paid",IF(N(AJ177)&gt;=0.999,"Fully Paid",IF(N(AG177)+N(AH177)&gt;0,"Partially Paid","Initial / Advance Paid")))))</f>
        <v/>
      </c>
      <c r="AN177" s="61"/>
      <c r="AO177" s="61"/>
      <c r="AP177" s="74" t="str">
        <f aca="false">IF(AK177="","",IF(OR(N(AK177)=0,AO177=""),"",MAX(0,Settings!$B$4-AO177)))</f>
        <v/>
      </c>
      <c r="AQ177" s="73" t="str">
        <f aca="false">IF(AK177="","",IF(N(AK177)&lt;=0,"",IF(AO177="","No Due Date",IF(Settings!$B$4&lt;=AO177,"Not Yet Due",IF(Settings!$B$4-AO177&lt;=30,"1-30 Days",IF(Settings!$B$4-AO177&lt;=60,"31-60 Days",IF(Settings!$B$4-AO177&lt;=90,"61-90 Days","90+ Days")))))))</f>
        <v/>
      </c>
      <c r="AR177" s="61"/>
      <c r="AS177" s="61"/>
      <c r="AT177" s="63"/>
      <c r="AU177" s="72" t="str">
        <f aca="false">IF(Q177="","",IF(N(Q177)=0,"",N(AT177)/Q177))</f>
        <v/>
      </c>
      <c r="AV177" s="75" t="str">
        <f aca="false">IF(OR(A177="",O177="",Q177=""),"",MAX(0,Q177-N(AT177)))</f>
        <v/>
      </c>
      <c r="AW177" s="66" t="str">
        <f aca="false">IF(OR(AV177="",W177=""),"",IF(N(Q177)=0,0,AV177/Q177*AD177))</f>
        <v/>
      </c>
      <c r="AX177" s="76" t="str">
        <f aca="false">IF(A177="","",IF(O177="","No PO Yet",IF(Q177="","Order Qty Missing",IF(N(AT177)&gt;=Q177,IF(N(AT177)&gt;Q177,"All In-house (+"&amp;TEXT(N(AT177)-Q177,"#,##0")&amp;" "&amp;R177&amp;" excess)","All In-house"),IF(AY177&lt;&gt;"","Short Closed - "&amp;TEXT(AV177,"#,##0")&amp;" "&amp;R177&amp;" not received",IF(N(AT177)=0,"Not Started - "&amp;TEXT(AV177,"#,##0")&amp;" "&amp;R177&amp;" pending","Pending "&amp;TEXT(AV177,"#,##0")&amp;" "&amp;R177&amp;" ("&amp;TEXT(AU177,"0%")&amp;" received)"))))))</f>
        <v/>
      </c>
      <c r="AY177" s="61"/>
      <c r="AZ177" s="77" t="str">
        <f aca="false">IF(OR(B177="",J177=""),"",J177-B177)</f>
        <v/>
      </c>
      <c r="BA177" s="77" t="str">
        <f aca="false">IF(OR(J177="",P177=""),"",P177-J177)</f>
        <v/>
      </c>
      <c r="BB177" s="77" t="str">
        <f aca="false">IF(OR(P177="",AY177=""),"",AY177-P177)</f>
        <v/>
      </c>
      <c r="BC177" s="77" t="str">
        <f aca="false">IF(OR(B177="",AY177=""),"",AY177-B177)</f>
        <v/>
      </c>
      <c r="BD177" s="74" t="str">
        <f aca="false">IF(OR(AR177="",O177=""),"",MAX(0,IF(AY177="",Settings!$B$4,AY177)-AR177))</f>
        <v/>
      </c>
      <c r="BE177" s="73" t="str">
        <f aca="false">IF(OR(AY177="",AR177=""),"",IF(AND(AY177&lt;=AR177,N(AU177)&gt;=Settings!$B$6),"OTIF","Not OTIF"))</f>
        <v/>
      </c>
      <c r="BF177" s="60"/>
      <c r="BG177" s="62"/>
      <c r="BH177" s="78"/>
      <c r="BI177" s="76" t="str">
        <f aca="false">IF(A177="","",IF(K177="Rejected","Rejected",IF(K177&lt;&gt;"Approved","Awaiting Approval",IF(O177="","Approved - PO Pending",IF(AY177&lt;&gt;"",IF(N(AJ177)&gt;=0.999,"Closed","In-house Closed - Payment Due"),IF(AS177&lt;&gt;"","Receiving In-house","PO Issued - Awaiting Delivery"))))))</f>
        <v/>
      </c>
      <c r="BJ177" s="76" t="str">
        <f aca="false">IF(A177="","",IF(IF(AND(A177&lt;&gt;"",OR(B177="",C177="",E177="",F177="",H177="")),"PR info missing; ","")&amp;IF(AND(K177="Approved",OR(J177="",I177="")),"Approval ref/date missing; ","")&amp;IF(AND(O177&lt;&gt;"",K177&lt;&gt;"Approved"),"PO without approval; ","")&amp;IF(AND(O177&lt;&gt;"",OR(P177="",M177="",Q177="",S177="",T177="")),"PO details missing; ","")&amp;IF(AND(O177&lt;&gt;"",AR177=""),"Committed date missing; ","")&amp;IF(AND(ISNUMBER(J177),ISNUMBER(B177),N(J177)&lt;N(B177)),"Approval dated before PR; ","")&amp;IF(AND(ISNUMBER(P177),ISNUMBER(J177),N(P177)&lt;N(J177)),"PO dated before approval; ","")&amp;IF(AND(ISNUMBER(AY177),ISNUMBER(AS177),N(AY177)&lt;N(AS177)),"Close before in-house start; ","")&amp;IF(AND(AY177&lt;&gt;"",AS177=""),"In-house start date missing; ","")&amp;IF(AND(AY177&lt;&gt;"",AT177=""),"Qty received missing; ","")&amp;IF(AND(AY177&lt;&gt;"",BF177=""),"QC status missing; ","")&amp;IF(N(AT177)&gt;N(Q177)*1.05,"Received &gt; ordered +5%; ","")&amp;IF(AND(N(AI177)&gt;0,AE177=""),"Payment terms missing; ","")&amp;IF(N(AI177)&gt;N(AD177)+1,"Overpaid vs PO; ","")&amp;IF(AND(N(AK177)&gt;0,AY177&lt;&gt;"",AO177=""),"Payment due date missing; ","")="","OK",IF(AND(A177&lt;&gt;"",OR(B177="",C177="",E177="",F177="",H177="")),"PR info missing; ","")&amp;IF(AND(K177="Approved",OR(J177="",I177="")),"Approval ref/date missing; ","")&amp;IF(AND(O177&lt;&gt;"",K177&lt;&gt;"Approved"),"PO without approval; ","")&amp;IF(AND(O177&lt;&gt;"",OR(P177="",M177="",Q177="",S177="",T177="")),"PO details missing; ","")&amp;IF(AND(O177&lt;&gt;"",AR177=""),"Committed date missing; ","")&amp;IF(AND(ISNUMBER(J177),ISNUMBER(B177),N(J177)&lt;N(B177)),"Approval dated before PR; ","")&amp;IF(AND(ISNUMBER(P177),ISNUMBER(J177),N(P177)&lt;N(J177)),"PO dated before approval; ","")&amp;IF(AND(ISNUMBER(AY177),ISNUMBER(AS177),N(AY177)&lt;N(AS177)),"Close before in-house start; ","")&amp;IF(AND(AY177&lt;&gt;"",AS177=""),"In-house start date missing; ","")&amp;IF(AND(AY177&lt;&gt;"",AT177=""),"Qty received missing; ","")&amp;IF(AND(AY177&lt;&gt;"",BF177=""),"QC status missing; ","")&amp;IF(N(AT177)&gt;N(Q177)*1.05,"Received &gt; ordered +5%; ","")&amp;IF(AND(N(AI177)&gt;0,AE177=""),"Payment terms missing; ","")&amp;IF(N(AI177)&gt;N(AD177)+1,"Overpaid vs PO; ","")&amp;IF(AND(N(AK177)&gt;0,AY177&lt;&gt;"",AO177=""),"Payment due date missing; ","")))</f>
        <v/>
      </c>
      <c r="BK177" s="76" t="str">
        <f aca="false">IF(A177="","",IF(N(AP177)&gt;0,"Pay supplier: "&amp;N(AP177)&amp;" days overdue; ","")&amp;IF(AND(O177&lt;&gt;"",AY177="",N(BD177)&gt;0),"Expedite delivery: "&amp;N(BD177)&amp;" days late; ","")&amp;IF(AND(BI177="Awaiting Approval",ISNUMBER(B177),Settings!$B$4-N(B177)&gt;Settings!$B$19),"Get approval: PR waiting "&amp;(Settings!$B$4-N(B177))&amp;" days; ","")&amp;IF(AND(BI177="Approved - PO Pending",ISNUMBER(J177),Settings!$B$4-N(J177)&gt;Settings!$B$20),"Issue PO: approved "&amp;(Settings!$B$4-N(J177))&amp;" days ago; ","")&amp;IF(AND(OR(BI177="Awaiting Approval",BI177="Approved - PO Pending"),N(AB177)&gt;Settings!$B$7),"Negotiate price: "&amp;TEXT(AB177,"0%")&amp;" above budget; ","")&amp;IF(LEFT(AX177,12)="Short Closed","Short closed: claim balance / credit note"&amp;IF(N(AL177)&gt;0," BDT "&amp;TEXT(AL177,"#,##0"),"")&amp;"; ","")&amp;IF(BF177="Rejected","QC rejected: return / replace; ","")&amp;IF(AND(O177&lt;&gt;"",AY177="",N(AL177)&gt;0,N(BD177)&gt;0),"Advance at risk: BDT "&amp;TEXT(AL177,"#,##0")&amp;" paid, goods late; ","")&amp;IF(AND(BJ177&lt;&gt;"",BJ177&lt;&gt;"OK"),"Fix data entry (see Data Check); ",""))</f>
        <v/>
      </c>
      <c r="BL177" s="73" t="str">
        <f aca="false">IF(BK177="","",IF(OR(N(AP177)&gt;30,AND(AY177="",N(BD177)&gt;15),BF177="Rejected",AND(LEFT(AX177,12)="Short Closed",N(AL177)&gt;0),AND(O177&lt;&gt;"",AY177="",N(AL177)&gt;0,N(BD177)&gt;0)),"High",IF(OR(N(AP177)&gt;0,AND(AY177="",N(BD177)&gt;7),LEFT(AX177,12)="Short Closed",AND(BI177="Awaiting Approval",ISNUMBER(B177),Settings!$B$4-N(B177)&gt;2*Settings!$B$19),AND(BI177="Approved - PO Pending",ISNUMBER(J177),Settings!$B$4-N(J177)&gt;2*Settings!$B$20)),"Medium","Low")))</f>
        <v/>
      </c>
      <c r="BM177" s="77" t="str">
        <f aca="false">IF(BL177="","",IF(BL177="High",1,IF(BL177="Medium",2,3))*10000+ROW())</f>
        <v/>
      </c>
      <c r="BN177" s="62"/>
    </row>
    <row r="178" customFormat="false" ht="18" hidden="false" customHeight="true" outlineLevel="0" collapsed="false">
      <c r="A178" s="60"/>
      <c r="B178" s="61"/>
      <c r="C178" s="62"/>
      <c r="D178" s="62"/>
      <c r="E178" s="62"/>
      <c r="F178" s="62"/>
      <c r="G178" s="62"/>
      <c r="H178" s="60"/>
      <c r="I178" s="60"/>
      <c r="J178" s="61"/>
      <c r="K178" s="60"/>
      <c r="L178" s="60"/>
      <c r="M178" s="62"/>
      <c r="N178" s="60"/>
      <c r="O178" s="60"/>
      <c r="P178" s="61"/>
      <c r="Q178" s="63"/>
      <c r="R178" s="60"/>
      <c r="S178" s="64"/>
      <c r="T178" s="60"/>
      <c r="U178" s="65" t="str">
        <f aca="false">IF(AND(T178="",S178=""),"",IF(T178="",1,IFERROR(INDEX(Settings!$B$12:$B$16,MATCH(T178,Settings!$A$12:$A$16,0)),1)))</f>
        <v/>
      </c>
      <c r="V178" s="64"/>
      <c r="W178" s="66" t="str">
        <f aca="false">IF(OR(Q178="",S178=""),"",Q178*S178*U178)</f>
        <v/>
      </c>
      <c r="X178" s="65" t="str">
        <f aca="false">IF(OR(W178="",N(Q178)=0),"",W178/Q178)</f>
        <v/>
      </c>
      <c r="Y178" s="65" t="str">
        <f aca="false">IF(OR(X178="",P178="",E178=""),"",IF(_xlfn.MAXIFS($P$6:$P$205,$E$6:$E$205,E178,$P$6:$P$205,"&lt;"&amp;P178,$X$6:$X$205,"&gt;0")=0,"",IFERROR(AVERAGEIFS($X$6:$X$205,$E$6:$E$205,E178,$P$6:$P$205,_xlfn.MAXIFS($P$6:$P$205,$E$6:$E$205,E178,$P$6:$P$205,"&lt;"&amp;P178,$X$6:$X$205,"&gt;0"),$X$6:$X$205,"&gt;0"),"")))</f>
        <v/>
      </c>
      <c r="Z178" s="67" t="str">
        <f aca="false">IF(OR(Y178="",X178=""),"",X178/Y178-1)</f>
        <v/>
      </c>
      <c r="AA178" s="68" t="str">
        <f aca="false">IF(OR(W178="",V178=""),"",W178-Q178*V178)</f>
        <v/>
      </c>
      <c r="AB178" s="69" t="str">
        <f aca="false">IF(AA178="","",IF(N(V178)*N(Q178)=0,"",AA178/(Q178*V178)))</f>
        <v/>
      </c>
      <c r="AC178" s="70"/>
      <c r="AD178" s="66" t="str">
        <f aca="false">IF(W178="","",W178*(1+N(AC178)))</f>
        <v/>
      </c>
      <c r="AE178" s="62"/>
      <c r="AF178" s="71"/>
      <c r="AG178" s="71"/>
      <c r="AH178" s="71"/>
      <c r="AI178" s="66" t="str">
        <f aca="false">IF(A178="","",N(AF178)+N(AG178)+N(AH178))</f>
        <v/>
      </c>
      <c r="AJ178" s="72" t="str">
        <f aca="false">IF(AD178="","",IF(N(AD178)=0,"",AI178/AD178))</f>
        <v/>
      </c>
      <c r="AK178" s="66" t="str">
        <f aca="false">IF(AD178="","",IF(AD178-AI178&lt;1,0,ROUND(AD178-AI178,2)))</f>
        <v/>
      </c>
      <c r="AL178" s="66" t="str">
        <f aca="false">IF(OR(O178="",AD178=""),"",MAX(0,ROUND(N(AI178)-(AD178-N(AW178)),0)))</f>
        <v/>
      </c>
      <c r="AM178" s="73" t="str">
        <f aca="false">IF(A178="","",IF(O178="","No PO Yet",IF(AI178=0,"Not Paid",IF(N(AJ178)&gt;=0.999,"Fully Paid",IF(N(AG178)+N(AH178)&gt;0,"Partially Paid","Initial / Advance Paid")))))</f>
        <v/>
      </c>
      <c r="AN178" s="61"/>
      <c r="AO178" s="61"/>
      <c r="AP178" s="74" t="str">
        <f aca="false">IF(AK178="","",IF(OR(N(AK178)=0,AO178=""),"",MAX(0,Settings!$B$4-AO178)))</f>
        <v/>
      </c>
      <c r="AQ178" s="73" t="str">
        <f aca="false">IF(AK178="","",IF(N(AK178)&lt;=0,"",IF(AO178="","No Due Date",IF(Settings!$B$4&lt;=AO178,"Not Yet Due",IF(Settings!$B$4-AO178&lt;=30,"1-30 Days",IF(Settings!$B$4-AO178&lt;=60,"31-60 Days",IF(Settings!$B$4-AO178&lt;=90,"61-90 Days","90+ Days")))))))</f>
        <v/>
      </c>
      <c r="AR178" s="61"/>
      <c r="AS178" s="61"/>
      <c r="AT178" s="63"/>
      <c r="AU178" s="72" t="str">
        <f aca="false">IF(Q178="","",IF(N(Q178)=0,"",N(AT178)/Q178))</f>
        <v/>
      </c>
      <c r="AV178" s="75" t="str">
        <f aca="false">IF(OR(A178="",O178="",Q178=""),"",MAX(0,Q178-N(AT178)))</f>
        <v/>
      </c>
      <c r="AW178" s="66" t="str">
        <f aca="false">IF(OR(AV178="",W178=""),"",IF(N(Q178)=0,0,AV178/Q178*AD178))</f>
        <v/>
      </c>
      <c r="AX178" s="76" t="str">
        <f aca="false">IF(A178="","",IF(O178="","No PO Yet",IF(Q178="","Order Qty Missing",IF(N(AT178)&gt;=Q178,IF(N(AT178)&gt;Q178,"All In-house (+"&amp;TEXT(N(AT178)-Q178,"#,##0")&amp;" "&amp;R178&amp;" excess)","All In-house"),IF(AY178&lt;&gt;"","Short Closed - "&amp;TEXT(AV178,"#,##0")&amp;" "&amp;R178&amp;" not received",IF(N(AT178)=0,"Not Started - "&amp;TEXT(AV178,"#,##0")&amp;" "&amp;R178&amp;" pending","Pending "&amp;TEXT(AV178,"#,##0")&amp;" "&amp;R178&amp;" ("&amp;TEXT(AU178,"0%")&amp;" received)"))))))</f>
        <v/>
      </c>
      <c r="AY178" s="61"/>
      <c r="AZ178" s="77" t="str">
        <f aca="false">IF(OR(B178="",J178=""),"",J178-B178)</f>
        <v/>
      </c>
      <c r="BA178" s="77" t="str">
        <f aca="false">IF(OR(J178="",P178=""),"",P178-J178)</f>
        <v/>
      </c>
      <c r="BB178" s="77" t="str">
        <f aca="false">IF(OR(P178="",AY178=""),"",AY178-P178)</f>
        <v/>
      </c>
      <c r="BC178" s="77" t="str">
        <f aca="false">IF(OR(B178="",AY178=""),"",AY178-B178)</f>
        <v/>
      </c>
      <c r="BD178" s="74" t="str">
        <f aca="false">IF(OR(AR178="",O178=""),"",MAX(0,IF(AY178="",Settings!$B$4,AY178)-AR178))</f>
        <v/>
      </c>
      <c r="BE178" s="73" t="str">
        <f aca="false">IF(OR(AY178="",AR178=""),"",IF(AND(AY178&lt;=AR178,N(AU178)&gt;=Settings!$B$6),"OTIF","Not OTIF"))</f>
        <v/>
      </c>
      <c r="BF178" s="60"/>
      <c r="BG178" s="62"/>
      <c r="BH178" s="78"/>
      <c r="BI178" s="76" t="str">
        <f aca="false">IF(A178="","",IF(K178="Rejected","Rejected",IF(K178&lt;&gt;"Approved","Awaiting Approval",IF(O178="","Approved - PO Pending",IF(AY178&lt;&gt;"",IF(N(AJ178)&gt;=0.999,"Closed","In-house Closed - Payment Due"),IF(AS178&lt;&gt;"","Receiving In-house","PO Issued - Awaiting Delivery"))))))</f>
        <v/>
      </c>
      <c r="BJ178" s="76" t="str">
        <f aca="false">IF(A178="","",IF(IF(AND(A178&lt;&gt;"",OR(B178="",C178="",E178="",F178="",H178="")),"PR info missing; ","")&amp;IF(AND(K178="Approved",OR(J178="",I178="")),"Approval ref/date missing; ","")&amp;IF(AND(O178&lt;&gt;"",K178&lt;&gt;"Approved"),"PO without approval; ","")&amp;IF(AND(O178&lt;&gt;"",OR(P178="",M178="",Q178="",S178="",T178="")),"PO details missing; ","")&amp;IF(AND(O178&lt;&gt;"",AR178=""),"Committed date missing; ","")&amp;IF(AND(ISNUMBER(J178),ISNUMBER(B178),N(J178)&lt;N(B178)),"Approval dated before PR; ","")&amp;IF(AND(ISNUMBER(P178),ISNUMBER(J178),N(P178)&lt;N(J178)),"PO dated before approval; ","")&amp;IF(AND(ISNUMBER(AY178),ISNUMBER(AS178),N(AY178)&lt;N(AS178)),"Close before in-house start; ","")&amp;IF(AND(AY178&lt;&gt;"",AS178=""),"In-house start date missing; ","")&amp;IF(AND(AY178&lt;&gt;"",AT178=""),"Qty received missing; ","")&amp;IF(AND(AY178&lt;&gt;"",BF178=""),"QC status missing; ","")&amp;IF(N(AT178)&gt;N(Q178)*1.05,"Received &gt; ordered +5%; ","")&amp;IF(AND(N(AI178)&gt;0,AE178=""),"Payment terms missing; ","")&amp;IF(N(AI178)&gt;N(AD178)+1,"Overpaid vs PO; ","")&amp;IF(AND(N(AK178)&gt;0,AY178&lt;&gt;"",AO178=""),"Payment due date missing; ","")="","OK",IF(AND(A178&lt;&gt;"",OR(B178="",C178="",E178="",F178="",H178="")),"PR info missing; ","")&amp;IF(AND(K178="Approved",OR(J178="",I178="")),"Approval ref/date missing; ","")&amp;IF(AND(O178&lt;&gt;"",K178&lt;&gt;"Approved"),"PO without approval; ","")&amp;IF(AND(O178&lt;&gt;"",OR(P178="",M178="",Q178="",S178="",T178="")),"PO details missing; ","")&amp;IF(AND(O178&lt;&gt;"",AR178=""),"Committed date missing; ","")&amp;IF(AND(ISNUMBER(J178),ISNUMBER(B178),N(J178)&lt;N(B178)),"Approval dated before PR; ","")&amp;IF(AND(ISNUMBER(P178),ISNUMBER(J178),N(P178)&lt;N(J178)),"PO dated before approval; ","")&amp;IF(AND(ISNUMBER(AY178),ISNUMBER(AS178),N(AY178)&lt;N(AS178)),"Close before in-house start; ","")&amp;IF(AND(AY178&lt;&gt;"",AS178=""),"In-house start date missing; ","")&amp;IF(AND(AY178&lt;&gt;"",AT178=""),"Qty received missing; ","")&amp;IF(AND(AY178&lt;&gt;"",BF178=""),"QC status missing; ","")&amp;IF(N(AT178)&gt;N(Q178)*1.05,"Received &gt; ordered +5%; ","")&amp;IF(AND(N(AI178)&gt;0,AE178=""),"Payment terms missing; ","")&amp;IF(N(AI178)&gt;N(AD178)+1,"Overpaid vs PO; ","")&amp;IF(AND(N(AK178)&gt;0,AY178&lt;&gt;"",AO178=""),"Payment due date missing; ","")))</f>
        <v/>
      </c>
      <c r="BK178" s="76" t="str">
        <f aca="false">IF(A178="","",IF(N(AP178)&gt;0,"Pay supplier: "&amp;N(AP178)&amp;" days overdue; ","")&amp;IF(AND(O178&lt;&gt;"",AY178="",N(BD178)&gt;0),"Expedite delivery: "&amp;N(BD178)&amp;" days late; ","")&amp;IF(AND(BI178="Awaiting Approval",ISNUMBER(B178),Settings!$B$4-N(B178)&gt;Settings!$B$19),"Get approval: PR waiting "&amp;(Settings!$B$4-N(B178))&amp;" days; ","")&amp;IF(AND(BI178="Approved - PO Pending",ISNUMBER(J178),Settings!$B$4-N(J178)&gt;Settings!$B$20),"Issue PO: approved "&amp;(Settings!$B$4-N(J178))&amp;" days ago; ","")&amp;IF(AND(OR(BI178="Awaiting Approval",BI178="Approved - PO Pending"),N(AB178)&gt;Settings!$B$7),"Negotiate price: "&amp;TEXT(AB178,"0%")&amp;" above budget; ","")&amp;IF(LEFT(AX178,12)="Short Closed","Short closed: claim balance / credit note"&amp;IF(N(AL178)&gt;0," BDT "&amp;TEXT(AL178,"#,##0"),"")&amp;"; ","")&amp;IF(BF178="Rejected","QC rejected: return / replace; ","")&amp;IF(AND(O178&lt;&gt;"",AY178="",N(AL178)&gt;0,N(BD178)&gt;0),"Advance at risk: BDT "&amp;TEXT(AL178,"#,##0")&amp;" paid, goods late; ","")&amp;IF(AND(BJ178&lt;&gt;"",BJ178&lt;&gt;"OK"),"Fix data entry (see Data Check); ",""))</f>
        <v/>
      </c>
      <c r="BL178" s="73" t="str">
        <f aca="false">IF(BK178="","",IF(OR(N(AP178)&gt;30,AND(AY178="",N(BD178)&gt;15),BF178="Rejected",AND(LEFT(AX178,12)="Short Closed",N(AL178)&gt;0),AND(O178&lt;&gt;"",AY178="",N(AL178)&gt;0,N(BD178)&gt;0)),"High",IF(OR(N(AP178)&gt;0,AND(AY178="",N(BD178)&gt;7),LEFT(AX178,12)="Short Closed",AND(BI178="Awaiting Approval",ISNUMBER(B178),Settings!$B$4-N(B178)&gt;2*Settings!$B$19),AND(BI178="Approved - PO Pending",ISNUMBER(J178),Settings!$B$4-N(J178)&gt;2*Settings!$B$20)),"Medium","Low")))</f>
        <v/>
      </c>
      <c r="BM178" s="77" t="str">
        <f aca="false">IF(BL178="","",IF(BL178="High",1,IF(BL178="Medium",2,3))*10000+ROW())</f>
        <v/>
      </c>
      <c r="BN178" s="62"/>
    </row>
    <row r="179" customFormat="false" ht="18" hidden="false" customHeight="true" outlineLevel="0" collapsed="false">
      <c r="A179" s="60"/>
      <c r="B179" s="61"/>
      <c r="C179" s="62"/>
      <c r="D179" s="62"/>
      <c r="E179" s="62"/>
      <c r="F179" s="62"/>
      <c r="G179" s="62"/>
      <c r="H179" s="60"/>
      <c r="I179" s="60"/>
      <c r="J179" s="61"/>
      <c r="K179" s="60"/>
      <c r="L179" s="60"/>
      <c r="M179" s="62"/>
      <c r="N179" s="60"/>
      <c r="O179" s="60"/>
      <c r="P179" s="61"/>
      <c r="Q179" s="63"/>
      <c r="R179" s="60"/>
      <c r="S179" s="64"/>
      <c r="T179" s="60"/>
      <c r="U179" s="65" t="str">
        <f aca="false">IF(AND(T179="",S179=""),"",IF(T179="",1,IFERROR(INDEX(Settings!$B$12:$B$16,MATCH(T179,Settings!$A$12:$A$16,0)),1)))</f>
        <v/>
      </c>
      <c r="V179" s="64"/>
      <c r="W179" s="66" t="str">
        <f aca="false">IF(OR(Q179="",S179=""),"",Q179*S179*U179)</f>
        <v/>
      </c>
      <c r="X179" s="65" t="str">
        <f aca="false">IF(OR(W179="",N(Q179)=0),"",W179/Q179)</f>
        <v/>
      </c>
      <c r="Y179" s="65" t="str">
        <f aca="false">IF(OR(X179="",P179="",E179=""),"",IF(_xlfn.MAXIFS($P$6:$P$205,$E$6:$E$205,E179,$P$6:$P$205,"&lt;"&amp;P179,$X$6:$X$205,"&gt;0")=0,"",IFERROR(AVERAGEIFS($X$6:$X$205,$E$6:$E$205,E179,$P$6:$P$205,_xlfn.MAXIFS($P$6:$P$205,$E$6:$E$205,E179,$P$6:$P$205,"&lt;"&amp;P179,$X$6:$X$205,"&gt;0"),$X$6:$X$205,"&gt;0"),"")))</f>
        <v/>
      </c>
      <c r="Z179" s="67" t="str">
        <f aca="false">IF(OR(Y179="",X179=""),"",X179/Y179-1)</f>
        <v/>
      </c>
      <c r="AA179" s="68" t="str">
        <f aca="false">IF(OR(W179="",V179=""),"",W179-Q179*V179)</f>
        <v/>
      </c>
      <c r="AB179" s="69" t="str">
        <f aca="false">IF(AA179="","",IF(N(V179)*N(Q179)=0,"",AA179/(Q179*V179)))</f>
        <v/>
      </c>
      <c r="AC179" s="70"/>
      <c r="AD179" s="66" t="str">
        <f aca="false">IF(W179="","",W179*(1+N(AC179)))</f>
        <v/>
      </c>
      <c r="AE179" s="62"/>
      <c r="AF179" s="71"/>
      <c r="AG179" s="71"/>
      <c r="AH179" s="71"/>
      <c r="AI179" s="66" t="str">
        <f aca="false">IF(A179="","",N(AF179)+N(AG179)+N(AH179))</f>
        <v/>
      </c>
      <c r="AJ179" s="72" t="str">
        <f aca="false">IF(AD179="","",IF(N(AD179)=0,"",AI179/AD179))</f>
        <v/>
      </c>
      <c r="AK179" s="66" t="str">
        <f aca="false">IF(AD179="","",IF(AD179-AI179&lt;1,0,ROUND(AD179-AI179,2)))</f>
        <v/>
      </c>
      <c r="AL179" s="66" t="str">
        <f aca="false">IF(OR(O179="",AD179=""),"",MAX(0,ROUND(N(AI179)-(AD179-N(AW179)),0)))</f>
        <v/>
      </c>
      <c r="AM179" s="73" t="str">
        <f aca="false">IF(A179="","",IF(O179="","No PO Yet",IF(AI179=0,"Not Paid",IF(N(AJ179)&gt;=0.999,"Fully Paid",IF(N(AG179)+N(AH179)&gt;0,"Partially Paid","Initial / Advance Paid")))))</f>
        <v/>
      </c>
      <c r="AN179" s="61"/>
      <c r="AO179" s="61"/>
      <c r="AP179" s="74" t="str">
        <f aca="false">IF(AK179="","",IF(OR(N(AK179)=0,AO179=""),"",MAX(0,Settings!$B$4-AO179)))</f>
        <v/>
      </c>
      <c r="AQ179" s="73" t="str">
        <f aca="false">IF(AK179="","",IF(N(AK179)&lt;=0,"",IF(AO179="","No Due Date",IF(Settings!$B$4&lt;=AO179,"Not Yet Due",IF(Settings!$B$4-AO179&lt;=30,"1-30 Days",IF(Settings!$B$4-AO179&lt;=60,"31-60 Days",IF(Settings!$B$4-AO179&lt;=90,"61-90 Days","90+ Days")))))))</f>
        <v/>
      </c>
      <c r="AR179" s="61"/>
      <c r="AS179" s="61"/>
      <c r="AT179" s="63"/>
      <c r="AU179" s="72" t="str">
        <f aca="false">IF(Q179="","",IF(N(Q179)=0,"",N(AT179)/Q179))</f>
        <v/>
      </c>
      <c r="AV179" s="75" t="str">
        <f aca="false">IF(OR(A179="",O179="",Q179=""),"",MAX(0,Q179-N(AT179)))</f>
        <v/>
      </c>
      <c r="AW179" s="66" t="str">
        <f aca="false">IF(OR(AV179="",W179=""),"",IF(N(Q179)=0,0,AV179/Q179*AD179))</f>
        <v/>
      </c>
      <c r="AX179" s="76" t="str">
        <f aca="false">IF(A179="","",IF(O179="","No PO Yet",IF(Q179="","Order Qty Missing",IF(N(AT179)&gt;=Q179,IF(N(AT179)&gt;Q179,"All In-house (+"&amp;TEXT(N(AT179)-Q179,"#,##0")&amp;" "&amp;R179&amp;" excess)","All In-house"),IF(AY179&lt;&gt;"","Short Closed - "&amp;TEXT(AV179,"#,##0")&amp;" "&amp;R179&amp;" not received",IF(N(AT179)=0,"Not Started - "&amp;TEXT(AV179,"#,##0")&amp;" "&amp;R179&amp;" pending","Pending "&amp;TEXT(AV179,"#,##0")&amp;" "&amp;R179&amp;" ("&amp;TEXT(AU179,"0%")&amp;" received)"))))))</f>
        <v/>
      </c>
      <c r="AY179" s="61"/>
      <c r="AZ179" s="77" t="str">
        <f aca="false">IF(OR(B179="",J179=""),"",J179-B179)</f>
        <v/>
      </c>
      <c r="BA179" s="77" t="str">
        <f aca="false">IF(OR(J179="",P179=""),"",P179-J179)</f>
        <v/>
      </c>
      <c r="BB179" s="77" t="str">
        <f aca="false">IF(OR(P179="",AY179=""),"",AY179-P179)</f>
        <v/>
      </c>
      <c r="BC179" s="77" t="str">
        <f aca="false">IF(OR(B179="",AY179=""),"",AY179-B179)</f>
        <v/>
      </c>
      <c r="BD179" s="74" t="str">
        <f aca="false">IF(OR(AR179="",O179=""),"",MAX(0,IF(AY179="",Settings!$B$4,AY179)-AR179))</f>
        <v/>
      </c>
      <c r="BE179" s="73" t="str">
        <f aca="false">IF(OR(AY179="",AR179=""),"",IF(AND(AY179&lt;=AR179,N(AU179)&gt;=Settings!$B$6),"OTIF","Not OTIF"))</f>
        <v/>
      </c>
      <c r="BF179" s="60"/>
      <c r="BG179" s="62"/>
      <c r="BH179" s="78"/>
      <c r="BI179" s="76" t="str">
        <f aca="false">IF(A179="","",IF(K179="Rejected","Rejected",IF(K179&lt;&gt;"Approved","Awaiting Approval",IF(O179="","Approved - PO Pending",IF(AY179&lt;&gt;"",IF(N(AJ179)&gt;=0.999,"Closed","In-house Closed - Payment Due"),IF(AS179&lt;&gt;"","Receiving In-house","PO Issued - Awaiting Delivery"))))))</f>
        <v/>
      </c>
      <c r="BJ179" s="76" t="str">
        <f aca="false">IF(A179="","",IF(IF(AND(A179&lt;&gt;"",OR(B179="",C179="",E179="",F179="",H179="")),"PR info missing; ","")&amp;IF(AND(K179="Approved",OR(J179="",I179="")),"Approval ref/date missing; ","")&amp;IF(AND(O179&lt;&gt;"",K179&lt;&gt;"Approved"),"PO without approval; ","")&amp;IF(AND(O179&lt;&gt;"",OR(P179="",M179="",Q179="",S179="",T179="")),"PO details missing; ","")&amp;IF(AND(O179&lt;&gt;"",AR179=""),"Committed date missing; ","")&amp;IF(AND(ISNUMBER(J179),ISNUMBER(B179),N(J179)&lt;N(B179)),"Approval dated before PR; ","")&amp;IF(AND(ISNUMBER(P179),ISNUMBER(J179),N(P179)&lt;N(J179)),"PO dated before approval; ","")&amp;IF(AND(ISNUMBER(AY179),ISNUMBER(AS179),N(AY179)&lt;N(AS179)),"Close before in-house start; ","")&amp;IF(AND(AY179&lt;&gt;"",AS179=""),"In-house start date missing; ","")&amp;IF(AND(AY179&lt;&gt;"",AT179=""),"Qty received missing; ","")&amp;IF(AND(AY179&lt;&gt;"",BF179=""),"QC status missing; ","")&amp;IF(N(AT179)&gt;N(Q179)*1.05,"Received &gt; ordered +5%; ","")&amp;IF(AND(N(AI179)&gt;0,AE179=""),"Payment terms missing; ","")&amp;IF(N(AI179)&gt;N(AD179)+1,"Overpaid vs PO; ","")&amp;IF(AND(N(AK179)&gt;0,AY179&lt;&gt;"",AO179=""),"Payment due date missing; ","")="","OK",IF(AND(A179&lt;&gt;"",OR(B179="",C179="",E179="",F179="",H179="")),"PR info missing; ","")&amp;IF(AND(K179="Approved",OR(J179="",I179="")),"Approval ref/date missing; ","")&amp;IF(AND(O179&lt;&gt;"",K179&lt;&gt;"Approved"),"PO without approval; ","")&amp;IF(AND(O179&lt;&gt;"",OR(P179="",M179="",Q179="",S179="",T179="")),"PO details missing; ","")&amp;IF(AND(O179&lt;&gt;"",AR179=""),"Committed date missing; ","")&amp;IF(AND(ISNUMBER(J179),ISNUMBER(B179),N(J179)&lt;N(B179)),"Approval dated before PR; ","")&amp;IF(AND(ISNUMBER(P179),ISNUMBER(J179),N(P179)&lt;N(J179)),"PO dated before approval; ","")&amp;IF(AND(ISNUMBER(AY179),ISNUMBER(AS179),N(AY179)&lt;N(AS179)),"Close before in-house start; ","")&amp;IF(AND(AY179&lt;&gt;"",AS179=""),"In-house start date missing; ","")&amp;IF(AND(AY179&lt;&gt;"",AT179=""),"Qty received missing; ","")&amp;IF(AND(AY179&lt;&gt;"",BF179=""),"QC status missing; ","")&amp;IF(N(AT179)&gt;N(Q179)*1.05,"Received &gt; ordered +5%; ","")&amp;IF(AND(N(AI179)&gt;0,AE179=""),"Payment terms missing; ","")&amp;IF(N(AI179)&gt;N(AD179)+1,"Overpaid vs PO; ","")&amp;IF(AND(N(AK179)&gt;0,AY179&lt;&gt;"",AO179=""),"Payment due date missing; ","")))</f>
        <v/>
      </c>
      <c r="BK179" s="76" t="str">
        <f aca="false">IF(A179="","",IF(N(AP179)&gt;0,"Pay supplier: "&amp;N(AP179)&amp;" days overdue; ","")&amp;IF(AND(O179&lt;&gt;"",AY179="",N(BD179)&gt;0),"Expedite delivery: "&amp;N(BD179)&amp;" days late; ","")&amp;IF(AND(BI179="Awaiting Approval",ISNUMBER(B179),Settings!$B$4-N(B179)&gt;Settings!$B$19),"Get approval: PR waiting "&amp;(Settings!$B$4-N(B179))&amp;" days; ","")&amp;IF(AND(BI179="Approved - PO Pending",ISNUMBER(J179),Settings!$B$4-N(J179)&gt;Settings!$B$20),"Issue PO: approved "&amp;(Settings!$B$4-N(J179))&amp;" days ago; ","")&amp;IF(AND(OR(BI179="Awaiting Approval",BI179="Approved - PO Pending"),N(AB179)&gt;Settings!$B$7),"Negotiate price: "&amp;TEXT(AB179,"0%")&amp;" above budget; ","")&amp;IF(LEFT(AX179,12)="Short Closed","Short closed: claim balance / credit note"&amp;IF(N(AL179)&gt;0," BDT "&amp;TEXT(AL179,"#,##0"),"")&amp;"; ","")&amp;IF(BF179="Rejected","QC rejected: return / replace; ","")&amp;IF(AND(O179&lt;&gt;"",AY179="",N(AL179)&gt;0,N(BD179)&gt;0),"Advance at risk: BDT "&amp;TEXT(AL179,"#,##0")&amp;" paid, goods late; ","")&amp;IF(AND(BJ179&lt;&gt;"",BJ179&lt;&gt;"OK"),"Fix data entry (see Data Check); ",""))</f>
        <v/>
      </c>
      <c r="BL179" s="73" t="str">
        <f aca="false">IF(BK179="","",IF(OR(N(AP179)&gt;30,AND(AY179="",N(BD179)&gt;15),BF179="Rejected",AND(LEFT(AX179,12)="Short Closed",N(AL179)&gt;0),AND(O179&lt;&gt;"",AY179="",N(AL179)&gt;0,N(BD179)&gt;0)),"High",IF(OR(N(AP179)&gt;0,AND(AY179="",N(BD179)&gt;7),LEFT(AX179,12)="Short Closed",AND(BI179="Awaiting Approval",ISNUMBER(B179),Settings!$B$4-N(B179)&gt;2*Settings!$B$19),AND(BI179="Approved - PO Pending",ISNUMBER(J179),Settings!$B$4-N(J179)&gt;2*Settings!$B$20)),"Medium","Low")))</f>
        <v/>
      </c>
      <c r="BM179" s="77" t="str">
        <f aca="false">IF(BL179="","",IF(BL179="High",1,IF(BL179="Medium",2,3))*10000+ROW())</f>
        <v/>
      </c>
      <c r="BN179" s="62"/>
    </row>
    <row r="180" customFormat="false" ht="18" hidden="false" customHeight="true" outlineLevel="0" collapsed="false">
      <c r="A180" s="60"/>
      <c r="B180" s="61"/>
      <c r="C180" s="62"/>
      <c r="D180" s="62"/>
      <c r="E180" s="62"/>
      <c r="F180" s="62"/>
      <c r="G180" s="62"/>
      <c r="H180" s="60"/>
      <c r="I180" s="60"/>
      <c r="J180" s="61"/>
      <c r="K180" s="60"/>
      <c r="L180" s="60"/>
      <c r="M180" s="62"/>
      <c r="N180" s="60"/>
      <c r="O180" s="60"/>
      <c r="P180" s="61"/>
      <c r="Q180" s="63"/>
      <c r="R180" s="60"/>
      <c r="S180" s="64"/>
      <c r="T180" s="60"/>
      <c r="U180" s="65" t="str">
        <f aca="false">IF(AND(T180="",S180=""),"",IF(T180="",1,IFERROR(INDEX(Settings!$B$12:$B$16,MATCH(T180,Settings!$A$12:$A$16,0)),1)))</f>
        <v/>
      </c>
      <c r="V180" s="64"/>
      <c r="W180" s="66" t="str">
        <f aca="false">IF(OR(Q180="",S180=""),"",Q180*S180*U180)</f>
        <v/>
      </c>
      <c r="X180" s="65" t="str">
        <f aca="false">IF(OR(W180="",N(Q180)=0),"",W180/Q180)</f>
        <v/>
      </c>
      <c r="Y180" s="65" t="str">
        <f aca="false">IF(OR(X180="",P180="",E180=""),"",IF(_xlfn.MAXIFS($P$6:$P$205,$E$6:$E$205,E180,$P$6:$P$205,"&lt;"&amp;P180,$X$6:$X$205,"&gt;0")=0,"",IFERROR(AVERAGEIFS($X$6:$X$205,$E$6:$E$205,E180,$P$6:$P$205,_xlfn.MAXIFS($P$6:$P$205,$E$6:$E$205,E180,$P$6:$P$205,"&lt;"&amp;P180,$X$6:$X$205,"&gt;0"),$X$6:$X$205,"&gt;0"),"")))</f>
        <v/>
      </c>
      <c r="Z180" s="67" t="str">
        <f aca="false">IF(OR(Y180="",X180=""),"",X180/Y180-1)</f>
        <v/>
      </c>
      <c r="AA180" s="68" t="str">
        <f aca="false">IF(OR(W180="",V180=""),"",W180-Q180*V180)</f>
        <v/>
      </c>
      <c r="AB180" s="69" t="str">
        <f aca="false">IF(AA180="","",IF(N(V180)*N(Q180)=0,"",AA180/(Q180*V180)))</f>
        <v/>
      </c>
      <c r="AC180" s="70"/>
      <c r="AD180" s="66" t="str">
        <f aca="false">IF(W180="","",W180*(1+N(AC180)))</f>
        <v/>
      </c>
      <c r="AE180" s="62"/>
      <c r="AF180" s="71"/>
      <c r="AG180" s="71"/>
      <c r="AH180" s="71"/>
      <c r="AI180" s="66" t="str">
        <f aca="false">IF(A180="","",N(AF180)+N(AG180)+N(AH180))</f>
        <v/>
      </c>
      <c r="AJ180" s="72" t="str">
        <f aca="false">IF(AD180="","",IF(N(AD180)=0,"",AI180/AD180))</f>
        <v/>
      </c>
      <c r="AK180" s="66" t="str">
        <f aca="false">IF(AD180="","",IF(AD180-AI180&lt;1,0,ROUND(AD180-AI180,2)))</f>
        <v/>
      </c>
      <c r="AL180" s="66" t="str">
        <f aca="false">IF(OR(O180="",AD180=""),"",MAX(0,ROUND(N(AI180)-(AD180-N(AW180)),0)))</f>
        <v/>
      </c>
      <c r="AM180" s="73" t="str">
        <f aca="false">IF(A180="","",IF(O180="","No PO Yet",IF(AI180=0,"Not Paid",IF(N(AJ180)&gt;=0.999,"Fully Paid",IF(N(AG180)+N(AH180)&gt;0,"Partially Paid","Initial / Advance Paid")))))</f>
        <v/>
      </c>
      <c r="AN180" s="61"/>
      <c r="AO180" s="61"/>
      <c r="AP180" s="74" t="str">
        <f aca="false">IF(AK180="","",IF(OR(N(AK180)=0,AO180=""),"",MAX(0,Settings!$B$4-AO180)))</f>
        <v/>
      </c>
      <c r="AQ180" s="73" t="str">
        <f aca="false">IF(AK180="","",IF(N(AK180)&lt;=0,"",IF(AO180="","No Due Date",IF(Settings!$B$4&lt;=AO180,"Not Yet Due",IF(Settings!$B$4-AO180&lt;=30,"1-30 Days",IF(Settings!$B$4-AO180&lt;=60,"31-60 Days",IF(Settings!$B$4-AO180&lt;=90,"61-90 Days","90+ Days")))))))</f>
        <v/>
      </c>
      <c r="AR180" s="61"/>
      <c r="AS180" s="61"/>
      <c r="AT180" s="63"/>
      <c r="AU180" s="72" t="str">
        <f aca="false">IF(Q180="","",IF(N(Q180)=0,"",N(AT180)/Q180))</f>
        <v/>
      </c>
      <c r="AV180" s="75" t="str">
        <f aca="false">IF(OR(A180="",O180="",Q180=""),"",MAX(0,Q180-N(AT180)))</f>
        <v/>
      </c>
      <c r="AW180" s="66" t="str">
        <f aca="false">IF(OR(AV180="",W180=""),"",IF(N(Q180)=0,0,AV180/Q180*AD180))</f>
        <v/>
      </c>
      <c r="AX180" s="76" t="str">
        <f aca="false">IF(A180="","",IF(O180="","No PO Yet",IF(Q180="","Order Qty Missing",IF(N(AT180)&gt;=Q180,IF(N(AT180)&gt;Q180,"All In-house (+"&amp;TEXT(N(AT180)-Q180,"#,##0")&amp;" "&amp;R180&amp;" excess)","All In-house"),IF(AY180&lt;&gt;"","Short Closed - "&amp;TEXT(AV180,"#,##0")&amp;" "&amp;R180&amp;" not received",IF(N(AT180)=0,"Not Started - "&amp;TEXT(AV180,"#,##0")&amp;" "&amp;R180&amp;" pending","Pending "&amp;TEXT(AV180,"#,##0")&amp;" "&amp;R180&amp;" ("&amp;TEXT(AU180,"0%")&amp;" received)"))))))</f>
        <v/>
      </c>
      <c r="AY180" s="61"/>
      <c r="AZ180" s="77" t="str">
        <f aca="false">IF(OR(B180="",J180=""),"",J180-B180)</f>
        <v/>
      </c>
      <c r="BA180" s="77" t="str">
        <f aca="false">IF(OR(J180="",P180=""),"",P180-J180)</f>
        <v/>
      </c>
      <c r="BB180" s="77" t="str">
        <f aca="false">IF(OR(P180="",AY180=""),"",AY180-P180)</f>
        <v/>
      </c>
      <c r="BC180" s="77" t="str">
        <f aca="false">IF(OR(B180="",AY180=""),"",AY180-B180)</f>
        <v/>
      </c>
      <c r="BD180" s="74" t="str">
        <f aca="false">IF(OR(AR180="",O180=""),"",MAX(0,IF(AY180="",Settings!$B$4,AY180)-AR180))</f>
        <v/>
      </c>
      <c r="BE180" s="73" t="str">
        <f aca="false">IF(OR(AY180="",AR180=""),"",IF(AND(AY180&lt;=AR180,N(AU180)&gt;=Settings!$B$6),"OTIF","Not OTIF"))</f>
        <v/>
      </c>
      <c r="BF180" s="60"/>
      <c r="BG180" s="62"/>
      <c r="BH180" s="78"/>
      <c r="BI180" s="76" t="str">
        <f aca="false">IF(A180="","",IF(K180="Rejected","Rejected",IF(K180&lt;&gt;"Approved","Awaiting Approval",IF(O180="","Approved - PO Pending",IF(AY180&lt;&gt;"",IF(N(AJ180)&gt;=0.999,"Closed","In-house Closed - Payment Due"),IF(AS180&lt;&gt;"","Receiving In-house","PO Issued - Awaiting Delivery"))))))</f>
        <v/>
      </c>
      <c r="BJ180" s="76" t="str">
        <f aca="false">IF(A180="","",IF(IF(AND(A180&lt;&gt;"",OR(B180="",C180="",E180="",F180="",H180="")),"PR info missing; ","")&amp;IF(AND(K180="Approved",OR(J180="",I180="")),"Approval ref/date missing; ","")&amp;IF(AND(O180&lt;&gt;"",K180&lt;&gt;"Approved"),"PO without approval; ","")&amp;IF(AND(O180&lt;&gt;"",OR(P180="",M180="",Q180="",S180="",T180="")),"PO details missing; ","")&amp;IF(AND(O180&lt;&gt;"",AR180=""),"Committed date missing; ","")&amp;IF(AND(ISNUMBER(J180),ISNUMBER(B180),N(J180)&lt;N(B180)),"Approval dated before PR; ","")&amp;IF(AND(ISNUMBER(P180),ISNUMBER(J180),N(P180)&lt;N(J180)),"PO dated before approval; ","")&amp;IF(AND(ISNUMBER(AY180),ISNUMBER(AS180),N(AY180)&lt;N(AS180)),"Close before in-house start; ","")&amp;IF(AND(AY180&lt;&gt;"",AS180=""),"In-house start date missing; ","")&amp;IF(AND(AY180&lt;&gt;"",AT180=""),"Qty received missing; ","")&amp;IF(AND(AY180&lt;&gt;"",BF180=""),"QC status missing; ","")&amp;IF(N(AT180)&gt;N(Q180)*1.05,"Received &gt; ordered +5%; ","")&amp;IF(AND(N(AI180)&gt;0,AE180=""),"Payment terms missing; ","")&amp;IF(N(AI180)&gt;N(AD180)+1,"Overpaid vs PO; ","")&amp;IF(AND(N(AK180)&gt;0,AY180&lt;&gt;"",AO180=""),"Payment due date missing; ","")="","OK",IF(AND(A180&lt;&gt;"",OR(B180="",C180="",E180="",F180="",H180="")),"PR info missing; ","")&amp;IF(AND(K180="Approved",OR(J180="",I180="")),"Approval ref/date missing; ","")&amp;IF(AND(O180&lt;&gt;"",K180&lt;&gt;"Approved"),"PO without approval; ","")&amp;IF(AND(O180&lt;&gt;"",OR(P180="",M180="",Q180="",S180="",T180="")),"PO details missing; ","")&amp;IF(AND(O180&lt;&gt;"",AR180=""),"Committed date missing; ","")&amp;IF(AND(ISNUMBER(J180),ISNUMBER(B180),N(J180)&lt;N(B180)),"Approval dated before PR; ","")&amp;IF(AND(ISNUMBER(P180),ISNUMBER(J180),N(P180)&lt;N(J180)),"PO dated before approval; ","")&amp;IF(AND(ISNUMBER(AY180),ISNUMBER(AS180),N(AY180)&lt;N(AS180)),"Close before in-house start; ","")&amp;IF(AND(AY180&lt;&gt;"",AS180=""),"In-house start date missing; ","")&amp;IF(AND(AY180&lt;&gt;"",AT180=""),"Qty received missing; ","")&amp;IF(AND(AY180&lt;&gt;"",BF180=""),"QC status missing; ","")&amp;IF(N(AT180)&gt;N(Q180)*1.05,"Received &gt; ordered +5%; ","")&amp;IF(AND(N(AI180)&gt;0,AE180=""),"Payment terms missing; ","")&amp;IF(N(AI180)&gt;N(AD180)+1,"Overpaid vs PO; ","")&amp;IF(AND(N(AK180)&gt;0,AY180&lt;&gt;"",AO180=""),"Payment due date missing; ","")))</f>
        <v/>
      </c>
      <c r="BK180" s="76" t="str">
        <f aca="false">IF(A180="","",IF(N(AP180)&gt;0,"Pay supplier: "&amp;N(AP180)&amp;" days overdue; ","")&amp;IF(AND(O180&lt;&gt;"",AY180="",N(BD180)&gt;0),"Expedite delivery: "&amp;N(BD180)&amp;" days late; ","")&amp;IF(AND(BI180="Awaiting Approval",ISNUMBER(B180),Settings!$B$4-N(B180)&gt;Settings!$B$19),"Get approval: PR waiting "&amp;(Settings!$B$4-N(B180))&amp;" days; ","")&amp;IF(AND(BI180="Approved - PO Pending",ISNUMBER(J180),Settings!$B$4-N(J180)&gt;Settings!$B$20),"Issue PO: approved "&amp;(Settings!$B$4-N(J180))&amp;" days ago; ","")&amp;IF(AND(OR(BI180="Awaiting Approval",BI180="Approved - PO Pending"),N(AB180)&gt;Settings!$B$7),"Negotiate price: "&amp;TEXT(AB180,"0%")&amp;" above budget; ","")&amp;IF(LEFT(AX180,12)="Short Closed","Short closed: claim balance / credit note"&amp;IF(N(AL180)&gt;0," BDT "&amp;TEXT(AL180,"#,##0"),"")&amp;"; ","")&amp;IF(BF180="Rejected","QC rejected: return / replace; ","")&amp;IF(AND(O180&lt;&gt;"",AY180="",N(AL180)&gt;0,N(BD180)&gt;0),"Advance at risk: BDT "&amp;TEXT(AL180,"#,##0")&amp;" paid, goods late; ","")&amp;IF(AND(BJ180&lt;&gt;"",BJ180&lt;&gt;"OK"),"Fix data entry (see Data Check); ",""))</f>
        <v/>
      </c>
      <c r="BL180" s="73" t="str">
        <f aca="false">IF(BK180="","",IF(OR(N(AP180)&gt;30,AND(AY180="",N(BD180)&gt;15),BF180="Rejected",AND(LEFT(AX180,12)="Short Closed",N(AL180)&gt;0),AND(O180&lt;&gt;"",AY180="",N(AL180)&gt;0,N(BD180)&gt;0)),"High",IF(OR(N(AP180)&gt;0,AND(AY180="",N(BD180)&gt;7),LEFT(AX180,12)="Short Closed",AND(BI180="Awaiting Approval",ISNUMBER(B180),Settings!$B$4-N(B180)&gt;2*Settings!$B$19),AND(BI180="Approved - PO Pending",ISNUMBER(J180),Settings!$B$4-N(J180)&gt;2*Settings!$B$20)),"Medium","Low")))</f>
        <v/>
      </c>
      <c r="BM180" s="77" t="str">
        <f aca="false">IF(BL180="","",IF(BL180="High",1,IF(BL180="Medium",2,3))*10000+ROW())</f>
        <v/>
      </c>
      <c r="BN180" s="62"/>
    </row>
    <row r="181" customFormat="false" ht="18" hidden="false" customHeight="true" outlineLevel="0" collapsed="false">
      <c r="A181" s="60"/>
      <c r="B181" s="61"/>
      <c r="C181" s="62"/>
      <c r="D181" s="62"/>
      <c r="E181" s="62"/>
      <c r="F181" s="62"/>
      <c r="G181" s="62"/>
      <c r="H181" s="60"/>
      <c r="I181" s="60"/>
      <c r="J181" s="61"/>
      <c r="K181" s="60"/>
      <c r="L181" s="60"/>
      <c r="M181" s="62"/>
      <c r="N181" s="60"/>
      <c r="O181" s="60"/>
      <c r="P181" s="61"/>
      <c r="Q181" s="63"/>
      <c r="R181" s="60"/>
      <c r="S181" s="64"/>
      <c r="T181" s="60"/>
      <c r="U181" s="65" t="str">
        <f aca="false">IF(AND(T181="",S181=""),"",IF(T181="",1,IFERROR(INDEX(Settings!$B$12:$B$16,MATCH(T181,Settings!$A$12:$A$16,0)),1)))</f>
        <v/>
      </c>
      <c r="V181" s="64"/>
      <c r="W181" s="66" t="str">
        <f aca="false">IF(OR(Q181="",S181=""),"",Q181*S181*U181)</f>
        <v/>
      </c>
      <c r="X181" s="65" t="str">
        <f aca="false">IF(OR(W181="",N(Q181)=0),"",W181/Q181)</f>
        <v/>
      </c>
      <c r="Y181" s="65" t="str">
        <f aca="false">IF(OR(X181="",P181="",E181=""),"",IF(_xlfn.MAXIFS($P$6:$P$205,$E$6:$E$205,E181,$P$6:$P$205,"&lt;"&amp;P181,$X$6:$X$205,"&gt;0")=0,"",IFERROR(AVERAGEIFS($X$6:$X$205,$E$6:$E$205,E181,$P$6:$P$205,_xlfn.MAXIFS($P$6:$P$205,$E$6:$E$205,E181,$P$6:$P$205,"&lt;"&amp;P181,$X$6:$X$205,"&gt;0"),$X$6:$X$205,"&gt;0"),"")))</f>
        <v/>
      </c>
      <c r="Z181" s="67" t="str">
        <f aca="false">IF(OR(Y181="",X181=""),"",X181/Y181-1)</f>
        <v/>
      </c>
      <c r="AA181" s="68" t="str">
        <f aca="false">IF(OR(W181="",V181=""),"",W181-Q181*V181)</f>
        <v/>
      </c>
      <c r="AB181" s="69" t="str">
        <f aca="false">IF(AA181="","",IF(N(V181)*N(Q181)=0,"",AA181/(Q181*V181)))</f>
        <v/>
      </c>
      <c r="AC181" s="70"/>
      <c r="AD181" s="66" t="str">
        <f aca="false">IF(W181="","",W181*(1+N(AC181)))</f>
        <v/>
      </c>
      <c r="AE181" s="62"/>
      <c r="AF181" s="71"/>
      <c r="AG181" s="71"/>
      <c r="AH181" s="71"/>
      <c r="AI181" s="66" t="str">
        <f aca="false">IF(A181="","",N(AF181)+N(AG181)+N(AH181))</f>
        <v/>
      </c>
      <c r="AJ181" s="72" t="str">
        <f aca="false">IF(AD181="","",IF(N(AD181)=0,"",AI181/AD181))</f>
        <v/>
      </c>
      <c r="AK181" s="66" t="str">
        <f aca="false">IF(AD181="","",IF(AD181-AI181&lt;1,0,ROUND(AD181-AI181,2)))</f>
        <v/>
      </c>
      <c r="AL181" s="66" t="str">
        <f aca="false">IF(OR(O181="",AD181=""),"",MAX(0,ROUND(N(AI181)-(AD181-N(AW181)),0)))</f>
        <v/>
      </c>
      <c r="AM181" s="73" t="str">
        <f aca="false">IF(A181="","",IF(O181="","No PO Yet",IF(AI181=0,"Not Paid",IF(N(AJ181)&gt;=0.999,"Fully Paid",IF(N(AG181)+N(AH181)&gt;0,"Partially Paid","Initial / Advance Paid")))))</f>
        <v/>
      </c>
      <c r="AN181" s="61"/>
      <c r="AO181" s="61"/>
      <c r="AP181" s="74" t="str">
        <f aca="false">IF(AK181="","",IF(OR(N(AK181)=0,AO181=""),"",MAX(0,Settings!$B$4-AO181)))</f>
        <v/>
      </c>
      <c r="AQ181" s="73" t="str">
        <f aca="false">IF(AK181="","",IF(N(AK181)&lt;=0,"",IF(AO181="","No Due Date",IF(Settings!$B$4&lt;=AO181,"Not Yet Due",IF(Settings!$B$4-AO181&lt;=30,"1-30 Days",IF(Settings!$B$4-AO181&lt;=60,"31-60 Days",IF(Settings!$B$4-AO181&lt;=90,"61-90 Days","90+ Days")))))))</f>
        <v/>
      </c>
      <c r="AR181" s="61"/>
      <c r="AS181" s="61"/>
      <c r="AT181" s="63"/>
      <c r="AU181" s="72" t="str">
        <f aca="false">IF(Q181="","",IF(N(Q181)=0,"",N(AT181)/Q181))</f>
        <v/>
      </c>
      <c r="AV181" s="75" t="str">
        <f aca="false">IF(OR(A181="",O181="",Q181=""),"",MAX(0,Q181-N(AT181)))</f>
        <v/>
      </c>
      <c r="AW181" s="66" t="str">
        <f aca="false">IF(OR(AV181="",W181=""),"",IF(N(Q181)=0,0,AV181/Q181*AD181))</f>
        <v/>
      </c>
      <c r="AX181" s="76" t="str">
        <f aca="false">IF(A181="","",IF(O181="","No PO Yet",IF(Q181="","Order Qty Missing",IF(N(AT181)&gt;=Q181,IF(N(AT181)&gt;Q181,"All In-house (+"&amp;TEXT(N(AT181)-Q181,"#,##0")&amp;" "&amp;R181&amp;" excess)","All In-house"),IF(AY181&lt;&gt;"","Short Closed - "&amp;TEXT(AV181,"#,##0")&amp;" "&amp;R181&amp;" not received",IF(N(AT181)=0,"Not Started - "&amp;TEXT(AV181,"#,##0")&amp;" "&amp;R181&amp;" pending","Pending "&amp;TEXT(AV181,"#,##0")&amp;" "&amp;R181&amp;" ("&amp;TEXT(AU181,"0%")&amp;" received)"))))))</f>
        <v/>
      </c>
      <c r="AY181" s="61"/>
      <c r="AZ181" s="77" t="str">
        <f aca="false">IF(OR(B181="",J181=""),"",J181-B181)</f>
        <v/>
      </c>
      <c r="BA181" s="77" t="str">
        <f aca="false">IF(OR(J181="",P181=""),"",P181-J181)</f>
        <v/>
      </c>
      <c r="BB181" s="77" t="str">
        <f aca="false">IF(OR(P181="",AY181=""),"",AY181-P181)</f>
        <v/>
      </c>
      <c r="BC181" s="77" t="str">
        <f aca="false">IF(OR(B181="",AY181=""),"",AY181-B181)</f>
        <v/>
      </c>
      <c r="BD181" s="74" t="str">
        <f aca="false">IF(OR(AR181="",O181=""),"",MAX(0,IF(AY181="",Settings!$B$4,AY181)-AR181))</f>
        <v/>
      </c>
      <c r="BE181" s="73" t="str">
        <f aca="false">IF(OR(AY181="",AR181=""),"",IF(AND(AY181&lt;=AR181,N(AU181)&gt;=Settings!$B$6),"OTIF","Not OTIF"))</f>
        <v/>
      </c>
      <c r="BF181" s="60"/>
      <c r="BG181" s="62"/>
      <c r="BH181" s="78"/>
      <c r="BI181" s="76" t="str">
        <f aca="false">IF(A181="","",IF(K181="Rejected","Rejected",IF(K181&lt;&gt;"Approved","Awaiting Approval",IF(O181="","Approved - PO Pending",IF(AY181&lt;&gt;"",IF(N(AJ181)&gt;=0.999,"Closed","In-house Closed - Payment Due"),IF(AS181&lt;&gt;"","Receiving In-house","PO Issued - Awaiting Delivery"))))))</f>
        <v/>
      </c>
      <c r="BJ181" s="76" t="str">
        <f aca="false">IF(A181="","",IF(IF(AND(A181&lt;&gt;"",OR(B181="",C181="",E181="",F181="",H181="")),"PR info missing; ","")&amp;IF(AND(K181="Approved",OR(J181="",I181="")),"Approval ref/date missing; ","")&amp;IF(AND(O181&lt;&gt;"",K181&lt;&gt;"Approved"),"PO without approval; ","")&amp;IF(AND(O181&lt;&gt;"",OR(P181="",M181="",Q181="",S181="",T181="")),"PO details missing; ","")&amp;IF(AND(O181&lt;&gt;"",AR181=""),"Committed date missing; ","")&amp;IF(AND(ISNUMBER(J181),ISNUMBER(B181),N(J181)&lt;N(B181)),"Approval dated before PR; ","")&amp;IF(AND(ISNUMBER(P181),ISNUMBER(J181),N(P181)&lt;N(J181)),"PO dated before approval; ","")&amp;IF(AND(ISNUMBER(AY181),ISNUMBER(AS181),N(AY181)&lt;N(AS181)),"Close before in-house start; ","")&amp;IF(AND(AY181&lt;&gt;"",AS181=""),"In-house start date missing; ","")&amp;IF(AND(AY181&lt;&gt;"",AT181=""),"Qty received missing; ","")&amp;IF(AND(AY181&lt;&gt;"",BF181=""),"QC status missing; ","")&amp;IF(N(AT181)&gt;N(Q181)*1.05,"Received &gt; ordered +5%; ","")&amp;IF(AND(N(AI181)&gt;0,AE181=""),"Payment terms missing; ","")&amp;IF(N(AI181)&gt;N(AD181)+1,"Overpaid vs PO; ","")&amp;IF(AND(N(AK181)&gt;0,AY181&lt;&gt;"",AO181=""),"Payment due date missing; ","")="","OK",IF(AND(A181&lt;&gt;"",OR(B181="",C181="",E181="",F181="",H181="")),"PR info missing; ","")&amp;IF(AND(K181="Approved",OR(J181="",I181="")),"Approval ref/date missing; ","")&amp;IF(AND(O181&lt;&gt;"",K181&lt;&gt;"Approved"),"PO without approval; ","")&amp;IF(AND(O181&lt;&gt;"",OR(P181="",M181="",Q181="",S181="",T181="")),"PO details missing; ","")&amp;IF(AND(O181&lt;&gt;"",AR181=""),"Committed date missing; ","")&amp;IF(AND(ISNUMBER(J181),ISNUMBER(B181),N(J181)&lt;N(B181)),"Approval dated before PR; ","")&amp;IF(AND(ISNUMBER(P181),ISNUMBER(J181),N(P181)&lt;N(J181)),"PO dated before approval; ","")&amp;IF(AND(ISNUMBER(AY181),ISNUMBER(AS181),N(AY181)&lt;N(AS181)),"Close before in-house start; ","")&amp;IF(AND(AY181&lt;&gt;"",AS181=""),"In-house start date missing; ","")&amp;IF(AND(AY181&lt;&gt;"",AT181=""),"Qty received missing; ","")&amp;IF(AND(AY181&lt;&gt;"",BF181=""),"QC status missing; ","")&amp;IF(N(AT181)&gt;N(Q181)*1.05,"Received &gt; ordered +5%; ","")&amp;IF(AND(N(AI181)&gt;0,AE181=""),"Payment terms missing; ","")&amp;IF(N(AI181)&gt;N(AD181)+1,"Overpaid vs PO; ","")&amp;IF(AND(N(AK181)&gt;0,AY181&lt;&gt;"",AO181=""),"Payment due date missing; ","")))</f>
        <v/>
      </c>
      <c r="BK181" s="76" t="str">
        <f aca="false">IF(A181="","",IF(N(AP181)&gt;0,"Pay supplier: "&amp;N(AP181)&amp;" days overdue; ","")&amp;IF(AND(O181&lt;&gt;"",AY181="",N(BD181)&gt;0),"Expedite delivery: "&amp;N(BD181)&amp;" days late; ","")&amp;IF(AND(BI181="Awaiting Approval",ISNUMBER(B181),Settings!$B$4-N(B181)&gt;Settings!$B$19),"Get approval: PR waiting "&amp;(Settings!$B$4-N(B181))&amp;" days; ","")&amp;IF(AND(BI181="Approved - PO Pending",ISNUMBER(J181),Settings!$B$4-N(J181)&gt;Settings!$B$20),"Issue PO: approved "&amp;(Settings!$B$4-N(J181))&amp;" days ago; ","")&amp;IF(AND(OR(BI181="Awaiting Approval",BI181="Approved - PO Pending"),N(AB181)&gt;Settings!$B$7),"Negotiate price: "&amp;TEXT(AB181,"0%")&amp;" above budget; ","")&amp;IF(LEFT(AX181,12)="Short Closed","Short closed: claim balance / credit note"&amp;IF(N(AL181)&gt;0," BDT "&amp;TEXT(AL181,"#,##0"),"")&amp;"; ","")&amp;IF(BF181="Rejected","QC rejected: return / replace; ","")&amp;IF(AND(O181&lt;&gt;"",AY181="",N(AL181)&gt;0,N(BD181)&gt;0),"Advance at risk: BDT "&amp;TEXT(AL181,"#,##0")&amp;" paid, goods late; ","")&amp;IF(AND(BJ181&lt;&gt;"",BJ181&lt;&gt;"OK"),"Fix data entry (see Data Check); ",""))</f>
        <v/>
      </c>
      <c r="BL181" s="73" t="str">
        <f aca="false">IF(BK181="","",IF(OR(N(AP181)&gt;30,AND(AY181="",N(BD181)&gt;15),BF181="Rejected",AND(LEFT(AX181,12)="Short Closed",N(AL181)&gt;0),AND(O181&lt;&gt;"",AY181="",N(AL181)&gt;0,N(BD181)&gt;0)),"High",IF(OR(N(AP181)&gt;0,AND(AY181="",N(BD181)&gt;7),LEFT(AX181,12)="Short Closed",AND(BI181="Awaiting Approval",ISNUMBER(B181),Settings!$B$4-N(B181)&gt;2*Settings!$B$19),AND(BI181="Approved - PO Pending",ISNUMBER(J181),Settings!$B$4-N(J181)&gt;2*Settings!$B$20)),"Medium","Low")))</f>
        <v/>
      </c>
      <c r="BM181" s="77" t="str">
        <f aca="false">IF(BL181="","",IF(BL181="High",1,IF(BL181="Medium",2,3))*10000+ROW())</f>
        <v/>
      </c>
      <c r="BN181" s="62"/>
    </row>
    <row r="182" customFormat="false" ht="18" hidden="false" customHeight="true" outlineLevel="0" collapsed="false">
      <c r="A182" s="60"/>
      <c r="B182" s="61"/>
      <c r="C182" s="62"/>
      <c r="D182" s="62"/>
      <c r="E182" s="62"/>
      <c r="F182" s="62"/>
      <c r="G182" s="62"/>
      <c r="H182" s="60"/>
      <c r="I182" s="60"/>
      <c r="J182" s="61"/>
      <c r="K182" s="60"/>
      <c r="L182" s="60"/>
      <c r="M182" s="62"/>
      <c r="N182" s="60"/>
      <c r="O182" s="60"/>
      <c r="P182" s="61"/>
      <c r="Q182" s="63"/>
      <c r="R182" s="60"/>
      <c r="S182" s="64"/>
      <c r="T182" s="60"/>
      <c r="U182" s="65" t="str">
        <f aca="false">IF(AND(T182="",S182=""),"",IF(T182="",1,IFERROR(INDEX(Settings!$B$12:$B$16,MATCH(T182,Settings!$A$12:$A$16,0)),1)))</f>
        <v/>
      </c>
      <c r="V182" s="64"/>
      <c r="W182" s="66" t="str">
        <f aca="false">IF(OR(Q182="",S182=""),"",Q182*S182*U182)</f>
        <v/>
      </c>
      <c r="X182" s="65" t="str">
        <f aca="false">IF(OR(W182="",N(Q182)=0),"",W182/Q182)</f>
        <v/>
      </c>
      <c r="Y182" s="65" t="str">
        <f aca="false">IF(OR(X182="",P182="",E182=""),"",IF(_xlfn.MAXIFS($P$6:$P$205,$E$6:$E$205,E182,$P$6:$P$205,"&lt;"&amp;P182,$X$6:$X$205,"&gt;0")=0,"",IFERROR(AVERAGEIFS($X$6:$X$205,$E$6:$E$205,E182,$P$6:$P$205,_xlfn.MAXIFS($P$6:$P$205,$E$6:$E$205,E182,$P$6:$P$205,"&lt;"&amp;P182,$X$6:$X$205,"&gt;0"),$X$6:$X$205,"&gt;0"),"")))</f>
        <v/>
      </c>
      <c r="Z182" s="67" t="str">
        <f aca="false">IF(OR(Y182="",X182=""),"",X182/Y182-1)</f>
        <v/>
      </c>
      <c r="AA182" s="68" t="str">
        <f aca="false">IF(OR(W182="",V182=""),"",W182-Q182*V182)</f>
        <v/>
      </c>
      <c r="AB182" s="69" t="str">
        <f aca="false">IF(AA182="","",IF(N(V182)*N(Q182)=0,"",AA182/(Q182*V182)))</f>
        <v/>
      </c>
      <c r="AC182" s="70"/>
      <c r="AD182" s="66" t="str">
        <f aca="false">IF(W182="","",W182*(1+N(AC182)))</f>
        <v/>
      </c>
      <c r="AE182" s="62"/>
      <c r="AF182" s="71"/>
      <c r="AG182" s="71"/>
      <c r="AH182" s="71"/>
      <c r="AI182" s="66" t="str">
        <f aca="false">IF(A182="","",N(AF182)+N(AG182)+N(AH182))</f>
        <v/>
      </c>
      <c r="AJ182" s="72" t="str">
        <f aca="false">IF(AD182="","",IF(N(AD182)=0,"",AI182/AD182))</f>
        <v/>
      </c>
      <c r="AK182" s="66" t="str">
        <f aca="false">IF(AD182="","",IF(AD182-AI182&lt;1,0,ROUND(AD182-AI182,2)))</f>
        <v/>
      </c>
      <c r="AL182" s="66" t="str">
        <f aca="false">IF(OR(O182="",AD182=""),"",MAX(0,ROUND(N(AI182)-(AD182-N(AW182)),0)))</f>
        <v/>
      </c>
      <c r="AM182" s="73" t="str">
        <f aca="false">IF(A182="","",IF(O182="","No PO Yet",IF(AI182=0,"Not Paid",IF(N(AJ182)&gt;=0.999,"Fully Paid",IF(N(AG182)+N(AH182)&gt;0,"Partially Paid","Initial / Advance Paid")))))</f>
        <v/>
      </c>
      <c r="AN182" s="61"/>
      <c r="AO182" s="61"/>
      <c r="AP182" s="74" t="str">
        <f aca="false">IF(AK182="","",IF(OR(N(AK182)=0,AO182=""),"",MAX(0,Settings!$B$4-AO182)))</f>
        <v/>
      </c>
      <c r="AQ182" s="73" t="str">
        <f aca="false">IF(AK182="","",IF(N(AK182)&lt;=0,"",IF(AO182="","No Due Date",IF(Settings!$B$4&lt;=AO182,"Not Yet Due",IF(Settings!$B$4-AO182&lt;=30,"1-30 Days",IF(Settings!$B$4-AO182&lt;=60,"31-60 Days",IF(Settings!$B$4-AO182&lt;=90,"61-90 Days","90+ Days")))))))</f>
        <v/>
      </c>
      <c r="AR182" s="61"/>
      <c r="AS182" s="61"/>
      <c r="AT182" s="63"/>
      <c r="AU182" s="72" t="str">
        <f aca="false">IF(Q182="","",IF(N(Q182)=0,"",N(AT182)/Q182))</f>
        <v/>
      </c>
      <c r="AV182" s="75" t="str">
        <f aca="false">IF(OR(A182="",O182="",Q182=""),"",MAX(0,Q182-N(AT182)))</f>
        <v/>
      </c>
      <c r="AW182" s="66" t="str">
        <f aca="false">IF(OR(AV182="",W182=""),"",IF(N(Q182)=0,0,AV182/Q182*AD182))</f>
        <v/>
      </c>
      <c r="AX182" s="76" t="str">
        <f aca="false">IF(A182="","",IF(O182="","No PO Yet",IF(Q182="","Order Qty Missing",IF(N(AT182)&gt;=Q182,IF(N(AT182)&gt;Q182,"All In-house (+"&amp;TEXT(N(AT182)-Q182,"#,##0")&amp;" "&amp;R182&amp;" excess)","All In-house"),IF(AY182&lt;&gt;"","Short Closed - "&amp;TEXT(AV182,"#,##0")&amp;" "&amp;R182&amp;" not received",IF(N(AT182)=0,"Not Started - "&amp;TEXT(AV182,"#,##0")&amp;" "&amp;R182&amp;" pending","Pending "&amp;TEXT(AV182,"#,##0")&amp;" "&amp;R182&amp;" ("&amp;TEXT(AU182,"0%")&amp;" received)"))))))</f>
        <v/>
      </c>
      <c r="AY182" s="61"/>
      <c r="AZ182" s="77" t="str">
        <f aca="false">IF(OR(B182="",J182=""),"",J182-B182)</f>
        <v/>
      </c>
      <c r="BA182" s="77" t="str">
        <f aca="false">IF(OR(J182="",P182=""),"",P182-J182)</f>
        <v/>
      </c>
      <c r="BB182" s="77" t="str">
        <f aca="false">IF(OR(P182="",AY182=""),"",AY182-P182)</f>
        <v/>
      </c>
      <c r="BC182" s="77" t="str">
        <f aca="false">IF(OR(B182="",AY182=""),"",AY182-B182)</f>
        <v/>
      </c>
      <c r="BD182" s="74" t="str">
        <f aca="false">IF(OR(AR182="",O182=""),"",MAX(0,IF(AY182="",Settings!$B$4,AY182)-AR182))</f>
        <v/>
      </c>
      <c r="BE182" s="73" t="str">
        <f aca="false">IF(OR(AY182="",AR182=""),"",IF(AND(AY182&lt;=AR182,N(AU182)&gt;=Settings!$B$6),"OTIF","Not OTIF"))</f>
        <v/>
      </c>
      <c r="BF182" s="60"/>
      <c r="BG182" s="62"/>
      <c r="BH182" s="78"/>
      <c r="BI182" s="76" t="str">
        <f aca="false">IF(A182="","",IF(K182="Rejected","Rejected",IF(K182&lt;&gt;"Approved","Awaiting Approval",IF(O182="","Approved - PO Pending",IF(AY182&lt;&gt;"",IF(N(AJ182)&gt;=0.999,"Closed","In-house Closed - Payment Due"),IF(AS182&lt;&gt;"","Receiving In-house","PO Issued - Awaiting Delivery"))))))</f>
        <v/>
      </c>
      <c r="BJ182" s="76" t="str">
        <f aca="false">IF(A182="","",IF(IF(AND(A182&lt;&gt;"",OR(B182="",C182="",E182="",F182="",H182="")),"PR info missing; ","")&amp;IF(AND(K182="Approved",OR(J182="",I182="")),"Approval ref/date missing; ","")&amp;IF(AND(O182&lt;&gt;"",K182&lt;&gt;"Approved"),"PO without approval; ","")&amp;IF(AND(O182&lt;&gt;"",OR(P182="",M182="",Q182="",S182="",T182="")),"PO details missing; ","")&amp;IF(AND(O182&lt;&gt;"",AR182=""),"Committed date missing; ","")&amp;IF(AND(ISNUMBER(J182),ISNUMBER(B182),N(J182)&lt;N(B182)),"Approval dated before PR; ","")&amp;IF(AND(ISNUMBER(P182),ISNUMBER(J182),N(P182)&lt;N(J182)),"PO dated before approval; ","")&amp;IF(AND(ISNUMBER(AY182),ISNUMBER(AS182),N(AY182)&lt;N(AS182)),"Close before in-house start; ","")&amp;IF(AND(AY182&lt;&gt;"",AS182=""),"In-house start date missing; ","")&amp;IF(AND(AY182&lt;&gt;"",AT182=""),"Qty received missing; ","")&amp;IF(AND(AY182&lt;&gt;"",BF182=""),"QC status missing; ","")&amp;IF(N(AT182)&gt;N(Q182)*1.05,"Received &gt; ordered +5%; ","")&amp;IF(AND(N(AI182)&gt;0,AE182=""),"Payment terms missing; ","")&amp;IF(N(AI182)&gt;N(AD182)+1,"Overpaid vs PO; ","")&amp;IF(AND(N(AK182)&gt;0,AY182&lt;&gt;"",AO182=""),"Payment due date missing; ","")="","OK",IF(AND(A182&lt;&gt;"",OR(B182="",C182="",E182="",F182="",H182="")),"PR info missing; ","")&amp;IF(AND(K182="Approved",OR(J182="",I182="")),"Approval ref/date missing; ","")&amp;IF(AND(O182&lt;&gt;"",K182&lt;&gt;"Approved"),"PO without approval; ","")&amp;IF(AND(O182&lt;&gt;"",OR(P182="",M182="",Q182="",S182="",T182="")),"PO details missing; ","")&amp;IF(AND(O182&lt;&gt;"",AR182=""),"Committed date missing; ","")&amp;IF(AND(ISNUMBER(J182),ISNUMBER(B182),N(J182)&lt;N(B182)),"Approval dated before PR; ","")&amp;IF(AND(ISNUMBER(P182),ISNUMBER(J182),N(P182)&lt;N(J182)),"PO dated before approval; ","")&amp;IF(AND(ISNUMBER(AY182),ISNUMBER(AS182),N(AY182)&lt;N(AS182)),"Close before in-house start; ","")&amp;IF(AND(AY182&lt;&gt;"",AS182=""),"In-house start date missing; ","")&amp;IF(AND(AY182&lt;&gt;"",AT182=""),"Qty received missing; ","")&amp;IF(AND(AY182&lt;&gt;"",BF182=""),"QC status missing; ","")&amp;IF(N(AT182)&gt;N(Q182)*1.05,"Received &gt; ordered +5%; ","")&amp;IF(AND(N(AI182)&gt;0,AE182=""),"Payment terms missing; ","")&amp;IF(N(AI182)&gt;N(AD182)+1,"Overpaid vs PO; ","")&amp;IF(AND(N(AK182)&gt;0,AY182&lt;&gt;"",AO182=""),"Payment due date missing; ","")))</f>
        <v/>
      </c>
      <c r="BK182" s="76" t="str">
        <f aca="false">IF(A182="","",IF(N(AP182)&gt;0,"Pay supplier: "&amp;N(AP182)&amp;" days overdue; ","")&amp;IF(AND(O182&lt;&gt;"",AY182="",N(BD182)&gt;0),"Expedite delivery: "&amp;N(BD182)&amp;" days late; ","")&amp;IF(AND(BI182="Awaiting Approval",ISNUMBER(B182),Settings!$B$4-N(B182)&gt;Settings!$B$19),"Get approval: PR waiting "&amp;(Settings!$B$4-N(B182))&amp;" days; ","")&amp;IF(AND(BI182="Approved - PO Pending",ISNUMBER(J182),Settings!$B$4-N(J182)&gt;Settings!$B$20),"Issue PO: approved "&amp;(Settings!$B$4-N(J182))&amp;" days ago; ","")&amp;IF(AND(OR(BI182="Awaiting Approval",BI182="Approved - PO Pending"),N(AB182)&gt;Settings!$B$7),"Negotiate price: "&amp;TEXT(AB182,"0%")&amp;" above budget; ","")&amp;IF(LEFT(AX182,12)="Short Closed","Short closed: claim balance / credit note"&amp;IF(N(AL182)&gt;0," BDT "&amp;TEXT(AL182,"#,##0"),"")&amp;"; ","")&amp;IF(BF182="Rejected","QC rejected: return / replace; ","")&amp;IF(AND(O182&lt;&gt;"",AY182="",N(AL182)&gt;0,N(BD182)&gt;0),"Advance at risk: BDT "&amp;TEXT(AL182,"#,##0")&amp;" paid, goods late; ","")&amp;IF(AND(BJ182&lt;&gt;"",BJ182&lt;&gt;"OK"),"Fix data entry (see Data Check); ",""))</f>
        <v/>
      </c>
      <c r="BL182" s="73" t="str">
        <f aca="false">IF(BK182="","",IF(OR(N(AP182)&gt;30,AND(AY182="",N(BD182)&gt;15),BF182="Rejected",AND(LEFT(AX182,12)="Short Closed",N(AL182)&gt;0),AND(O182&lt;&gt;"",AY182="",N(AL182)&gt;0,N(BD182)&gt;0)),"High",IF(OR(N(AP182)&gt;0,AND(AY182="",N(BD182)&gt;7),LEFT(AX182,12)="Short Closed",AND(BI182="Awaiting Approval",ISNUMBER(B182),Settings!$B$4-N(B182)&gt;2*Settings!$B$19),AND(BI182="Approved - PO Pending",ISNUMBER(J182),Settings!$B$4-N(J182)&gt;2*Settings!$B$20)),"Medium","Low")))</f>
        <v/>
      </c>
      <c r="BM182" s="77" t="str">
        <f aca="false">IF(BL182="","",IF(BL182="High",1,IF(BL182="Medium",2,3))*10000+ROW())</f>
        <v/>
      </c>
      <c r="BN182" s="62"/>
    </row>
    <row r="183" customFormat="false" ht="18" hidden="false" customHeight="true" outlineLevel="0" collapsed="false">
      <c r="A183" s="60"/>
      <c r="B183" s="61"/>
      <c r="C183" s="62"/>
      <c r="D183" s="62"/>
      <c r="E183" s="62"/>
      <c r="F183" s="62"/>
      <c r="G183" s="62"/>
      <c r="H183" s="60"/>
      <c r="I183" s="60"/>
      <c r="J183" s="61"/>
      <c r="K183" s="60"/>
      <c r="L183" s="60"/>
      <c r="M183" s="62"/>
      <c r="N183" s="60"/>
      <c r="O183" s="60"/>
      <c r="P183" s="61"/>
      <c r="Q183" s="63"/>
      <c r="R183" s="60"/>
      <c r="S183" s="64"/>
      <c r="T183" s="60"/>
      <c r="U183" s="65" t="str">
        <f aca="false">IF(AND(T183="",S183=""),"",IF(T183="",1,IFERROR(INDEX(Settings!$B$12:$B$16,MATCH(T183,Settings!$A$12:$A$16,0)),1)))</f>
        <v/>
      </c>
      <c r="V183" s="64"/>
      <c r="W183" s="66" t="str">
        <f aca="false">IF(OR(Q183="",S183=""),"",Q183*S183*U183)</f>
        <v/>
      </c>
      <c r="X183" s="65" t="str">
        <f aca="false">IF(OR(W183="",N(Q183)=0),"",W183/Q183)</f>
        <v/>
      </c>
      <c r="Y183" s="65" t="str">
        <f aca="false">IF(OR(X183="",P183="",E183=""),"",IF(_xlfn.MAXIFS($P$6:$P$205,$E$6:$E$205,E183,$P$6:$P$205,"&lt;"&amp;P183,$X$6:$X$205,"&gt;0")=0,"",IFERROR(AVERAGEIFS($X$6:$X$205,$E$6:$E$205,E183,$P$6:$P$205,_xlfn.MAXIFS($P$6:$P$205,$E$6:$E$205,E183,$P$6:$P$205,"&lt;"&amp;P183,$X$6:$X$205,"&gt;0"),$X$6:$X$205,"&gt;0"),"")))</f>
        <v/>
      </c>
      <c r="Z183" s="67" t="str">
        <f aca="false">IF(OR(Y183="",X183=""),"",X183/Y183-1)</f>
        <v/>
      </c>
      <c r="AA183" s="68" t="str">
        <f aca="false">IF(OR(W183="",V183=""),"",W183-Q183*V183)</f>
        <v/>
      </c>
      <c r="AB183" s="69" t="str">
        <f aca="false">IF(AA183="","",IF(N(V183)*N(Q183)=0,"",AA183/(Q183*V183)))</f>
        <v/>
      </c>
      <c r="AC183" s="70"/>
      <c r="AD183" s="66" t="str">
        <f aca="false">IF(W183="","",W183*(1+N(AC183)))</f>
        <v/>
      </c>
      <c r="AE183" s="62"/>
      <c r="AF183" s="71"/>
      <c r="AG183" s="71"/>
      <c r="AH183" s="71"/>
      <c r="AI183" s="66" t="str">
        <f aca="false">IF(A183="","",N(AF183)+N(AG183)+N(AH183))</f>
        <v/>
      </c>
      <c r="AJ183" s="72" t="str">
        <f aca="false">IF(AD183="","",IF(N(AD183)=0,"",AI183/AD183))</f>
        <v/>
      </c>
      <c r="AK183" s="66" t="str">
        <f aca="false">IF(AD183="","",IF(AD183-AI183&lt;1,0,ROUND(AD183-AI183,2)))</f>
        <v/>
      </c>
      <c r="AL183" s="66" t="str">
        <f aca="false">IF(OR(O183="",AD183=""),"",MAX(0,ROUND(N(AI183)-(AD183-N(AW183)),0)))</f>
        <v/>
      </c>
      <c r="AM183" s="73" t="str">
        <f aca="false">IF(A183="","",IF(O183="","No PO Yet",IF(AI183=0,"Not Paid",IF(N(AJ183)&gt;=0.999,"Fully Paid",IF(N(AG183)+N(AH183)&gt;0,"Partially Paid","Initial / Advance Paid")))))</f>
        <v/>
      </c>
      <c r="AN183" s="61"/>
      <c r="AO183" s="61"/>
      <c r="AP183" s="74" t="str">
        <f aca="false">IF(AK183="","",IF(OR(N(AK183)=0,AO183=""),"",MAX(0,Settings!$B$4-AO183)))</f>
        <v/>
      </c>
      <c r="AQ183" s="73" t="str">
        <f aca="false">IF(AK183="","",IF(N(AK183)&lt;=0,"",IF(AO183="","No Due Date",IF(Settings!$B$4&lt;=AO183,"Not Yet Due",IF(Settings!$B$4-AO183&lt;=30,"1-30 Days",IF(Settings!$B$4-AO183&lt;=60,"31-60 Days",IF(Settings!$B$4-AO183&lt;=90,"61-90 Days","90+ Days")))))))</f>
        <v/>
      </c>
      <c r="AR183" s="61"/>
      <c r="AS183" s="61"/>
      <c r="AT183" s="63"/>
      <c r="AU183" s="72" t="str">
        <f aca="false">IF(Q183="","",IF(N(Q183)=0,"",N(AT183)/Q183))</f>
        <v/>
      </c>
      <c r="AV183" s="75" t="str">
        <f aca="false">IF(OR(A183="",O183="",Q183=""),"",MAX(0,Q183-N(AT183)))</f>
        <v/>
      </c>
      <c r="AW183" s="66" t="str">
        <f aca="false">IF(OR(AV183="",W183=""),"",IF(N(Q183)=0,0,AV183/Q183*AD183))</f>
        <v/>
      </c>
      <c r="AX183" s="76" t="str">
        <f aca="false">IF(A183="","",IF(O183="","No PO Yet",IF(Q183="","Order Qty Missing",IF(N(AT183)&gt;=Q183,IF(N(AT183)&gt;Q183,"All In-house (+"&amp;TEXT(N(AT183)-Q183,"#,##0")&amp;" "&amp;R183&amp;" excess)","All In-house"),IF(AY183&lt;&gt;"","Short Closed - "&amp;TEXT(AV183,"#,##0")&amp;" "&amp;R183&amp;" not received",IF(N(AT183)=0,"Not Started - "&amp;TEXT(AV183,"#,##0")&amp;" "&amp;R183&amp;" pending","Pending "&amp;TEXT(AV183,"#,##0")&amp;" "&amp;R183&amp;" ("&amp;TEXT(AU183,"0%")&amp;" received)"))))))</f>
        <v/>
      </c>
      <c r="AY183" s="61"/>
      <c r="AZ183" s="77" t="str">
        <f aca="false">IF(OR(B183="",J183=""),"",J183-B183)</f>
        <v/>
      </c>
      <c r="BA183" s="77" t="str">
        <f aca="false">IF(OR(J183="",P183=""),"",P183-J183)</f>
        <v/>
      </c>
      <c r="BB183" s="77" t="str">
        <f aca="false">IF(OR(P183="",AY183=""),"",AY183-P183)</f>
        <v/>
      </c>
      <c r="BC183" s="77" t="str">
        <f aca="false">IF(OR(B183="",AY183=""),"",AY183-B183)</f>
        <v/>
      </c>
      <c r="BD183" s="74" t="str">
        <f aca="false">IF(OR(AR183="",O183=""),"",MAX(0,IF(AY183="",Settings!$B$4,AY183)-AR183))</f>
        <v/>
      </c>
      <c r="BE183" s="73" t="str">
        <f aca="false">IF(OR(AY183="",AR183=""),"",IF(AND(AY183&lt;=AR183,N(AU183)&gt;=Settings!$B$6),"OTIF","Not OTIF"))</f>
        <v/>
      </c>
      <c r="BF183" s="60"/>
      <c r="BG183" s="62"/>
      <c r="BH183" s="78"/>
      <c r="BI183" s="76" t="str">
        <f aca="false">IF(A183="","",IF(K183="Rejected","Rejected",IF(K183&lt;&gt;"Approved","Awaiting Approval",IF(O183="","Approved - PO Pending",IF(AY183&lt;&gt;"",IF(N(AJ183)&gt;=0.999,"Closed","In-house Closed - Payment Due"),IF(AS183&lt;&gt;"","Receiving In-house","PO Issued - Awaiting Delivery"))))))</f>
        <v/>
      </c>
      <c r="BJ183" s="76" t="str">
        <f aca="false">IF(A183="","",IF(IF(AND(A183&lt;&gt;"",OR(B183="",C183="",E183="",F183="",H183="")),"PR info missing; ","")&amp;IF(AND(K183="Approved",OR(J183="",I183="")),"Approval ref/date missing; ","")&amp;IF(AND(O183&lt;&gt;"",K183&lt;&gt;"Approved"),"PO without approval; ","")&amp;IF(AND(O183&lt;&gt;"",OR(P183="",M183="",Q183="",S183="",T183="")),"PO details missing; ","")&amp;IF(AND(O183&lt;&gt;"",AR183=""),"Committed date missing; ","")&amp;IF(AND(ISNUMBER(J183),ISNUMBER(B183),N(J183)&lt;N(B183)),"Approval dated before PR; ","")&amp;IF(AND(ISNUMBER(P183),ISNUMBER(J183),N(P183)&lt;N(J183)),"PO dated before approval; ","")&amp;IF(AND(ISNUMBER(AY183),ISNUMBER(AS183),N(AY183)&lt;N(AS183)),"Close before in-house start; ","")&amp;IF(AND(AY183&lt;&gt;"",AS183=""),"In-house start date missing; ","")&amp;IF(AND(AY183&lt;&gt;"",AT183=""),"Qty received missing; ","")&amp;IF(AND(AY183&lt;&gt;"",BF183=""),"QC status missing; ","")&amp;IF(N(AT183)&gt;N(Q183)*1.05,"Received &gt; ordered +5%; ","")&amp;IF(AND(N(AI183)&gt;0,AE183=""),"Payment terms missing; ","")&amp;IF(N(AI183)&gt;N(AD183)+1,"Overpaid vs PO; ","")&amp;IF(AND(N(AK183)&gt;0,AY183&lt;&gt;"",AO183=""),"Payment due date missing; ","")="","OK",IF(AND(A183&lt;&gt;"",OR(B183="",C183="",E183="",F183="",H183="")),"PR info missing; ","")&amp;IF(AND(K183="Approved",OR(J183="",I183="")),"Approval ref/date missing; ","")&amp;IF(AND(O183&lt;&gt;"",K183&lt;&gt;"Approved"),"PO without approval; ","")&amp;IF(AND(O183&lt;&gt;"",OR(P183="",M183="",Q183="",S183="",T183="")),"PO details missing; ","")&amp;IF(AND(O183&lt;&gt;"",AR183=""),"Committed date missing; ","")&amp;IF(AND(ISNUMBER(J183),ISNUMBER(B183),N(J183)&lt;N(B183)),"Approval dated before PR; ","")&amp;IF(AND(ISNUMBER(P183),ISNUMBER(J183),N(P183)&lt;N(J183)),"PO dated before approval; ","")&amp;IF(AND(ISNUMBER(AY183),ISNUMBER(AS183),N(AY183)&lt;N(AS183)),"Close before in-house start; ","")&amp;IF(AND(AY183&lt;&gt;"",AS183=""),"In-house start date missing; ","")&amp;IF(AND(AY183&lt;&gt;"",AT183=""),"Qty received missing; ","")&amp;IF(AND(AY183&lt;&gt;"",BF183=""),"QC status missing; ","")&amp;IF(N(AT183)&gt;N(Q183)*1.05,"Received &gt; ordered +5%; ","")&amp;IF(AND(N(AI183)&gt;0,AE183=""),"Payment terms missing; ","")&amp;IF(N(AI183)&gt;N(AD183)+1,"Overpaid vs PO; ","")&amp;IF(AND(N(AK183)&gt;0,AY183&lt;&gt;"",AO183=""),"Payment due date missing; ","")))</f>
        <v/>
      </c>
      <c r="BK183" s="76" t="str">
        <f aca="false">IF(A183="","",IF(N(AP183)&gt;0,"Pay supplier: "&amp;N(AP183)&amp;" days overdue; ","")&amp;IF(AND(O183&lt;&gt;"",AY183="",N(BD183)&gt;0),"Expedite delivery: "&amp;N(BD183)&amp;" days late; ","")&amp;IF(AND(BI183="Awaiting Approval",ISNUMBER(B183),Settings!$B$4-N(B183)&gt;Settings!$B$19),"Get approval: PR waiting "&amp;(Settings!$B$4-N(B183))&amp;" days; ","")&amp;IF(AND(BI183="Approved - PO Pending",ISNUMBER(J183),Settings!$B$4-N(J183)&gt;Settings!$B$20),"Issue PO: approved "&amp;(Settings!$B$4-N(J183))&amp;" days ago; ","")&amp;IF(AND(OR(BI183="Awaiting Approval",BI183="Approved - PO Pending"),N(AB183)&gt;Settings!$B$7),"Negotiate price: "&amp;TEXT(AB183,"0%")&amp;" above budget; ","")&amp;IF(LEFT(AX183,12)="Short Closed","Short closed: claim balance / credit note"&amp;IF(N(AL183)&gt;0," BDT "&amp;TEXT(AL183,"#,##0"),"")&amp;"; ","")&amp;IF(BF183="Rejected","QC rejected: return / replace; ","")&amp;IF(AND(O183&lt;&gt;"",AY183="",N(AL183)&gt;0,N(BD183)&gt;0),"Advance at risk: BDT "&amp;TEXT(AL183,"#,##0")&amp;" paid, goods late; ","")&amp;IF(AND(BJ183&lt;&gt;"",BJ183&lt;&gt;"OK"),"Fix data entry (see Data Check); ",""))</f>
        <v/>
      </c>
      <c r="BL183" s="73" t="str">
        <f aca="false">IF(BK183="","",IF(OR(N(AP183)&gt;30,AND(AY183="",N(BD183)&gt;15),BF183="Rejected",AND(LEFT(AX183,12)="Short Closed",N(AL183)&gt;0),AND(O183&lt;&gt;"",AY183="",N(AL183)&gt;0,N(BD183)&gt;0)),"High",IF(OR(N(AP183)&gt;0,AND(AY183="",N(BD183)&gt;7),LEFT(AX183,12)="Short Closed",AND(BI183="Awaiting Approval",ISNUMBER(B183),Settings!$B$4-N(B183)&gt;2*Settings!$B$19),AND(BI183="Approved - PO Pending",ISNUMBER(J183),Settings!$B$4-N(J183)&gt;2*Settings!$B$20)),"Medium","Low")))</f>
        <v/>
      </c>
      <c r="BM183" s="77" t="str">
        <f aca="false">IF(BL183="","",IF(BL183="High",1,IF(BL183="Medium",2,3))*10000+ROW())</f>
        <v/>
      </c>
      <c r="BN183" s="62"/>
    </row>
    <row r="184" customFormat="false" ht="18" hidden="false" customHeight="true" outlineLevel="0" collapsed="false">
      <c r="A184" s="60"/>
      <c r="B184" s="61"/>
      <c r="C184" s="62"/>
      <c r="D184" s="62"/>
      <c r="E184" s="62"/>
      <c r="F184" s="62"/>
      <c r="G184" s="62"/>
      <c r="H184" s="60"/>
      <c r="I184" s="60"/>
      <c r="J184" s="61"/>
      <c r="K184" s="60"/>
      <c r="L184" s="60"/>
      <c r="M184" s="62"/>
      <c r="N184" s="60"/>
      <c r="O184" s="60"/>
      <c r="P184" s="61"/>
      <c r="Q184" s="63"/>
      <c r="R184" s="60"/>
      <c r="S184" s="64"/>
      <c r="T184" s="60"/>
      <c r="U184" s="65" t="str">
        <f aca="false">IF(AND(T184="",S184=""),"",IF(T184="",1,IFERROR(INDEX(Settings!$B$12:$B$16,MATCH(T184,Settings!$A$12:$A$16,0)),1)))</f>
        <v/>
      </c>
      <c r="V184" s="64"/>
      <c r="W184" s="66" t="str">
        <f aca="false">IF(OR(Q184="",S184=""),"",Q184*S184*U184)</f>
        <v/>
      </c>
      <c r="X184" s="65" t="str">
        <f aca="false">IF(OR(W184="",N(Q184)=0),"",W184/Q184)</f>
        <v/>
      </c>
      <c r="Y184" s="65" t="str">
        <f aca="false">IF(OR(X184="",P184="",E184=""),"",IF(_xlfn.MAXIFS($P$6:$P$205,$E$6:$E$205,E184,$P$6:$P$205,"&lt;"&amp;P184,$X$6:$X$205,"&gt;0")=0,"",IFERROR(AVERAGEIFS($X$6:$X$205,$E$6:$E$205,E184,$P$6:$P$205,_xlfn.MAXIFS($P$6:$P$205,$E$6:$E$205,E184,$P$6:$P$205,"&lt;"&amp;P184,$X$6:$X$205,"&gt;0"),$X$6:$X$205,"&gt;0"),"")))</f>
        <v/>
      </c>
      <c r="Z184" s="67" t="str">
        <f aca="false">IF(OR(Y184="",X184=""),"",X184/Y184-1)</f>
        <v/>
      </c>
      <c r="AA184" s="68" t="str">
        <f aca="false">IF(OR(W184="",V184=""),"",W184-Q184*V184)</f>
        <v/>
      </c>
      <c r="AB184" s="69" t="str">
        <f aca="false">IF(AA184="","",IF(N(V184)*N(Q184)=0,"",AA184/(Q184*V184)))</f>
        <v/>
      </c>
      <c r="AC184" s="70"/>
      <c r="AD184" s="66" t="str">
        <f aca="false">IF(W184="","",W184*(1+N(AC184)))</f>
        <v/>
      </c>
      <c r="AE184" s="62"/>
      <c r="AF184" s="71"/>
      <c r="AG184" s="71"/>
      <c r="AH184" s="71"/>
      <c r="AI184" s="66" t="str">
        <f aca="false">IF(A184="","",N(AF184)+N(AG184)+N(AH184))</f>
        <v/>
      </c>
      <c r="AJ184" s="72" t="str">
        <f aca="false">IF(AD184="","",IF(N(AD184)=0,"",AI184/AD184))</f>
        <v/>
      </c>
      <c r="AK184" s="66" t="str">
        <f aca="false">IF(AD184="","",IF(AD184-AI184&lt;1,0,ROUND(AD184-AI184,2)))</f>
        <v/>
      </c>
      <c r="AL184" s="66" t="str">
        <f aca="false">IF(OR(O184="",AD184=""),"",MAX(0,ROUND(N(AI184)-(AD184-N(AW184)),0)))</f>
        <v/>
      </c>
      <c r="AM184" s="73" t="str">
        <f aca="false">IF(A184="","",IF(O184="","No PO Yet",IF(AI184=0,"Not Paid",IF(N(AJ184)&gt;=0.999,"Fully Paid",IF(N(AG184)+N(AH184)&gt;0,"Partially Paid","Initial / Advance Paid")))))</f>
        <v/>
      </c>
      <c r="AN184" s="61"/>
      <c r="AO184" s="61"/>
      <c r="AP184" s="74" t="str">
        <f aca="false">IF(AK184="","",IF(OR(N(AK184)=0,AO184=""),"",MAX(0,Settings!$B$4-AO184)))</f>
        <v/>
      </c>
      <c r="AQ184" s="73" t="str">
        <f aca="false">IF(AK184="","",IF(N(AK184)&lt;=0,"",IF(AO184="","No Due Date",IF(Settings!$B$4&lt;=AO184,"Not Yet Due",IF(Settings!$B$4-AO184&lt;=30,"1-30 Days",IF(Settings!$B$4-AO184&lt;=60,"31-60 Days",IF(Settings!$B$4-AO184&lt;=90,"61-90 Days","90+ Days")))))))</f>
        <v/>
      </c>
      <c r="AR184" s="61"/>
      <c r="AS184" s="61"/>
      <c r="AT184" s="63"/>
      <c r="AU184" s="72" t="str">
        <f aca="false">IF(Q184="","",IF(N(Q184)=0,"",N(AT184)/Q184))</f>
        <v/>
      </c>
      <c r="AV184" s="75" t="str">
        <f aca="false">IF(OR(A184="",O184="",Q184=""),"",MAX(0,Q184-N(AT184)))</f>
        <v/>
      </c>
      <c r="AW184" s="66" t="str">
        <f aca="false">IF(OR(AV184="",W184=""),"",IF(N(Q184)=0,0,AV184/Q184*AD184))</f>
        <v/>
      </c>
      <c r="AX184" s="76" t="str">
        <f aca="false">IF(A184="","",IF(O184="","No PO Yet",IF(Q184="","Order Qty Missing",IF(N(AT184)&gt;=Q184,IF(N(AT184)&gt;Q184,"All In-house (+"&amp;TEXT(N(AT184)-Q184,"#,##0")&amp;" "&amp;R184&amp;" excess)","All In-house"),IF(AY184&lt;&gt;"","Short Closed - "&amp;TEXT(AV184,"#,##0")&amp;" "&amp;R184&amp;" not received",IF(N(AT184)=0,"Not Started - "&amp;TEXT(AV184,"#,##0")&amp;" "&amp;R184&amp;" pending","Pending "&amp;TEXT(AV184,"#,##0")&amp;" "&amp;R184&amp;" ("&amp;TEXT(AU184,"0%")&amp;" received)"))))))</f>
        <v/>
      </c>
      <c r="AY184" s="61"/>
      <c r="AZ184" s="77" t="str">
        <f aca="false">IF(OR(B184="",J184=""),"",J184-B184)</f>
        <v/>
      </c>
      <c r="BA184" s="77" t="str">
        <f aca="false">IF(OR(J184="",P184=""),"",P184-J184)</f>
        <v/>
      </c>
      <c r="BB184" s="77" t="str">
        <f aca="false">IF(OR(P184="",AY184=""),"",AY184-P184)</f>
        <v/>
      </c>
      <c r="BC184" s="77" t="str">
        <f aca="false">IF(OR(B184="",AY184=""),"",AY184-B184)</f>
        <v/>
      </c>
      <c r="BD184" s="74" t="str">
        <f aca="false">IF(OR(AR184="",O184=""),"",MAX(0,IF(AY184="",Settings!$B$4,AY184)-AR184))</f>
        <v/>
      </c>
      <c r="BE184" s="73" t="str">
        <f aca="false">IF(OR(AY184="",AR184=""),"",IF(AND(AY184&lt;=AR184,N(AU184)&gt;=Settings!$B$6),"OTIF","Not OTIF"))</f>
        <v/>
      </c>
      <c r="BF184" s="60"/>
      <c r="BG184" s="62"/>
      <c r="BH184" s="78"/>
      <c r="BI184" s="76" t="str">
        <f aca="false">IF(A184="","",IF(K184="Rejected","Rejected",IF(K184&lt;&gt;"Approved","Awaiting Approval",IF(O184="","Approved - PO Pending",IF(AY184&lt;&gt;"",IF(N(AJ184)&gt;=0.999,"Closed","In-house Closed - Payment Due"),IF(AS184&lt;&gt;"","Receiving In-house","PO Issued - Awaiting Delivery"))))))</f>
        <v/>
      </c>
      <c r="BJ184" s="76" t="str">
        <f aca="false">IF(A184="","",IF(IF(AND(A184&lt;&gt;"",OR(B184="",C184="",E184="",F184="",H184="")),"PR info missing; ","")&amp;IF(AND(K184="Approved",OR(J184="",I184="")),"Approval ref/date missing; ","")&amp;IF(AND(O184&lt;&gt;"",K184&lt;&gt;"Approved"),"PO without approval; ","")&amp;IF(AND(O184&lt;&gt;"",OR(P184="",M184="",Q184="",S184="",T184="")),"PO details missing; ","")&amp;IF(AND(O184&lt;&gt;"",AR184=""),"Committed date missing; ","")&amp;IF(AND(ISNUMBER(J184),ISNUMBER(B184),N(J184)&lt;N(B184)),"Approval dated before PR; ","")&amp;IF(AND(ISNUMBER(P184),ISNUMBER(J184),N(P184)&lt;N(J184)),"PO dated before approval; ","")&amp;IF(AND(ISNUMBER(AY184),ISNUMBER(AS184),N(AY184)&lt;N(AS184)),"Close before in-house start; ","")&amp;IF(AND(AY184&lt;&gt;"",AS184=""),"In-house start date missing; ","")&amp;IF(AND(AY184&lt;&gt;"",AT184=""),"Qty received missing; ","")&amp;IF(AND(AY184&lt;&gt;"",BF184=""),"QC status missing; ","")&amp;IF(N(AT184)&gt;N(Q184)*1.05,"Received &gt; ordered +5%; ","")&amp;IF(AND(N(AI184)&gt;0,AE184=""),"Payment terms missing; ","")&amp;IF(N(AI184)&gt;N(AD184)+1,"Overpaid vs PO; ","")&amp;IF(AND(N(AK184)&gt;0,AY184&lt;&gt;"",AO184=""),"Payment due date missing; ","")="","OK",IF(AND(A184&lt;&gt;"",OR(B184="",C184="",E184="",F184="",H184="")),"PR info missing; ","")&amp;IF(AND(K184="Approved",OR(J184="",I184="")),"Approval ref/date missing; ","")&amp;IF(AND(O184&lt;&gt;"",K184&lt;&gt;"Approved"),"PO without approval; ","")&amp;IF(AND(O184&lt;&gt;"",OR(P184="",M184="",Q184="",S184="",T184="")),"PO details missing; ","")&amp;IF(AND(O184&lt;&gt;"",AR184=""),"Committed date missing; ","")&amp;IF(AND(ISNUMBER(J184),ISNUMBER(B184),N(J184)&lt;N(B184)),"Approval dated before PR; ","")&amp;IF(AND(ISNUMBER(P184),ISNUMBER(J184),N(P184)&lt;N(J184)),"PO dated before approval; ","")&amp;IF(AND(ISNUMBER(AY184),ISNUMBER(AS184),N(AY184)&lt;N(AS184)),"Close before in-house start; ","")&amp;IF(AND(AY184&lt;&gt;"",AS184=""),"In-house start date missing; ","")&amp;IF(AND(AY184&lt;&gt;"",AT184=""),"Qty received missing; ","")&amp;IF(AND(AY184&lt;&gt;"",BF184=""),"QC status missing; ","")&amp;IF(N(AT184)&gt;N(Q184)*1.05,"Received &gt; ordered +5%; ","")&amp;IF(AND(N(AI184)&gt;0,AE184=""),"Payment terms missing; ","")&amp;IF(N(AI184)&gt;N(AD184)+1,"Overpaid vs PO; ","")&amp;IF(AND(N(AK184)&gt;0,AY184&lt;&gt;"",AO184=""),"Payment due date missing; ","")))</f>
        <v/>
      </c>
      <c r="BK184" s="76" t="str">
        <f aca="false">IF(A184="","",IF(N(AP184)&gt;0,"Pay supplier: "&amp;N(AP184)&amp;" days overdue; ","")&amp;IF(AND(O184&lt;&gt;"",AY184="",N(BD184)&gt;0),"Expedite delivery: "&amp;N(BD184)&amp;" days late; ","")&amp;IF(AND(BI184="Awaiting Approval",ISNUMBER(B184),Settings!$B$4-N(B184)&gt;Settings!$B$19),"Get approval: PR waiting "&amp;(Settings!$B$4-N(B184))&amp;" days; ","")&amp;IF(AND(BI184="Approved - PO Pending",ISNUMBER(J184),Settings!$B$4-N(J184)&gt;Settings!$B$20),"Issue PO: approved "&amp;(Settings!$B$4-N(J184))&amp;" days ago; ","")&amp;IF(AND(OR(BI184="Awaiting Approval",BI184="Approved - PO Pending"),N(AB184)&gt;Settings!$B$7),"Negotiate price: "&amp;TEXT(AB184,"0%")&amp;" above budget; ","")&amp;IF(LEFT(AX184,12)="Short Closed","Short closed: claim balance / credit note"&amp;IF(N(AL184)&gt;0," BDT "&amp;TEXT(AL184,"#,##0"),"")&amp;"; ","")&amp;IF(BF184="Rejected","QC rejected: return / replace; ","")&amp;IF(AND(O184&lt;&gt;"",AY184="",N(AL184)&gt;0,N(BD184)&gt;0),"Advance at risk: BDT "&amp;TEXT(AL184,"#,##0")&amp;" paid, goods late; ","")&amp;IF(AND(BJ184&lt;&gt;"",BJ184&lt;&gt;"OK"),"Fix data entry (see Data Check); ",""))</f>
        <v/>
      </c>
      <c r="BL184" s="73" t="str">
        <f aca="false">IF(BK184="","",IF(OR(N(AP184)&gt;30,AND(AY184="",N(BD184)&gt;15),BF184="Rejected",AND(LEFT(AX184,12)="Short Closed",N(AL184)&gt;0),AND(O184&lt;&gt;"",AY184="",N(AL184)&gt;0,N(BD184)&gt;0)),"High",IF(OR(N(AP184)&gt;0,AND(AY184="",N(BD184)&gt;7),LEFT(AX184,12)="Short Closed",AND(BI184="Awaiting Approval",ISNUMBER(B184),Settings!$B$4-N(B184)&gt;2*Settings!$B$19),AND(BI184="Approved - PO Pending",ISNUMBER(J184),Settings!$B$4-N(J184)&gt;2*Settings!$B$20)),"Medium","Low")))</f>
        <v/>
      </c>
      <c r="BM184" s="77" t="str">
        <f aca="false">IF(BL184="","",IF(BL184="High",1,IF(BL184="Medium",2,3))*10000+ROW())</f>
        <v/>
      </c>
      <c r="BN184" s="62"/>
    </row>
    <row r="185" customFormat="false" ht="18" hidden="false" customHeight="true" outlineLevel="0" collapsed="false">
      <c r="A185" s="60"/>
      <c r="B185" s="61"/>
      <c r="C185" s="62"/>
      <c r="D185" s="62"/>
      <c r="E185" s="62"/>
      <c r="F185" s="62"/>
      <c r="G185" s="62"/>
      <c r="H185" s="60"/>
      <c r="I185" s="60"/>
      <c r="J185" s="61"/>
      <c r="K185" s="60"/>
      <c r="L185" s="60"/>
      <c r="M185" s="62"/>
      <c r="N185" s="60"/>
      <c r="O185" s="60"/>
      <c r="P185" s="61"/>
      <c r="Q185" s="63"/>
      <c r="R185" s="60"/>
      <c r="S185" s="64"/>
      <c r="T185" s="60"/>
      <c r="U185" s="65" t="str">
        <f aca="false">IF(AND(T185="",S185=""),"",IF(T185="",1,IFERROR(INDEX(Settings!$B$12:$B$16,MATCH(T185,Settings!$A$12:$A$16,0)),1)))</f>
        <v/>
      </c>
      <c r="V185" s="64"/>
      <c r="W185" s="66" t="str">
        <f aca="false">IF(OR(Q185="",S185=""),"",Q185*S185*U185)</f>
        <v/>
      </c>
      <c r="X185" s="65" t="str">
        <f aca="false">IF(OR(W185="",N(Q185)=0),"",W185/Q185)</f>
        <v/>
      </c>
      <c r="Y185" s="65" t="str">
        <f aca="false">IF(OR(X185="",P185="",E185=""),"",IF(_xlfn.MAXIFS($P$6:$P$205,$E$6:$E$205,E185,$P$6:$P$205,"&lt;"&amp;P185,$X$6:$X$205,"&gt;0")=0,"",IFERROR(AVERAGEIFS($X$6:$X$205,$E$6:$E$205,E185,$P$6:$P$205,_xlfn.MAXIFS($P$6:$P$205,$E$6:$E$205,E185,$P$6:$P$205,"&lt;"&amp;P185,$X$6:$X$205,"&gt;0"),$X$6:$X$205,"&gt;0"),"")))</f>
        <v/>
      </c>
      <c r="Z185" s="67" t="str">
        <f aca="false">IF(OR(Y185="",X185=""),"",X185/Y185-1)</f>
        <v/>
      </c>
      <c r="AA185" s="68" t="str">
        <f aca="false">IF(OR(W185="",V185=""),"",W185-Q185*V185)</f>
        <v/>
      </c>
      <c r="AB185" s="69" t="str">
        <f aca="false">IF(AA185="","",IF(N(V185)*N(Q185)=0,"",AA185/(Q185*V185)))</f>
        <v/>
      </c>
      <c r="AC185" s="70"/>
      <c r="AD185" s="66" t="str">
        <f aca="false">IF(W185="","",W185*(1+N(AC185)))</f>
        <v/>
      </c>
      <c r="AE185" s="62"/>
      <c r="AF185" s="71"/>
      <c r="AG185" s="71"/>
      <c r="AH185" s="71"/>
      <c r="AI185" s="66" t="str">
        <f aca="false">IF(A185="","",N(AF185)+N(AG185)+N(AH185))</f>
        <v/>
      </c>
      <c r="AJ185" s="72" t="str">
        <f aca="false">IF(AD185="","",IF(N(AD185)=0,"",AI185/AD185))</f>
        <v/>
      </c>
      <c r="AK185" s="66" t="str">
        <f aca="false">IF(AD185="","",IF(AD185-AI185&lt;1,0,ROUND(AD185-AI185,2)))</f>
        <v/>
      </c>
      <c r="AL185" s="66" t="str">
        <f aca="false">IF(OR(O185="",AD185=""),"",MAX(0,ROUND(N(AI185)-(AD185-N(AW185)),0)))</f>
        <v/>
      </c>
      <c r="AM185" s="73" t="str">
        <f aca="false">IF(A185="","",IF(O185="","No PO Yet",IF(AI185=0,"Not Paid",IF(N(AJ185)&gt;=0.999,"Fully Paid",IF(N(AG185)+N(AH185)&gt;0,"Partially Paid","Initial / Advance Paid")))))</f>
        <v/>
      </c>
      <c r="AN185" s="61"/>
      <c r="AO185" s="61"/>
      <c r="AP185" s="74" t="str">
        <f aca="false">IF(AK185="","",IF(OR(N(AK185)=0,AO185=""),"",MAX(0,Settings!$B$4-AO185)))</f>
        <v/>
      </c>
      <c r="AQ185" s="73" t="str">
        <f aca="false">IF(AK185="","",IF(N(AK185)&lt;=0,"",IF(AO185="","No Due Date",IF(Settings!$B$4&lt;=AO185,"Not Yet Due",IF(Settings!$B$4-AO185&lt;=30,"1-30 Days",IF(Settings!$B$4-AO185&lt;=60,"31-60 Days",IF(Settings!$B$4-AO185&lt;=90,"61-90 Days","90+ Days")))))))</f>
        <v/>
      </c>
      <c r="AR185" s="61"/>
      <c r="AS185" s="61"/>
      <c r="AT185" s="63"/>
      <c r="AU185" s="72" t="str">
        <f aca="false">IF(Q185="","",IF(N(Q185)=0,"",N(AT185)/Q185))</f>
        <v/>
      </c>
      <c r="AV185" s="75" t="str">
        <f aca="false">IF(OR(A185="",O185="",Q185=""),"",MAX(0,Q185-N(AT185)))</f>
        <v/>
      </c>
      <c r="AW185" s="66" t="str">
        <f aca="false">IF(OR(AV185="",W185=""),"",IF(N(Q185)=0,0,AV185/Q185*AD185))</f>
        <v/>
      </c>
      <c r="AX185" s="76" t="str">
        <f aca="false">IF(A185="","",IF(O185="","No PO Yet",IF(Q185="","Order Qty Missing",IF(N(AT185)&gt;=Q185,IF(N(AT185)&gt;Q185,"All In-house (+"&amp;TEXT(N(AT185)-Q185,"#,##0")&amp;" "&amp;R185&amp;" excess)","All In-house"),IF(AY185&lt;&gt;"","Short Closed - "&amp;TEXT(AV185,"#,##0")&amp;" "&amp;R185&amp;" not received",IF(N(AT185)=0,"Not Started - "&amp;TEXT(AV185,"#,##0")&amp;" "&amp;R185&amp;" pending","Pending "&amp;TEXT(AV185,"#,##0")&amp;" "&amp;R185&amp;" ("&amp;TEXT(AU185,"0%")&amp;" received)"))))))</f>
        <v/>
      </c>
      <c r="AY185" s="61"/>
      <c r="AZ185" s="77" t="str">
        <f aca="false">IF(OR(B185="",J185=""),"",J185-B185)</f>
        <v/>
      </c>
      <c r="BA185" s="77" t="str">
        <f aca="false">IF(OR(J185="",P185=""),"",P185-J185)</f>
        <v/>
      </c>
      <c r="BB185" s="77" t="str">
        <f aca="false">IF(OR(P185="",AY185=""),"",AY185-P185)</f>
        <v/>
      </c>
      <c r="BC185" s="77" t="str">
        <f aca="false">IF(OR(B185="",AY185=""),"",AY185-B185)</f>
        <v/>
      </c>
      <c r="BD185" s="74" t="str">
        <f aca="false">IF(OR(AR185="",O185=""),"",MAX(0,IF(AY185="",Settings!$B$4,AY185)-AR185))</f>
        <v/>
      </c>
      <c r="BE185" s="73" t="str">
        <f aca="false">IF(OR(AY185="",AR185=""),"",IF(AND(AY185&lt;=AR185,N(AU185)&gt;=Settings!$B$6),"OTIF","Not OTIF"))</f>
        <v/>
      </c>
      <c r="BF185" s="60"/>
      <c r="BG185" s="62"/>
      <c r="BH185" s="78"/>
      <c r="BI185" s="76" t="str">
        <f aca="false">IF(A185="","",IF(K185="Rejected","Rejected",IF(K185&lt;&gt;"Approved","Awaiting Approval",IF(O185="","Approved - PO Pending",IF(AY185&lt;&gt;"",IF(N(AJ185)&gt;=0.999,"Closed","In-house Closed - Payment Due"),IF(AS185&lt;&gt;"","Receiving In-house","PO Issued - Awaiting Delivery"))))))</f>
        <v/>
      </c>
      <c r="BJ185" s="76" t="str">
        <f aca="false">IF(A185="","",IF(IF(AND(A185&lt;&gt;"",OR(B185="",C185="",E185="",F185="",H185="")),"PR info missing; ","")&amp;IF(AND(K185="Approved",OR(J185="",I185="")),"Approval ref/date missing; ","")&amp;IF(AND(O185&lt;&gt;"",K185&lt;&gt;"Approved"),"PO without approval; ","")&amp;IF(AND(O185&lt;&gt;"",OR(P185="",M185="",Q185="",S185="",T185="")),"PO details missing; ","")&amp;IF(AND(O185&lt;&gt;"",AR185=""),"Committed date missing; ","")&amp;IF(AND(ISNUMBER(J185),ISNUMBER(B185),N(J185)&lt;N(B185)),"Approval dated before PR; ","")&amp;IF(AND(ISNUMBER(P185),ISNUMBER(J185),N(P185)&lt;N(J185)),"PO dated before approval; ","")&amp;IF(AND(ISNUMBER(AY185),ISNUMBER(AS185),N(AY185)&lt;N(AS185)),"Close before in-house start; ","")&amp;IF(AND(AY185&lt;&gt;"",AS185=""),"In-house start date missing; ","")&amp;IF(AND(AY185&lt;&gt;"",AT185=""),"Qty received missing; ","")&amp;IF(AND(AY185&lt;&gt;"",BF185=""),"QC status missing; ","")&amp;IF(N(AT185)&gt;N(Q185)*1.05,"Received &gt; ordered +5%; ","")&amp;IF(AND(N(AI185)&gt;0,AE185=""),"Payment terms missing; ","")&amp;IF(N(AI185)&gt;N(AD185)+1,"Overpaid vs PO; ","")&amp;IF(AND(N(AK185)&gt;0,AY185&lt;&gt;"",AO185=""),"Payment due date missing; ","")="","OK",IF(AND(A185&lt;&gt;"",OR(B185="",C185="",E185="",F185="",H185="")),"PR info missing; ","")&amp;IF(AND(K185="Approved",OR(J185="",I185="")),"Approval ref/date missing; ","")&amp;IF(AND(O185&lt;&gt;"",K185&lt;&gt;"Approved"),"PO without approval; ","")&amp;IF(AND(O185&lt;&gt;"",OR(P185="",M185="",Q185="",S185="",T185="")),"PO details missing; ","")&amp;IF(AND(O185&lt;&gt;"",AR185=""),"Committed date missing; ","")&amp;IF(AND(ISNUMBER(J185),ISNUMBER(B185),N(J185)&lt;N(B185)),"Approval dated before PR; ","")&amp;IF(AND(ISNUMBER(P185),ISNUMBER(J185),N(P185)&lt;N(J185)),"PO dated before approval; ","")&amp;IF(AND(ISNUMBER(AY185),ISNUMBER(AS185),N(AY185)&lt;N(AS185)),"Close before in-house start; ","")&amp;IF(AND(AY185&lt;&gt;"",AS185=""),"In-house start date missing; ","")&amp;IF(AND(AY185&lt;&gt;"",AT185=""),"Qty received missing; ","")&amp;IF(AND(AY185&lt;&gt;"",BF185=""),"QC status missing; ","")&amp;IF(N(AT185)&gt;N(Q185)*1.05,"Received &gt; ordered +5%; ","")&amp;IF(AND(N(AI185)&gt;0,AE185=""),"Payment terms missing; ","")&amp;IF(N(AI185)&gt;N(AD185)+1,"Overpaid vs PO; ","")&amp;IF(AND(N(AK185)&gt;0,AY185&lt;&gt;"",AO185=""),"Payment due date missing; ","")))</f>
        <v/>
      </c>
      <c r="BK185" s="76" t="str">
        <f aca="false">IF(A185="","",IF(N(AP185)&gt;0,"Pay supplier: "&amp;N(AP185)&amp;" days overdue; ","")&amp;IF(AND(O185&lt;&gt;"",AY185="",N(BD185)&gt;0),"Expedite delivery: "&amp;N(BD185)&amp;" days late; ","")&amp;IF(AND(BI185="Awaiting Approval",ISNUMBER(B185),Settings!$B$4-N(B185)&gt;Settings!$B$19),"Get approval: PR waiting "&amp;(Settings!$B$4-N(B185))&amp;" days; ","")&amp;IF(AND(BI185="Approved - PO Pending",ISNUMBER(J185),Settings!$B$4-N(J185)&gt;Settings!$B$20),"Issue PO: approved "&amp;(Settings!$B$4-N(J185))&amp;" days ago; ","")&amp;IF(AND(OR(BI185="Awaiting Approval",BI185="Approved - PO Pending"),N(AB185)&gt;Settings!$B$7),"Negotiate price: "&amp;TEXT(AB185,"0%")&amp;" above budget; ","")&amp;IF(LEFT(AX185,12)="Short Closed","Short closed: claim balance / credit note"&amp;IF(N(AL185)&gt;0," BDT "&amp;TEXT(AL185,"#,##0"),"")&amp;"; ","")&amp;IF(BF185="Rejected","QC rejected: return / replace; ","")&amp;IF(AND(O185&lt;&gt;"",AY185="",N(AL185)&gt;0,N(BD185)&gt;0),"Advance at risk: BDT "&amp;TEXT(AL185,"#,##0")&amp;" paid, goods late; ","")&amp;IF(AND(BJ185&lt;&gt;"",BJ185&lt;&gt;"OK"),"Fix data entry (see Data Check); ",""))</f>
        <v/>
      </c>
      <c r="BL185" s="73" t="str">
        <f aca="false">IF(BK185="","",IF(OR(N(AP185)&gt;30,AND(AY185="",N(BD185)&gt;15),BF185="Rejected",AND(LEFT(AX185,12)="Short Closed",N(AL185)&gt;0),AND(O185&lt;&gt;"",AY185="",N(AL185)&gt;0,N(BD185)&gt;0)),"High",IF(OR(N(AP185)&gt;0,AND(AY185="",N(BD185)&gt;7),LEFT(AX185,12)="Short Closed",AND(BI185="Awaiting Approval",ISNUMBER(B185),Settings!$B$4-N(B185)&gt;2*Settings!$B$19),AND(BI185="Approved - PO Pending",ISNUMBER(J185),Settings!$B$4-N(J185)&gt;2*Settings!$B$20)),"Medium","Low")))</f>
        <v/>
      </c>
      <c r="BM185" s="77" t="str">
        <f aca="false">IF(BL185="","",IF(BL185="High",1,IF(BL185="Medium",2,3))*10000+ROW())</f>
        <v/>
      </c>
      <c r="BN185" s="62"/>
    </row>
    <row r="186" customFormat="false" ht="18" hidden="false" customHeight="true" outlineLevel="0" collapsed="false">
      <c r="A186" s="60"/>
      <c r="B186" s="61"/>
      <c r="C186" s="62"/>
      <c r="D186" s="62"/>
      <c r="E186" s="62"/>
      <c r="F186" s="62"/>
      <c r="G186" s="62"/>
      <c r="H186" s="60"/>
      <c r="I186" s="60"/>
      <c r="J186" s="61"/>
      <c r="K186" s="60"/>
      <c r="L186" s="60"/>
      <c r="M186" s="62"/>
      <c r="N186" s="60"/>
      <c r="O186" s="60"/>
      <c r="P186" s="61"/>
      <c r="Q186" s="63"/>
      <c r="R186" s="60"/>
      <c r="S186" s="64"/>
      <c r="T186" s="60"/>
      <c r="U186" s="65" t="str">
        <f aca="false">IF(AND(T186="",S186=""),"",IF(T186="",1,IFERROR(INDEX(Settings!$B$12:$B$16,MATCH(T186,Settings!$A$12:$A$16,0)),1)))</f>
        <v/>
      </c>
      <c r="V186" s="64"/>
      <c r="W186" s="66" t="str">
        <f aca="false">IF(OR(Q186="",S186=""),"",Q186*S186*U186)</f>
        <v/>
      </c>
      <c r="X186" s="65" t="str">
        <f aca="false">IF(OR(W186="",N(Q186)=0),"",W186/Q186)</f>
        <v/>
      </c>
      <c r="Y186" s="65" t="str">
        <f aca="false">IF(OR(X186="",P186="",E186=""),"",IF(_xlfn.MAXIFS($P$6:$P$205,$E$6:$E$205,E186,$P$6:$P$205,"&lt;"&amp;P186,$X$6:$X$205,"&gt;0")=0,"",IFERROR(AVERAGEIFS($X$6:$X$205,$E$6:$E$205,E186,$P$6:$P$205,_xlfn.MAXIFS($P$6:$P$205,$E$6:$E$205,E186,$P$6:$P$205,"&lt;"&amp;P186,$X$6:$X$205,"&gt;0"),$X$6:$X$205,"&gt;0"),"")))</f>
        <v/>
      </c>
      <c r="Z186" s="67" t="str">
        <f aca="false">IF(OR(Y186="",X186=""),"",X186/Y186-1)</f>
        <v/>
      </c>
      <c r="AA186" s="68" t="str">
        <f aca="false">IF(OR(W186="",V186=""),"",W186-Q186*V186)</f>
        <v/>
      </c>
      <c r="AB186" s="69" t="str">
        <f aca="false">IF(AA186="","",IF(N(V186)*N(Q186)=0,"",AA186/(Q186*V186)))</f>
        <v/>
      </c>
      <c r="AC186" s="70"/>
      <c r="AD186" s="66" t="str">
        <f aca="false">IF(W186="","",W186*(1+N(AC186)))</f>
        <v/>
      </c>
      <c r="AE186" s="62"/>
      <c r="AF186" s="71"/>
      <c r="AG186" s="71"/>
      <c r="AH186" s="71"/>
      <c r="AI186" s="66" t="str">
        <f aca="false">IF(A186="","",N(AF186)+N(AG186)+N(AH186))</f>
        <v/>
      </c>
      <c r="AJ186" s="72" t="str">
        <f aca="false">IF(AD186="","",IF(N(AD186)=0,"",AI186/AD186))</f>
        <v/>
      </c>
      <c r="AK186" s="66" t="str">
        <f aca="false">IF(AD186="","",IF(AD186-AI186&lt;1,0,ROUND(AD186-AI186,2)))</f>
        <v/>
      </c>
      <c r="AL186" s="66" t="str">
        <f aca="false">IF(OR(O186="",AD186=""),"",MAX(0,ROUND(N(AI186)-(AD186-N(AW186)),0)))</f>
        <v/>
      </c>
      <c r="AM186" s="73" t="str">
        <f aca="false">IF(A186="","",IF(O186="","No PO Yet",IF(AI186=0,"Not Paid",IF(N(AJ186)&gt;=0.999,"Fully Paid",IF(N(AG186)+N(AH186)&gt;0,"Partially Paid","Initial / Advance Paid")))))</f>
        <v/>
      </c>
      <c r="AN186" s="61"/>
      <c r="AO186" s="61"/>
      <c r="AP186" s="74" t="str">
        <f aca="false">IF(AK186="","",IF(OR(N(AK186)=0,AO186=""),"",MAX(0,Settings!$B$4-AO186)))</f>
        <v/>
      </c>
      <c r="AQ186" s="73" t="str">
        <f aca="false">IF(AK186="","",IF(N(AK186)&lt;=0,"",IF(AO186="","No Due Date",IF(Settings!$B$4&lt;=AO186,"Not Yet Due",IF(Settings!$B$4-AO186&lt;=30,"1-30 Days",IF(Settings!$B$4-AO186&lt;=60,"31-60 Days",IF(Settings!$B$4-AO186&lt;=90,"61-90 Days","90+ Days")))))))</f>
        <v/>
      </c>
      <c r="AR186" s="61"/>
      <c r="AS186" s="61"/>
      <c r="AT186" s="63"/>
      <c r="AU186" s="72" t="str">
        <f aca="false">IF(Q186="","",IF(N(Q186)=0,"",N(AT186)/Q186))</f>
        <v/>
      </c>
      <c r="AV186" s="75" t="str">
        <f aca="false">IF(OR(A186="",O186="",Q186=""),"",MAX(0,Q186-N(AT186)))</f>
        <v/>
      </c>
      <c r="AW186" s="66" t="str">
        <f aca="false">IF(OR(AV186="",W186=""),"",IF(N(Q186)=0,0,AV186/Q186*AD186))</f>
        <v/>
      </c>
      <c r="AX186" s="76" t="str">
        <f aca="false">IF(A186="","",IF(O186="","No PO Yet",IF(Q186="","Order Qty Missing",IF(N(AT186)&gt;=Q186,IF(N(AT186)&gt;Q186,"All In-house (+"&amp;TEXT(N(AT186)-Q186,"#,##0")&amp;" "&amp;R186&amp;" excess)","All In-house"),IF(AY186&lt;&gt;"","Short Closed - "&amp;TEXT(AV186,"#,##0")&amp;" "&amp;R186&amp;" not received",IF(N(AT186)=0,"Not Started - "&amp;TEXT(AV186,"#,##0")&amp;" "&amp;R186&amp;" pending","Pending "&amp;TEXT(AV186,"#,##0")&amp;" "&amp;R186&amp;" ("&amp;TEXT(AU186,"0%")&amp;" received)"))))))</f>
        <v/>
      </c>
      <c r="AY186" s="61"/>
      <c r="AZ186" s="77" t="str">
        <f aca="false">IF(OR(B186="",J186=""),"",J186-B186)</f>
        <v/>
      </c>
      <c r="BA186" s="77" t="str">
        <f aca="false">IF(OR(J186="",P186=""),"",P186-J186)</f>
        <v/>
      </c>
      <c r="BB186" s="77" t="str">
        <f aca="false">IF(OR(P186="",AY186=""),"",AY186-P186)</f>
        <v/>
      </c>
      <c r="BC186" s="77" t="str">
        <f aca="false">IF(OR(B186="",AY186=""),"",AY186-B186)</f>
        <v/>
      </c>
      <c r="BD186" s="74" t="str">
        <f aca="false">IF(OR(AR186="",O186=""),"",MAX(0,IF(AY186="",Settings!$B$4,AY186)-AR186))</f>
        <v/>
      </c>
      <c r="BE186" s="73" t="str">
        <f aca="false">IF(OR(AY186="",AR186=""),"",IF(AND(AY186&lt;=AR186,N(AU186)&gt;=Settings!$B$6),"OTIF","Not OTIF"))</f>
        <v/>
      </c>
      <c r="BF186" s="60"/>
      <c r="BG186" s="62"/>
      <c r="BH186" s="78"/>
      <c r="BI186" s="76" t="str">
        <f aca="false">IF(A186="","",IF(K186="Rejected","Rejected",IF(K186&lt;&gt;"Approved","Awaiting Approval",IF(O186="","Approved - PO Pending",IF(AY186&lt;&gt;"",IF(N(AJ186)&gt;=0.999,"Closed","In-house Closed - Payment Due"),IF(AS186&lt;&gt;"","Receiving In-house","PO Issued - Awaiting Delivery"))))))</f>
        <v/>
      </c>
      <c r="BJ186" s="76" t="str">
        <f aca="false">IF(A186="","",IF(IF(AND(A186&lt;&gt;"",OR(B186="",C186="",E186="",F186="",H186="")),"PR info missing; ","")&amp;IF(AND(K186="Approved",OR(J186="",I186="")),"Approval ref/date missing; ","")&amp;IF(AND(O186&lt;&gt;"",K186&lt;&gt;"Approved"),"PO without approval; ","")&amp;IF(AND(O186&lt;&gt;"",OR(P186="",M186="",Q186="",S186="",T186="")),"PO details missing; ","")&amp;IF(AND(O186&lt;&gt;"",AR186=""),"Committed date missing; ","")&amp;IF(AND(ISNUMBER(J186),ISNUMBER(B186),N(J186)&lt;N(B186)),"Approval dated before PR; ","")&amp;IF(AND(ISNUMBER(P186),ISNUMBER(J186),N(P186)&lt;N(J186)),"PO dated before approval; ","")&amp;IF(AND(ISNUMBER(AY186),ISNUMBER(AS186),N(AY186)&lt;N(AS186)),"Close before in-house start; ","")&amp;IF(AND(AY186&lt;&gt;"",AS186=""),"In-house start date missing; ","")&amp;IF(AND(AY186&lt;&gt;"",AT186=""),"Qty received missing; ","")&amp;IF(AND(AY186&lt;&gt;"",BF186=""),"QC status missing; ","")&amp;IF(N(AT186)&gt;N(Q186)*1.05,"Received &gt; ordered +5%; ","")&amp;IF(AND(N(AI186)&gt;0,AE186=""),"Payment terms missing; ","")&amp;IF(N(AI186)&gt;N(AD186)+1,"Overpaid vs PO; ","")&amp;IF(AND(N(AK186)&gt;0,AY186&lt;&gt;"",AO186=""),"Payment due date missing; ","")="","OK",IF(AND(A186&lt;&gt;"",OR(B186="",C186="",E186="",F186="",H186="")),"PR info missing; ","")&amp;IF(AND(K186="Approved",OR(J186="",I186="")),"Approval ref/date missing; ","")&amp;IF(AND(O186&lt;&gt;"",K186&lt;&gt;"Approved"),"PO without approval; ","")&amp;IF(AND(O186&lt;&gt;"",OR(P186="",M186="",Q186="",S186="",T186="")),"PO details missing; ","")&amp;IF(AND(O186&lt;&gt;"",AR186=""),"Committed date missing; ","")&amp;IF(AND(ISNUMBER(J186),ISNUMBER(B186),N(J186)&lt;N(B186)),"Approval dated before PR; ","")&amp;IF(AND(ISNUMBER(P186),ISNUMBER(J186),N(P186)&lt;N(J186)),"PO dated before approval; ","")&amp;IF(AND(ISNUMBER(AY186),ISNUMBER(AS186),N(AY186)&lt;N(AS186)),"Close before in-house start; ","")&amp;IF(AND(AY186&lt;&gt;"",AS186=""),"In-house start date missing; ","")&amp;IF(AND(AY186&lt;&gt;"",AT186=""),"Qty received missing; ","")&amp;IF(AND(AY186&lt;&gt;"",BF186=""),"QC status missing; ","")&amp;IF(N(AT186)&gt;N(Q186)*1.05,"Received &gt; ordered +5%; ","")&amp;IF(AND(N(AI186)&gt;0,AE186=""),"Payment terms missing; ","")&amp;IF(N(AI186)&gt;N(AD186)+1,"Overpaid vs PO; ","")&amp;IF(AND(N(AK186)&gt;0,AY186&lt;&gt;"",AO186=""),"Payment due date missing; ","")))</f>
        <v/>
      </c>
      <c r="BK186" s="76" t="str">
        <f aca="false">IF(A186="","",IF(N(AP186)&gt;0,"Pay supplier: "&amp;N(AP186)&amp;" days overdue; ","")&amp;IF(AND(O186&lt;&gt;"",AY186="",N(BD186)&gt;0),"Expedite delivery: "&amp;N(BD186)&amp;" days late; ","")&amp;IF(AND(BI186="Awaiting Approval",ISNUMBER(B186),Settings!$B$4-N(B186)&gt;Settings!$B$19),"Get approval: PR waiting "&amp;(Settings!$B$4-N(B186))&amp;" days; ","")&amp;IF(AND(BI186="Approved - PO Pending",ISNUMBER(J186),Settings!$B$4-N(J186)&gt;Settings!$B$20),"Issue PO: approved "&amp;(Settings!$B$4-N(J186))&amp;" days ago; ","")&amp;IF(AND(OR(BI186="Awaiting Approval",BI186="Approved - PO Pending"),N(AB186)&gt;Settings!$B$7),"Negotiate price: "&amp;TEXT(AB186,"0%")&amp;" above budget; ","")&amp;IF(LEFT(AX186,12)="Short Closed","Short closed: claim balance / credit note"&amp;IF(N(AL186)&gt;0," BDT "&amp;TEXT(AL186,"#,##0"),"")&amp;"; ","")&amp;IF(BF186="Rejected","QC rejected: return / replace; ","")&amp;IF(AND(O186&lt;&gt;"",AY186="",N(AL186)&gt;0,N(BD186)&gt;0),"Advance at risk: BDT "&amp;TEXT(AL186,"#,##0")&amp;" paid, goods late; ","")&amp;IF(AND(BJ186&lt;&gt;"",BJ186&lt;&gt;"OK"),"Fix data entry (see Data Check); ",""))</f>
        <v/>
      </c>
      <c r="BL186" s="73" t="str">
        <f aca="false">IF(BK186="","",IF(OR(N(AP186)&gt;30,AND(AY186="",N(BD186)&gt;15),BF186="Rejected",AND(LEFT(AX186,12)="Short Closed",N(AL186)&gt;0),AND(O186&lt;&gt;"",AY186="",N(AL186)&gt;0,N(BD186)&gt;0)),"High",IF(OR(N(AP186)&gt;0,AND(AY186="",N(BD186)&gt;7),LEFT(AX186,12)="Short Closed",AND(BI186="Awaiting Approval",ISNUMBER(B186),Settings!$B$4-N(B186)&gt;2*Settings!$B$19),AND(BI186="Approved - PO Pending",ISNUMBER(J186),Settings!$B$4-N(J186)&gt;2*Settings!$B$20)),"Medium","Low")))</f>
        <v/>
      </c>
      <c r="BM186" s="77" t="str">
        <f aca="false">IF(BL186="","",IF(BL186="High",1,IF(BL186="Medium",2,3))*10000+ROW())</f>
        <v/>
      </c>
      <c r="BN186" s="62"/>
    </row>
    <row r="187" customFormat="false" ht="18" hidden="false" customHeight="true" outlineLevel="0" collapsed="false">
      <c r="A187" s="60"/>
      <c r="B187" s="61"/>
      <c r="C187" s="62"/>
      <c r="D187" s="62"/>
      <c r="E187" s="62"/>
      <c r="F187" s="62"/>
      <c r="G187" s="62"/>
      <c r="H187" s="60"/>
      <c r="I187" s="60"/>
      <c r="J187" s="61"/>
      <c r="K187" s="60"/>
      <c r="L187" s="60"/>
      <c r="M187" s="62"/>
      <c r="N187" s="60"/>
      <c r="O187" s="60"/>
      <c r="P187" s="61"/>
      <c r="Q187" s="63"/>
      <c r="R187" s="60"/>
      <c r="S187" s="64"/>
      <c r="T187" s="60"/>
      <c r="U187" s="65" t="str">
        <f aca="false">IF(AND(T187="",S187=""),"",IF(T187="",1,IFERROR(INDEX(Settings!$B$12:$B$16,MATCH(T187,Settings!$A$12:$A$16,0)),1)))</f>
        <v/>
      </c>
      <c r="V187" s="64"/>
      <c r="W187" s="66" t="str">
        <f aca="false">IF(OR(Q187="",S187=""),"",Q187*S187*U187)</f>
        <v/>
      </c>
      <c r="X187" s="65" t="str">
        <f aca="false">IF(OR(W187="",N(Q187)=0),"",W187/Q187)</f>
        <v/>
      </c>
      <c r="Y187" s="65" t="str">
        <f aca="false">IF(OR(X187="",P187="",E187=""),"",IF(_xlfn.MAXIFS($P$6:$P$205,$E$6:$E$205,E187,$P$6:$P$205,"&lt;"&amp;P187,$X$6:$X$205,"&gt;0")=0,"",IFERROR(AVERAGEIFS($X$6:$X$205,$E$6:$E$205,E187,$P$6:$P$205,_xlfn.MAXIFS($P$6:$P$205,$E$6:$E$205,E187,$P$6:$P$205,"&lt;"&amp;P187,$X$6:$X$205,"&gt;0"),$X$6:$X$205,"&gt;0"),"")))</f>
        <v/>
      </c>
      <c r="Z187" s="67" t="str">
        <f aca="false">IF(OR(Y187="",X187=""),"",X187/Y187-1)</f>
        <v/>
      </c>
      <c r="AA187" s="68" t="str">
        <f aca="false">IF(OR(W187="",V187=""),"",W187-Q187*V187)</f>
        <v/>
      </c>
      <c r="AB187" s="69" t="str">
        <f aca="false">IF(AA187="","",IF(N(V187)*N(Q187)=0,"",AA187/(Q187*V187)))</f>
        <v/>
      </c>
      <c r="AC187" s="70"/>
      <c r="AD187" s="66" t="str">
        <f aca="false">IF(W187="","",W187*(1+N(AC187)))</f>
        <v/>
      </c>
      <c r="AE187" s="62"/>
      <c r="AF187" s="71"/>
      <c r="AG187" s="71"/>
      <c r="AH187" s="71"/>
      <c r="AI187" s="66" t="str">
        <f aca="false">IF(A187="","",N(AF187)+N(AG187)+N(AH187))</f>
        <v/>
      </c>
      <c r="AJ187" s="72" t="str">
        <f aca="false">IF(AD187="","",IF(N(AD187)=0,"",AI187/AD187))</f>
        <v/>
      </c>
      <c r="AK187" s="66" t="str">
        <f aca="false">IF(AD187="","",IF(AD187-AI187&lt;1,0,ROUND(AD187-AI187,2)))</f>
        <v/>
      </c>
      <c r="AL187" s="66" t="str">
        <f aca="false">IF(OR(O187="",AD187=""),"",MAX(0,ROUND(N(AI187)-(AD187-N(AW187)),0)))</f>
        <v/>
      </c>
      <c r="AM187" s="73" t="str">
        <f aca="false">IF(A187="","",IF(O187="","No PO Yet",IF(AI187=0,"Not Paid",IF(N(AJ187)&gt;=0.999,"Fully Paid",IF(N(AG187)+N(AH187)&gt;0,"Partially Paid","Initial / Advance Paid")))))</f>
        <v/>
      </c>
      <c r="AN187" s="61"/>
      <c r="AO187" s="61"/>
      <c r="AP187" s="74" t="str">
        <f aca="false">IF(AK187="","",IF(OR(N(AK187)=0,AO187=""),"",MAX(0,Settings!$B$4-AO187)))</f>
        <v/>
      </c>
      <c r="AQ187" s="73" t="str">
        <f aca="false">IF(AK187="","",IF(N(AK187)&lt;=0,"",IF(AO187="","No Due Date",IF(Settings!$B$4&lt;=AO187,"Not Yet Due",IF(Settings!$B$4-AO187&lt;=30,"1-30 Days",IF(Settings!$B$4-AO187&lt;=60,"31-60 Days",IF(Settings!$B$4-AO187&lt;=90,"61-90 Days","90+ Days")))))))</f>
        <v/>
      </c>
      <c r="AR187" s="61"/>
      <c r="AS187" s="61"/>
      <c r="AT187" s="63"/>
      <c r="AU187" s="72" t="str">
        <f aca="false">IF(Q187="","",IF(N(Q187)=0,"",N(AT187)/Q187))</f>
        <v/>
      </c>
      <c r="AV187" s="75" t="str">
        <f aca="false">IF(OR(A187="",O187="",Q187=""),"",MAX(0,Q187-N(AT187)))</f>
        <v/>
      </c>
      <c r="AW187" s="66" t="str">
        <f aca="false">IF(OR(AV187="",W187=""),"",IF(N(Q187)=0,0,AV187/Q187*AD187))</f>
        <v/>
      </c>
      <c r="AX187" s="76" t="str">
        <f aca="false">IF(A187="","",IF(O187="","No PO Yet",IF(Q187="","Order Qty Missing",IF(N(AT187)&gt;=Q187,IF(N(AT187)&gt;Q187,"All In-house (+"&amp;TEXT(N(AT187)-Q187,"#,##0")&amp;" "&amp;R187&amp;" excess)","All In-house"),IF(AY187&lt;&gt;"","Short Closed - "&amp;TEXT(AV187,"#,##0")&amp;" "&amp;R187&amp;" not received",IF(N(AT187)=0,"Not Started - "&amp;TEXT(AV187,"#,##0")&amp;" "&amp;R187&amp;" pending","Pending "&amp;TEXT(AV187,"#,##0")&amp;" "&amp;R187&amp;" ("&amp;TEXT(AU187,"0%")&amp;" received)"))))))</f>
        <v/>
      </c>
      <c r="AY187" s="61"/>
      <c r="AZ187" s="77" t="str">
        <f aca="false">IF(OR(B187="",J187=""),"",J187-B187)</f>
        <v/>
      </c>
      <c r="BA187" s="77" t="str">
        <f aca="false">IF(OR(J187="",P187=""),"",P187-J187)</f>
        <v/>
      </c>
      <c r="BB187" s="77" t="str">
        <f aca="false">IF(OR(P187="",AY187=""),"",AY187-P187)</f>
        <v/>
      </c>
      <c r="BC187" s="77" t="str">
        <f aca="false">IF(OR(B187="",AY187=""),"",AY187-B187)</f>
        <v/>
      </c>
      <c r="BD187" s="74" t="str">
        <f aca="false">IF(OR(AR187="",O187=""),"",MAX(0,IF(AY187="",Settings!$B$4,AY187)-AR187))</f>
        <v/>
      </c>
      <c r="BE187" s="73" t="str">
        <f aca="false">IF(OR(AY187="",AR187=""),"",IF(AND(AY187&lt;=AR187,N(AU187)&gt;=Settings!$B$6),"OTIF","Not OTIF"))</f>
        <v/>
      </c>
      <c r="BF187" s="60"/>
      <c r="BG187" s="62"/>
      <c r="BH187" s="78"/>
      <c r="BI187" s="76" t="str">
        <f aca="false">IF(A187="","",IF(K187="Rejected","Rejected",IF(K187&lt;&gt;"Approved","Awaiting Approval",IF(O187="","Approved - PO Pending",IF(AY187&lt;&gt;"",IF(N(AJ187)&gt;=0.999,"Closed","In-house Closed - Payment Due"),IF(AS187&lt;&gt;"","Receiving In-house","PO Issued - Awaiting Delivery"))))))</f>
        <v/>
      </c>
      <c r="BJ187" s="76" t="str">
        <f aca="false">IF(A187="","",IF(IF(AND(A187&lt;&gt;"",OR(B187="",C187="",E187="",F187="",H187="")),"PR info missing; ","")&amp;IF(AND(K187="Approved",OR(J187="",I187="")),"Approval ref/date missing; ","")&amp;IF(AND(O187&lt;&gt;"",K187&lt;&gt;"Approved"),"PO without approval; ","")&amp;IF(AND(O187&lt;&gt;"",OR(P187="",M187="",Q187="",S187="",T187="")),"PO details missing; ","")&amp;IF(AND(O187&lt;&gt;"",AR187=""),"Committed date missing; ","")&amp;IF(AND(ISNUMBER(J187),ISNUMBER(B187),N(J187)&lt;N(B187)),"Approval dated before PR; ","")&amp;IF(AND(ISNUMBER(P187),ISNUMBER(J187),N(P187)&lt;N(J187)),"PO dated before approval; ","")&amp;IF(AND(ISNUMBER(AY187),ISNUMBER(AS187),N(AY187)&lt;N(AS187)),"Close before in-house start; ","")&amp;IF(AND(AY187&lt;&gt;"",AS187=""),"In-house start date missing; ","")&amp;IF(AND(AY187&lt;&gt;"",AT187=""),"Qty received missing; ","")&amp;IF(AND(AY187&lt;&gt;"",BF187=""),"QC status missing; ","")&amp;IF(N(AT187)&gt;N(Q187)*1.05,"Received &gt; ordered +5%; ","")&amp;IF(AND(N(AI187)&gt;0,AE187=""),"Payment terms missing; ","")&amp;IF(N(AI187)&gt;N(AD187)+1,"Overpaid vs PO; ","")&amp;IF(AND(N(AK187)&gt;0,AY187&lt;&gt;"",AO187=""),"Payment due date missing; ","")="","OK",IF(AND(A187&lt;&gt;"",OR(B187="",C187="",E187="",F187="",H187="")),"PR info missing; ","")&amp;IF(AND(K187="Approved",OR(J187="",I187="")),"Approval ref/date missing; ","")&amp;IF(AND(O187&lt;&gt;"",K187&lt;&gt;"Approved"),"PO without approval; ","")&amp;IF(AND(O187&lt;&gt;"",OR(P187="",M187="",Q187="",S187="",T187="")),"PO details missing; ","")&amp;IF(AND(O187&lt;&gt;"",AR187=""),"Committed date missing; ","")&amp;IF(AND(ISNUMBER(J187),ISNUMBER(B187),N(J187)&lt;N(B187)),"Approval dated before PR; ","")&amp;IF(AND(ISNUMBER(P187),ISNUMBER(J187),N(P187)&lt;N(J187)),"PO dated before approval; ","")&amp;IF(AND(ISNUMBER(AY187),ISNUMBER(AS187),N(AY187)&lt;N(AS187)),"Close before in-house start; ","")&amp;IF(AND(AY187&lt;&gt;"",AS187=""),"In-house start date missing; ","")&amp;IF(AND(AY187&lt;&gt;"",AT187=""),"Qty received missing; ","")&amp;IF(AND(AY187&lt;&gt;"",BF187=""),"QC status missing; ","")&amp;IF(N(AT187)&gt;N(Q187)*1.05,"Received &gt; ordered +5%; ","")&amp;IF(AND(N(AI187)&gt;0,AE187=""),"Payment terms missing; ","")&amp;IF(N(AI187)&gt;N(AD187)+1,"Overpaid vs PO; ","")&amp;IF(AND(N(AK187)&gt;0,AY187&lt;&gt;"",AO187=""),"Payment due date missing; ","")))</f>
        <v/>
      </c>
      <c r="BK187" s="76" t="str">
        <f aca="false">IF(A187="","",IF(N(AP187)&gt;0,"Pay supplier: "&amp;N(AP187)&amp;" days overdue; ","")&amp;IF(AND(O187&lt;&gt;"",AY187="",N(BD187)&gt;0),"Expedite delivery: "&amp;N(BD187)&amp;" days late; ","")&amp;IF(AND(BI187="Awaiting Approval",ISNUMBER(B187),Settings!$B$4-N(B187)&gt;Settings!$B$19),"Get approval: PR waiting "&amp;(Settings!$B$4-N(B187))&amp;" days; ","")&amp;IF(AND(BI187="Approved - PO Pending",ISNUMBER(J187),Settings!$B$4-N(J187)&gt;Settings!$B$20),"Issue PO: approved "&amp;(Settings!$B$4-N(J187))&amp;" days ago; ","")&amp;IF(AND(OR(BI187="Awaiting Approval",BI187="Approved - PO Pending"),N(AB187)&gt;Settings!$B$7),"Negotiate price: "&amp;TEXT(AB187,"0%")&amp;" above budget; ","")&amp;IF(LEFT(AX187,12)="Short Closed","Short closed: claim balance / credit note"&amp;IF(N(AL187)&gt;0," BDT "&amp;TEXT(AL187,"#,##0"),"")&amp;"; ","")&amp;IF(BF187="Rejected","QC rejected: return / replace; ","")&amp;IF(AND(O187&lt;&gt;"",AY187="",N(AL187)&gt;0,N(BD187)&gt;0),"Advance at risk: BDT "&amp;TEXT(AL187,"#,##0")&amp;" paid, goods late; ","")&amp;IF(AND(BJ187&lt;&gt;"",BJ187&lt;&gt;"OK"),"Fix data entry (see Data Check); ",""))</f>
        <v/>
      </c>
      <c r="BL187" s="73" t="str">
        <f aca="false">IF(BK187="","",IF(OR(N(AP187)&gt;30,AND(AY187="",N(BD187)&gt;15),BF187="Rejected",AND(LEFT(AX187,12)="Short Closed",N(AL187)&gt;0),AND(O187&lt;&gt;"",AY187="",N(AL187)&gt;0,N(BD187)&gt;0)),"High",IF(OR(N(AP187)&gt;0,AND(AY187="",N(BD187)&gt;7),LEFT(AX187,12)="Short Closed",AND(BI187="Awaiting Approval",ISNUMBER(B187),Settings!$B$4-N(B187)&gt;2*Settings!$B$19),AND(BI187="Approved - PO Pending",ISNUMBER(J187),Settings!$B$4-N(J187)&gt;2*Settings!$B$20)),"Medium","Low")))</f>
        <v/>
      </c>
      <c r="BM187" s="77" t="str">
        <f aca="false">IF(BL187="","",IF(BL187="High",1,IF(BL187="Medium",2,3))*10000+ROW())</f>
        <v/>
      </c>
      <c r="BN187" s="62"/>
    </row>
    <row r="188" customFormat="false" ht="18" hidden="false" customHeight="true" outlineLevel="0" collapsed="false">
      <c r="A188" s="60"/>
      <c r="B188" s="61"/>
      <c r="C188" s="62"/>
      <c r="D188" s="62"/>
      <c r="E188" s="62"/>
      <c r="F188" s="62"/>
      <c r="G188" s="62"/>
      <c r="H188" s="60"/>
      <c r="I188" s="60"/>
      <c r="J188" s="61"/>
      <c r="K188" s="60"/>
      <c r="L188" s="60"/>
      <c r="M188" s="62"/>
      <c r="N188" s="60"/>
      <c r="O188" s="60"/>
      <c r="P188" s="61"/>
      <c r="Q188" s="63"/>
      <c r="R188" s="60"/>
      <c r="S188" s="64"/>
      <c r="T188" s="60"/>
      <c r="U188" s="65" t="str">
        <f aca="false">IF(AND(T188="",S188=""),"",IF(T188="",1,IFERROR(INDEX(Settings!$B$12:$B$16,MATCH(T188,Settings!$A$12:$A$16,0)),1)))</f>
        <v/>
      </c>
      <c r="V188" s="64"/>
      <c r="W188" s="66" t="str">
        <f aca="false">IF(OR(Q188="",S188=""),"",Q188*S188*U188)</f>
        <v/>
      </c>
      <c r="X188" s="65" t="str">
        <f aca="false">IF(OR(W188="",N(Q188)=0),"",W188/Q188)</f>
        <v/>
      </c>
      <c r="Y188" s="65" t="str">
        <f aca="false">IF(OR(X188="",P188="",E188=""),"",IF(_xlfn.MAXIFS($P$6:$P$205,$E$6:$E$205,E188,$P$6:$P$205,"&lt;"&amp;P188,$X$6:$X$205,"&gt;0")=0,"",IFERROR(AVERAGEIFS($X$6:$X$205,$E$6:$E$205,E188,$P$6:$P$205,_xlfn.MAXIFS($P$6:$P$205,$E$6:$E$205,E188,$P$6:$P$205,"&lt;"&amp;P188,$X$6:$X$205,"&gt;0"),$X$6:$X$205,"&gt;0"),"")))</f>
        <v/>
      </c>
      <c r="Z188" s="67" t="str">
        <f aca="false">IF(OR(Y188="",X188=""),"",X188/Y188-1)</f>
        <v/>
      </c>
      <c r="AA188" s="68" t="str">
        <f aca="false">IF(OR(W188="",V188=""),"",W188-Q188*V188)</f>
        <v/>
      </c>
      <c r="AB188" s="69" t="str">
        <f aca="false">IF(AA188="","",IF(N(V188)*N(Q188)=0,"",AA188/(Q188*V188)))</f>
        <v/>
      </c>
      <c r="AC188" s="70"/>
      <c r="AD188" s="66" t="str">
        <f aca="false">IF(W188="","",W188*(1+N(AC188)))</f>
        <v/>
      </c>
      <c r="AE188" s="62"/>
      <c r="AF188" s="71"/>
      <c r="AG188" s="71"/>
      <c r="AH188" s="71"/>
      <c r="AI188" s="66" t="str">
        <f aca="false">IF(A188="","",N(AF188)+N(AG188)+N(AH188))</f>
        <v/>
      </c>
      <c r="AJ188" s="72" t="str">
        <f aca="false">IF(AD188="","",IF(N(AD188)=0,"",AI188/AD188))</f>
        <v/>
      </c>
      <c r="AK188" s="66" t="str">
        <f aca="false">IF(AD188="","",IF(AD188-AI188&lt;1,0,ROUND(AD188-AI188,2)))</f>
        <v/>
      </c>
      <c r="AL188" s="66" t="str">
        <f aca="false">IF(OR(O188="",AD188=""),"",MAX(0,ROUND(N(AI188)-(AD188-N(AW188)),0)))</f>
        <v/>
      </c>
      <c r="AM188" s="73" t="str">
        <f aca="false">IF(A188="","",IF(O188="","No PO Yet",IF(AI188=0,"Not Paid",IF(N(AJ188)&gt;=0.999,"Fully Paid",IF(N(AG188)+N(AH188)&gt;0,"Partially Paid","Initial / Advance Paid")))))</f>
        <v/>
      </c>
      <c r="AN188" s="61"/>
      <c r="AO188" s="61"/>
      <c r="AP188" s="74" t="str">
        <f aca="false">IF(AK188="","",IF(OR(N(AK188)=0,AO188=""),"",MAX(0,Settings!$B$4-AO188)))</f>
        <v/>
      </c>
      <c r="AQ188" s="73" t="str">
        <f aca="false">IF(AK188="","",IF(N(AK188)&lt;=0,"",IF(AO188="","No Due Date",IF(Settings!$B$4&lt;=AO188,"Not Yet Due",IF(Settings!$B$4-AO188&lt;=30,"1-30 Days",IF(Settings!$B$4-AO188&lt;=60,"31-60 Days",IF(Settings!$B$4-AO188&lt;=90,"61-90 Days","90+ Days")))))))</f>
        <v/>
      </c>
      <c r="AR188" s="61"/>
      <c r="AS188" s="61"/>
      <c r="AT188" s="63"/>
      <c r="AU188" s="72" t="str">
        <f aca="false">IF(Q188="","",IF(N(Q188)=0,"",N(AT188)/Q188))</f>
        <v/>
      </c>
      <c r="AV188" s="75" t="str">
        <f aca="false">IF(OR(A188="",O188="",Q188=""),"",MAX(0,Q188-N(AT188)))</f>
        <v/>
      </c>
      <c r="AW188" s="66" t="str">
        <f aca="false">IF(OR(AV188="",W188=""),"",IF(N(Q188)=0,0,AV188/Q188*AD188))</f>
        <v/>
      </c>
      <c r="AX188" s="76" t="str">
        <f aca="false">IF(A188="","",IF(O188="","No PO Yet",IF(Q188="","Order Qty Missing",IF(N(AT188)&gt;=Q188,IF(N(AT188)&gt;Q188,"All In-house (+"&amp;TEXT(N(AT188)-Q188,"#,##0")&amp;" "&amp;R188&amp;" excess)","All In-house"),IF(AY188&lt;&gt;"","Short Closed - "&amp;TEXT(AV188,"#,##0")&amp;" "&amp;R188&amp;" not received",IF(N(AT188)=0,"Not Started - "&amp;TEXT(AV188,"#,##0")&amp;" "&amp;R188&amp;" pending","Pending "&amp;TEXT(AV188,"#,##0")&amp;" "&amp;R188&amp;" ("&amp;TEXT(AU188,"0%")&amp;" received)"))))))</f>
        <v/>
      </c>
      <c r="AY188" s="61"/>
      <c r="AZ188" s="77" t="str">
        <f aca="false">IF(OR(B188="",J188=""),"",J188-B188)</f>
        <v/>
      </c>
      <c r="BA188" s="77" t="str">
        <f aca="false">IF(OR(J188="",P188=""),"",P188-J188)</f>
        <v/>
      </c>
      <c r="BB188" s="77" t="str">
        <f aca="false">IF(OR(P188="",AY188=""),"",AY188-P188)</f>
        <v/>
      </c>
      <c r="BC188" s="77" t="str">
        <f aca="false">IF(OR(B188="",AY188=""),"",AY188-B188)</f>
        <v/>
      </c>
      <c r="BD188" s="74" t="str">
        <f aca="false">IF(OR(AR188="",O188=""),"",MAX(0,IF(AY188="",Settings!$B$4,AY188)-AR188))</f>
        <v/>
      </c>
      <c r="BE188" s="73" t="str">
        <f aca="false">IF(OR(AY188="",AR188=""),"",IF(AND(AY188&lt;=AR188,N(AU188)&gt;=Settings!$B$6),"OTIF","Not OTIF"))</f>
        <v/>
      </c>
      <c r="BF188" s="60"/>
      <c r="BG188" s="62"/>
      <c r="BH188" s="78"/>
      <c r="BI188" s="76" t="str">
        <f aca="false">IF(A188="","",IF(K188="Rejected","Rejected",IF(K188&lt;&gt;"Approved","Awaiting Approval",IF(O188="","Approved - PO Pending",IF(AY188&lt;&gt;"",IF(N(AJ188)&gt;=0.999,"Closed","In-house Closed - Payment Due"),IF(AS188&lt;&gt;"","Receiving In-house","PO Issued - Awaiting Delivery"))))))</f>
        <v/>
      </c>
      <c r="BJ188" s="76" t="str">
        <f aca="false">IF(A188="","",IF(IF(AND(A188&lt;&gt;"",OR(B188="",C188="",E188="",F188="",H188="")),"PR info missing; ","")&amp;IF(AND(K188="Approved",OR(J188="",I188="")),"Approval ref/date missing; ","")&amp;IF(AND(O188&lt;&gt;"",K188&lt;&gt;"Approved"),"PO without approval; ","")&amp;IF(AND(O188&lt;&gt;"",OR(P188="",M188="",Q188="",S188="",T188="")),"PO details missing; ","")&amp;IF(AND(O188&lt;&gt;"",AR188=""),"Committed date missing; ","")&amp;IF(AND(ISNUMBER(J188),ISNUMBER(B188),N(J188)&lt;N(B188)),"Approval dated before PR; ","")&amp;IF(AND(ISNUMBER(P188),ISNUMBER(J188),N(P188)&lt;N(J188)),"PO dated before approval; ","")&amp;IF(AND(ISNUMBER(AY188),ISNUMBER(AS188),N(AY188)&lt;N(AS188)),"Close before in-house start; ","")&amp;IF(AND(AY188&lt;&gt;"",AS188=""),"In-house start date missing; ","")&amp;IF(AND(AY188&lt;&gt;"",AT188=""),"Qty received missing; ","")&amp;IF(AND(AY188&lt;&gt;"",BF188=""),"QC status missing; ","")&amp;IF(N(AT188)&gt;N(Q188)*1.05,"Received &gt; ordered +5%; ","")&amp;IF(AND(N(AI188)&gt;0,AE188=""),"Payment terms missing; ","")&amp;IF(N(AI188)&gt;N(AD188)+1,"Overpaid vs PO; ","")&amp;IF(AND(N(AK188)&gt;0,AY188&lt;&gt;"",AO188=""),"Payment due date missing; ","")="","OK",IF(AND(A188&lt;&gt;"",OR(B188="",C188="",E188="",F188="",H188="")),"PR info missing; ","")&amp;IF(AND(K188="Approved",OR(J188="",I188="")),"Approval ref/date missing; ","")&amp;IF(AND(O188&lt;&gt;"",K188&lt;&gt;"Approved"),"PO without approval; ","")&amp;IF(AND(O188&lt;&gt;"",OR(P188="",M188="",Q188="",S188="",T188="")),"PO details missing; ","")&amp;IF(AND(O188&lt;&gt;"",AR188=""),"Committed date missing; ","")&amp;IF(AND(ISNUMBER(J188),ISNUMBER(B188),N(J188)&lt;N(B188)),"Approval dated before PR; ","")&amp;IF(AND(ISNUMBER(P188),ISNUMBER(J188),N(P188)&lt;N(J188)),"PO dated before approval; ","")&amp;IF(AND(ISNUMBER(AY188),ISNUMBER(AS188),N(AY188)&lt;N(AS188)),"Close before in-house start; ","")&amp;IF(AND(AY188&lt;&gt;"",AS188=""),"In-house start date missing; ","")&amp;IF(AND(AY188&lt;&gt;"",AT188=""),"Qty received missing; ","")&amp;IF(AND(AY188&lt;&gt;"",BF188=""),"QC status missing; ","")&amp;IF(N(AT188)&gt;N(Q188)*1.05,"Received &gt; ordered +5%; ","")&amp;IF(AND(N(AI188)&gt;0,AE188=""),"Payment terms missing; ","")&amp;IF(N(AI188)&gt;N(AD188)+1,"Overpaid vs PO; ","")&amp;IF(AND(N(AK188)&gt;0,AY188&lt;&gt;"",AO188=""),"Payment due date missing; ","")))</f>
        <v/>
      </c>
      <c r="BK188" s="76" t="str">
        <f aca="false">IF(A188="","",IF(N(AP188)&gt;0,"Pay supplier: "&amp;N(AP188)&amp;" days overdue; ","")&amp;IF(AND(O188&lt;&gt;"",AY188="",N(BD188)&gt;0),"Expedite delivery: "&amp;N(BD188)&amp;" days late; ","")&amp;IF(AND(BI188="Awaiting Approval",ISNUMBER(B188),Settings!$B$4-N(B188)&gt;Settings!$B$19),"Get approval: PR waiting "&amp;(Settings!$B$4-N(B188))&amp;" days; ","")&amp;IF(AND(BI188="Approved - PO Pending",ISNUMBER(J188),Settings!$B$4-N(J188)&gt;Settings!$B$20),"Issue PO: approved "&amp;(Settings!$B$4-N(J188))&amp;" days ago; ","")&amp;IF(AND(OR(BI188="Awaiting Approval",BI188="Approved - PO Pending"),N(AB188)&gt;Settings!$B$7),"Negotiate price: "&amp;TEXT(AB188,"0%")&amp;" above budget; ","")&amp;IF(LEFT(AX188,12)="Short Closed","Short closed: claim balance / credit note"&amp;IF(N(AL188)&gt;0," BDT "&amp;TEXT(AL188,"#,##0"),"")&amp;"; ","")&amp;IF(BF188="Rejected","QC rejected: return / replace; ","")&amp;IF(AND(O188&lt;&gt;"",AY188="",N(AL188)&gt;0,N(BD188)&gt;0),"Advance at risk: BDT "&amp;TEXT(AL188,"#,##0")&amp;" paid, goods late; ","")&amp;IF(AND(BJ188&lt;&gt;"",BJ188&lt;&gt;"OK"),"Fix data entry (see Data Check); ",""))</f>
        <v/>
      </c>
      <c r="BL188" s="73" t="str">
        <f aca="false">IF(BK188="","",IF(OR(N(AP188)&gt;30,AND(AY188="",N(BD188)&gt;15),BF188="Rejected",AND(LEFT(AX188,12)="Short Closed",N(AL188)&gt;0),AND(O188&lt;&gt;"",AY188="",N(AL188)&gt;0,N(BD188)&gt;0)),"High",IF(OR(N(AP188)&gt;0,AND(AY188="",N(BD188)&gt;7),LEFT(AX188,12)="Short Closed",AND(BI188="Awaiting Approval",ISNUMBER(B188),Settings!$B$4-N(B188)&gt;2*Settings!$B$19),AND(BI188="Approved - PO Pending",ISNUMBER(J188),Settings!$B$4-N(J188)&gt;2*Settings!$B$20)),"Medium","Low")))</f>
        <v/>
      </c>
      <c r="BM188" s="77" t="str">
        <f aca="false">IF(BL188="","",IF(BL188="High",1,IF(BL188="Medium",2,3))*10000+ROW())</f>
        <v/>
      </c>
      <c r="BN188" s="62"/>
    </row>
    <row r="189" customFormat="false" ht="18" hidden="false" customHeight="true" outlineLevel="0" collapsed="false">
      <c r="A189" s="60"/>
      <c r="B189" s="61"/>
      <c r="C189" s="62"/>
      <c r="D189" s="62"/>
      <c r="E189" s="62"/>
      <c r="F189" s="62"/>
      <c r="G189" s="62"/>
      <c r="H189" s="60"/>
      <c r="I189" s="60"/>
      <c r="J189" s="61"/>
      <c r="K189" s="60"/>
      <c r="L189" s="60"/>
      <c r="M189" s="62"/>
      <c r="N189" s="60"/>
      <c r="O189" s="60"/>
      <c r="P189" s="61"/>
      <c r="Q189" s="63"/>
      <c r="R189" s="60"/>
      <c r="S189" s="64"/>
      <c r="T189" s="60"/>
      <c r="U189" s="65" t="str">
        <f aca="false">IF(AND(T189="",S189=""),"",IF(T189="",1,IFERROR(INDEX(Settings!$B$12:$B$16,MATCH(T189,Settings!$A$12:$A$16,0)),1)))</f>
        <v/>
      </c>
      <c r="V189" s="64"/>
      <c r="W189" s="66" t="str">
        <f aca="false">IF(OR(Q189="",S189=""),"",Q189*S189*U189)</f>
        <v/>
      </c>
      <c r="X189" s="65" t="str">
        <f aca="false">IF(OR(W189="",N(Q189)=0),"",W189/Q189)</f>
        <v/>
      </c>
      <c r="Y189" s="65" t="str">
        <f aca="false">IF(OR(X189="",P189="",E189=""),"",IF(_xlfn.MAXIFS($P$6:$P$205,$E$6:$E$205,E189,$P$6:$P$205,"&lt;"&amp;P189,$X$6:$X$205,"&gt;0")=0,"",IFERROR(AVERAGEIFS($X$6:$X$205,$E$6:$E$205,E189,$P$6:$P$205,_xlfn.MAXIFS($P$6:$P$205,$E$6:$E$205,E189,$P$6:$P$205,"&lt;"&amp;P189,$X$6:$X$205,"&gt;0"),$X$6:$X$205,"&gt;0"),"")))</f>
        <v/>
      </c>
      <c r="Z189" s="67" t="str">
        <f aca="false">IF(OR(Y189="",X189=""),"",X189/Y189-1)</f>
        <v/>
      </c>
      <c r="AA189" s="68" t="str">
        <f aca="false">IF(OR(W189="",V189=""),"",W189-Q189*V189)</f>
        <v/>
      </c>
      <c r="AB189" s="69" t="str">
        <f aca="false">IF(AA189="","",IF(N(V189)*N(Q189)=0,"",AA189/(Q189*V189)))</f>
        <v/>
      </c>
      <c r="AC189" s="70"/>
      <c r="AD189" s="66" t="str">
        <f aca="false">IF(W189="","",W189*(1+N(AC189)))</f>
        <v/>
      </c>
      <c r="AE189" s="62"/>
      <c r="AF189" s="71"/>
      <c r="AG189" s="71"/>
      <c r="AH189" s="71"/>
      <c r="AI189" s="66" t="str">
        <f aca="false">IF(A189="","",N(AF189)+N(AG189)+N(AH189))</f>
        <v/>
      </c>
      <c r="AJ189" s="72" t="str">
        <f aca="false">IF(AD189="","",IF(N(AD189)=0,"",AI189/AD189))</f>
        <v/>
      </c>
      <c r="AK189" s="66" t="str">
        <f aca="false">IF(AD189="","",IF(AD189-AI189&lt;1,0,ROUND(AD189-AI189,2)))</f>
        <v/>
      </c>
      <c r="AL189" s="66" t="str">
        <f aca="false">IF(OR(O189="",AD189=""),"",MAX(0,ROUND(N(AI189)-(AD189-N(AW189)),0)))</f>
        <v/>
      </c>
      <c r="AM189" s="73" t="str">
        <f aca="false">IF(A189="","",IF(O189="","No PO Yet",IF(AI189=0,"Not Paid",IF(N(AJ189)&gt;=0.999,"Fully Paid",IF(N(AG189)+N(AH189)&gt;0,"Partially Paid","Initial / Advance Paid")))))</f>
        <v/>
      </c>
      <c r="AN189" s="61"/>
      <c r="AO189" s="61"/>
      <c r="AP189" s="74" t="str">
        <f aca="false">IF(AK189="","",IF(OR(N(AK189)=0,AO189=""),"",MAX(0,Settings!$B$4-AO189)))</f>
        <v/>
      </c>
      <c r="AQ189" s="73" t="str">
        <f aca="false">IF(AK189="","",IF(N(AK189)&lt;=0,"",IF(AO189="","No Due Date",IF(Settings!$B$4&lt;=AO189,"Not Yet Due",IF(Settings!$B$4-AO189&lt;=30,"1-30 Days",IF(Settings!$B$4-AO189&lt;=60,"31-60 Days",IF(Settings!$B$4-AO189&lt;=90,"61-90 Days","90+ Days")))))))</f>
        <v/>
      </c>
      <c r="AR189" s="61"/>
      <c r="AS189" s="61"/>
      <c r="AT189" s="63"/>
      <c r="AU189" s="72" t="str">
        <f aca="false">IF(Q189="","",IF(N(Q189)=0,"",N(AT189)/Q189))</f>
        <v/>
      </c>
      <c r="AV189" s="75" t="str">
        <f aca="false">IF(OR(A189="",O189="",Q189=""),"",MAX(0,Q189-N(AT189)))</f>
        <v/>
      </c>
      <c r="AW189" s="66" t="str">
        <f aca="false">IF(OR(AV189="",W189=""),"",IF(N(Q189)=0,0,AV189/Q189*AD189))</f>
        <v/>
      </c>
      <c r="AX189" s="76" t="str">
        <f aca="false">IF(A189="","",IF(O189="","No PO Yet",IF(Q189="","Order Qty Missing",IF(N(AT189)&gt;=Q189,IF(N(AT189)&gt;Q189,"All In-house (+"&amp;TEXT(N(AT189)-Q189,"#,##0")&amp;" "&amp;R189&amp;" excess)","All In-house"),IF(AY189&lt;&gt;"","Short Closed - "&amp;TEXT(AV189,"#,##0")&amp;" "&amp;R189&amp;" not received",IF(N(AT189)=0,"Not Started - "&amp;TEXT(AV189,"#,##0")&amp;" "&amp;R189&amp;" pending","Pending "&amp;TEXT(AV189,"#,##0")&amp;" "&amp;R189&amp;" ("&amp;TEXT(AU189,"0%")&amp;" received)"))))))</f>
        <v/>
      </c>
      <c r="AY189" s="61"/>
      <c r="AZ189" s="77" t="str">
        <f aca="false">IF(OR(B189="",J189=""),"",J189-B189)</f>
        <v/>
      </c>
      <c r="BA189" s="77" t="str">
        <f aca="false">IF(OR(J189="",P189=""),"",P189-J189)</f>
        <v/>
      </c>
      <c r="BB189" s="77" t="str">
        <f aca="false">IF(OR(P189="",AY189=""),"",AY189-P189)</f>
        <v/>
      </c>
      <c r="BC189" s="77" t="str">
        <f aca="false">IF(OR(B189="",AY189=""),"",AY189-B189)</f>
        <v/>
      </c>
      <c r="BD189" s="74" t="str">
        <f aca="false">IF(OR(AR189="",O189=""),"",MAX(0,IF(AY189="",Settings!$B$4,AY189)-AR189))</f>
        <v/>
      </c>
      <c r="BE189" s="73" t="str">
        <f aca="false">IF(OR(AY189="",AR189=""),"",IF(AND(AY189&lt;=AR189,N(AU189)&gt;=Settings!$B$6),"OTIF","Not OTIF"))</f>
        <v/>
      </c>
      <c r="BF189" s="60"/>
      <c r="BG189" s="62"/>
      <c r="BH189" s="78"/>
      <c r="BI189" s="76" t="str">
        <f aca="false">IF(A189="","",IF(K189="Rejected","Rejected",IF(K189&lt;&gt;"Approved","Awaiting Approval",IF(O189="","Approved - PO Pending",IF(AY189&lt;&gt;"",IF(N(AJ189)&gt;=0.999,"Closed","In-house Closed - Payment Due"),IF(AS189&lt;&gt;"","Receiving In-house","PO Issued - Awaiting Delivery"))))))</f>
        <v/>
      </c>
      <c r="BJ189" s="76" t="str">
        <f aca="false">IF(A189="","",IF(IF(AND(A189&lt;&gt;"",OR(B189="",C189="",E189="",F189="",H189="")),"PR info missing; ","")&amp;IF(AND(K189="Approved",OR(J189="",I189="")),"Approval ref/date missing; ","")&amp;IF(AND(O189&lt;&gt;"",K189&lt;&gt;"Approved"),"PO without approval; ","")&amp;IF(AND(O189&lt;&gt;"",OR(P189="",M189="",Q189="",S189="",T189="")),"PO details missing; ","")&amp;IF(AND(O189&lt;&gt;"",AR189=""),"Committed date missing; ","")&amp;IF(AND(ISNUMBER(J189),ISNUMBER(B189),N(J189)&lt;N(B189)),"Approval dated before PR; ","")&amp;IF(AND(ISNUMBER(P189),ISNUMBER(J189),N(P189)&lt;N(J189)),"PO dated before approval; ","")&amp;IF(AND(ISNUMBER(AY189),ISNUMBER(AS189),N(AY189)&lt;N(AS189)),"Close before in-house start; ","")&amp;IF(AND(AY189&lt;&gt;"",AS189=""),"In-house start date missing; ","")&amp;IF(AND(AY189&lt;&gt;"",AT189=""),"Qty received missing; ","")&amp;IF(AND(AY189&lt;&gt;"",BF189=""),"QC status missing; ","")&amp;IF(N(AT189)&gt;N(Q189)*1.05,"Received &gt; ordered +5%; ","")&amp;IF(AND(N(AI189)&gt;0,AE189=""),"Payment terms missing; ","")&amp;IF(N(AI189)&gt;N(AD189)+1,"Overpaid vs PO; ","")&amp;IF(AND(N(AK189)&gt;0,AY189&lt;&gt;"",AO189=""),"Payment due date missing; ","")="","OK",IF(AND(A189&lt;&gt;"",OR(B189="",C189="",E189="",F189="",H189="")),"PR info missing; ","")&amp;IF(AND(K189="Approved",OR(J189="",I189="")),"Approval ref/date missing; ","")&amp;IF(AND(O189&lt;&gt;"",K189&lt;&gt;"Approved"),"PO without approval; ","")&amp;IF(AND(O189&lt;&gt;"",OR(P189="",M189="",Q189="",S189="",T189="")),"PO details missing; ","")&amp;IF(AND(O189&lt;&gt;"",AR189=""),"Committed date missing; ","")&amp;IF(AND(ISNUMBER(J189),ISNUMBER(B189),N(J189)&lt;N(B189)),"Approval dated before PR; ","")&amp;IF(AND(ISNUMBER(P189),ISNUMBER(J189),N(P189)&lt;N(J189)),"PO dated before approval; ","")&amp;IF(AND(ISNUMBER(AY189),ISNUMBER(AS189),N(AY189)&lt;N(AS189)),"Close before in-house start; ","")&amp;IF(AND(AY189&lt;&gt;"",AS189=""),"In-house start date missing; ","")&amp;IF(AND(AY189&lt;&gt;"",AT189=""),"Qty received missing; ","")&amp;IF(AND(AY189&lt;&gt;"",BF189=""),"QC status missing; ","")&amp;IF(N(AT189)&gt;N(Q189)*1.05,"Received &gt; ordered +5%; ","")&amp;IF(AND(N(AI189)&gt;0,AE189=""),"Payment terms missing; ","")&amp;IF(N(AI189)&gt;N(AD189)+1,"Overpaid vs PO; ","")&amp;IF(AND(N(AK189)&gt;0,AY189&lt;&gt;"",AO189=""),"Payment due date missing; ","")))</f>
        <v/>
      </c>
      <c r="BK189" s="76" t="str">
        <f aca="false">IF(A189="","",IF(N(AP189)&gt;0,"Pay supplier: "&amp;N(AP189)&amp;" days overdue; ","")&amp;IF(AND(O189&lt;&gt;"",AY189="",N(BD189)&gt;0),"Expedite delivery: "&amp;N(BD189)&amp;" days late; ","")&amp;IF(AND(BI189="Awaiting Approval",ISNUMBER(B189),Settings!$B$4-N(B189)&gt;Settings!$B$19),"Get approval: PR waiting "&amp;(Settings!$B$4-N(B189))&amp;" days; ","")&amp;IF(AND(BI189="Approved - PO Pending",ISNUMBER(J189),Settings!$B$4-N(J189)&gt;Settings!$B$20),"Issue PO: approved "&amp;(Settings!$B$4-N(J189))&amp;" days ago; ","")&amp;IF(AND(OR(BI189="Awaiting Approval",BI189="Approved - PO Pending"),N(AB189)&gt;Settings!$B$7),"Negotiate price: "&amp;TEXT(AB189,"0%")&amp;" above budget; ","")&amp;IF(LEFT(AX189,12)="Short Closed","Short closed: claim balance / credit note"&amp;IF(N(AL189)&gt;0," BDT "&amp;TEXT(AL189,"#,##0"),"")&amp;"; ","")&amp;IF(BF189="Rejected","QC rejected: return / replace; ","")&amp;IF(AND(O189&lt;&gt;"",AY189="",N(AL189)&gt;0,N(BD189)&gt;0),"Advance at risk: BDT "&amp;TEXT(AL189,"#,##0")&amp;" paid, goods late; ","")&amp;IF(AND(BJ189&lt;&gt;"",BJ189&lt;&gt;"OK"),"Fix data entry (see Data Check); ",""))</f>
        <v/>
      </c>
      <c r="BL189" s="73" t="str">
        <f aca="false">IF(BK189="","",IF(OR(N(AP189)&gt;30,AND(AY189="",N(BD189)&gt;15),BF189="Rejected",AND(LEFT(AX189,12)="Short Closed",N(AL189)&gt;0),AND(O189&lt;&gt;"",AY189="",N(AL189)&gt;0,N(BD189)&gt;0)),"High",IF(OR(N(AP189)&gt;0,AND(AY189="",N(BD189)&gt;7),LEFT(AX189,12)="Short Closed",AND(BI189="Awaiting Approval",ISNUMBER(B189),Settings!$B$4-N(B189)&gt;2*Settings!$B$19),AND(BI189="Approved - PO Pending",ISNUMBER(J189),Settings!$B$4-N(J189)&gt;2*Settings!$B$20)),"Medium","Low")))</f>
        <v/>
      </c>
      <c r="BM189" s="77" t="str">
        <f aca="false">IF(BL189="","",IF(BL189="High",1,IF(BL189="Medium",2,3))*10000+ROW())</f>
        <v/>
      </c>
      <c r="BN189" s="62"/>
    </row>
    <row r="190" customFormat="false" ht="18" hidden="false" customHeight="true" outlineLevel="0" collapsed="false">
      <c r="A190" s="60"/>
      <c r="B190" s="61"/>
      <c r="C190" s="62"/>
      <c r="D190" s="62"/>
      <c r="E190" s="62"/>
      <c r="F190" s="62"/>
      <c r="G190" s="62"/>
      <c r="H190" s="60"/>
      <c r="I190" s="60"/>
      <c r="J190" s="61"/>
      <c r="K190" s="60"/>
      <c r="L190" s="60"/>
      <c r="M190" s="62"/>
      <c r="N190" s="60"/>
      <c r="O190" s="60"/>
      <c r="P190" s="61"/>
      <c r="Q190" s="63"/>
      <c r="R190" s="60"/>
      <c r="S190" s="64"/>
      <c r="T190" s="60"/>
      <c r="U190" s="65" t="str">
        <f aca="false">IF(AND(T190="",S190=""),"",IF(T190="",1,IFERROR(INDEX(Settings!$B$12:$B$16,MATCH(T190,Settings!$A$12:$A$16,0)),1)))</f>
        <v/>
      </c>
      <c r="V190" s="64"/>
      <c r="W190" s="66" t="str">
        <f aca="false">IF(OR(Q190="",S190=""),"",Q190*S190*U190)</f>
        <v/>
      </c>
      <c r="X190" s="65" t="str">
        <f aca="false">IF(OR(W190="",N(Q190)=0),"",W190/Q190)</f>
        <v/>
      </c>
      <c r="Y190" s="65" t="str">
        <f aca="false">IF(OR(X190="",P190="",E190=""),"",IF(_xlfn.MAXIFS($P$6:$P$205,$E$6:$E$205,E190,$P$6:$P$205,"&lt;"&amp;P190,$X$6:$X$205,"&gt;0")=0,"",IFERROR(AVERAGEIFS($X$6:$X$205,$E$6:$E$205,E190,$P$6:$P$205,_xlfn.MAXIFS($P$6:$P$205,$E$6:$E$205,E190,$P$6:$P$205,"&lt;"&amp;P190,$X$6:$X$205,"&gt;0"),$X$6:$X$205,"&gt;0"),"")))</f>
        <v/>
      </c>
      <c r="Z190" s="67" t="str">
        <f aca="false">IF(OR(Y190="",X190=""),"",X190/Y190-1)</f>
        <v/>
      </c>
      <c r="AA190" s="68" t="str">
        <f aca="false">IF(OR(W190="",V190=""),"",W190-Q190*V190)</f>
        <v/>
      </c>
      <c r="AB190" s="69" t="str">
        <f aca="false">IF(AA190="","",IF(N(V190)*N(Q190)=0,"",AA190/(Q190*V190)))</f>
        <v/>
      </c>
      <c r="AC190" s="70"/>
      <c r="AD190" s="66" t="str">
        <f aca="false">IF(W190="","",W190*(1+N(AC190)))</f>
        <v/>
      </c>
      <c r="AE190" s="62"/>
      <c r="AF190" s="71"/>
      <c r="AG190" s="71"/>
      <c r="AH190" s="71"/>
      <c r="AI190" s="66" t="str">
        <f aca="false">IF(A190="","",N(AF190)+N(AG190)+N(AH190))</f>
        <v/>
      </c>
      <c r="AJ190" s="72" t="str">
        <f aca="false">IF(AD190="","",IF(N(AD190)=0,"",AI190/AD190))</f>
        <v/>
      </c>
      <c r="AK190" s="66" t="str">
        <f aca="false">IF(AD190="","",IF(AD190-AI190&lt;1,0,ROUND(AD190-AI190,2)))</f>
        <v/>
      </c>
      <c r="AL190" s="66" t="str">
        <f aca="false">IF(OR(O190="",AD190=""),"",MAX(0,ROUND(N(AI190)-(AD190-N(AW190)),0)))</f>
        <v/>
      </c>
      <c r="AM190" s="73" t="str">
        <f aca="false">IF(A190="","",IF(O190="","No PO Yet",IF(AI190=0,"Not Paid",IF(N(AJ190)&gt;=0.999,"Fully Paid",IF(N(AG190)+N(AH190)&gt;0,"Partially Paid","Initial / Advance Paid")))))</f>
        <v/>
      </c>
      <c r="AN190" s="61"/>
      <c r="AO190" s="61"/>
      <c r="AP190" s="74" t="str">
        <f aca="false">IF(AK190="","",IF(OR(N(AK190)=0,AO190=""),"",MAX(0,Settings!$B$4-AO190)))</f>
        <v/>
      </c>
      <c r="AQ190" s="73" t="str">
        <f aca="false">IF(AK190="","",IF(N(AK190)&lt;=0,"",IF(AO190="","No Due Date",IF(Settings!$B$4&lt;=AO190,"Not Yet Due",IF(Settings!$B$4-AO190&lt;=30,"1-30 Days",IF(Settings!$B$4-AO190&lt;=60,"31-60 Days",IF(Settings!$B$4-AO190&lt;=90,"61-90 Days","90+ Days")))))))</f>
        <v/>
      </c>
      <c r="AR190" s="61"/>
      <c r="AS190" s="61"/>
      <c r="AT190" s="63"/>
      <c r="AU190" s="72" t="str">
        <f aca="false">IF(Q190="","",IF(N(Q190)=0,"",N(AT190)/Q190))</f>
        <v/>
      </c>
      <c r="AV190" s="75" t="str">
        <f aca="false">IF(OR(A190="",O190="",Q190=""),"",MAX(0,Q190-N(AT190)))</f>
        <v/>
      </c>
      <c r="AW190" s="66" t="str">
        <f aca="false">IF(OR(AV190="",W190=""),"",IF(N(Q190)=0,0,AV190/Q190*AD190))</f>
        <v/>
      </c>
      <c r="AX190" s="76" t="str">
        <f aca="false">IF(A190="","",IF(O190="","No PO Yet",IF(Q190="","Order Qty Missing",IF(N(AT190)&gt;=Q190,IF(N(AT190)&gt;Q190,"All In-house (+"&amp;TEXT(N(AT190)-Q190,"#,##0")&amp;" "&amp;R190&amp;" excess)","All In-house"),IF(AY190&lt;&gt;"","Short Closed - "&amp;TEXT(AV190,"#,##0")&amp;" "&amp;R190&amp;" not received",IF(N(AT190)=0,"Not Started - "&amp;TEXT(AV190,"#,##0")&amp;" "&amp;R190&amp;" pending","Pending "&amp;TEXT(AV190,"#,##0")&amp;" "&amp;R190&amp;" ("&amp;TEXT(AU190,"0%")&amp;" received)"))))))</f>
        <v/>
      </c>
      <c r="AY190" s="61"/>
      <c r="AZ190" s="77" t="str">
        <f aca="false">IF(OR(B190="",J190=""),"",J190-B190)</f>
        <v/>
      </c>
      <c r="BA190" s="77" t="str">
        <f aca="false">IF(OR(J190="",P190=""),"",P190-J190)</f>
        <v/>
      </c>
      <c r="BB190" s="77" t="str">
        <f aca="false">IF(OR(P190="",AY190=""),"",AY190-P190)</f>
        <v/>
      </c>
      <c r="BC190" s="77" t="str">
        <f aca="false">IF(OR(B190="",AY190=""),"",AY190-B190)</f>
        <v/>
      </c>
      <c r="BD190" s="74" t="str">
        <f aca="false">IF(OR(AR190="",O190=""),"",MAX(0,IF(AY190="",Settings!$B$4,AY190)-AR190))</f>
        <v/>
      </c>
      <c r="BE190" s="73" t="str">
        <f aca="false">IF(OR(AY190="",AR190=""),"",IF(AND(AY190&lt;=AR190,N(AU190)&gt;=Settings!$B$6),"OTIF","Not OTIF"))</f>
        <v/>
      </c>
      <c r="BF190" s="60"/>
      <c r="BG190" s="62"/>
      <c r="BH190" s="78"/>
      <c r="BI190" s="76" t="str">
        <f aca="false">IF(A190="","",IF(K190="Rejected","Rejected",IF(K190&lt;&gt;"Approved","Awaiting Approval",IF(O190="","Approved - PO Pending",IF(AY190&lt;&gt;"",IF(N(AJ190)&gt;=0.999,"Closed","In-house Closed - Payment Due"),IF(AS190&lt;&gt;"","Receiving In-house","PO Issued - Awaiting Delivery"))))))</f>
        <v/>
      </c>
      <c r="BJ190" s="76" t="str">
        <f aca="false">IF(A190="","",IF(IF(AND(A190&lt;&gt;"",OR(B190="",C190="",E190="",F190="",H190="")),"PR info missing; ","")&amp;IF(AND(K190="Approved",OR(J190="",I190="")),"Approval ref/date missing; ","")&amp;IF(AND(O190&lt;&gt;"",K190&lt;&gt;"Approved"),"PO without approval; ","")&amp;IF(AND(O190&lt;&gt;"",OR(P190="",M190="",Q190="",S190="",T190="")),"PO details missing; ","")&amp;IF(AND(O190&lt;&gt;"",AR190=""),"Committed date missing; ","")&amp;IF(AND(ISNUMBER(J190),ISNUMBER(B190),N(J190)&lt;N(B190)),"Approval dated before PR; ","")&amp;IF(AND(ISNUMBER(P190),ISNUMBER(J190),N(P190)&lt;N(J190)),"PO dated before approval; ","")&amp;IF(AND(ISNUMBER(AY190),ISNUMBER(AS190),N(AY190)&lt;N(AS190)),"Close before in-house start; ","")&amp;IF(AND(AY190&lt;&gt;"",AS190=""),"In-house start date missing; ","")&amp;IF(AND(AY190&lt;&gt;"",AT190=""),"Qty received missing; ","")&amp;IF(AND(AY190&lt;&gt;"",BF190=""),"QC status missing; ","")&amp;IF(N(AT190)&gt;N(Q190)*1.05,"Received &gt; ordered +5%; ","")&amp;IF(AND(N(AI190)&gt;0,AE190=""),"Payment terms missing; ","")&amp;IF(N(AI190)&gt;N(AD190)+1,"Overpaid vs PO; ","")&amp;IF(AND(N(AK190)&gt;0,AY190&lt;&gt;"",AO190=""),"Payment due date missing; ","")="","OK",IF(AND(A190&lt;&gt;"",OR(B190="",C190="",E190="",F190="",H190="")),"PR info missing; ","")&amp;IF(AND(K190="Approved",OR(J190="",I190="")),"Approval ref/date missing; ","")&amp;IF(AND(O190&lt;&gt;"",K190&lt;&gt;"Approved"),"PO without approval; ","")&amp;IF(AND(O190&lt;&gt;"",OR(P190="",M190="",Q190="",S190="",T190="")),"PO details missing; ","")&amp;IF(AND(O190&lt;&gt;"",AR190=""),"Committed date missing; ","")&amp;IF(AND(ISNUMBER(J190),ISNUMBER(B190),N(J190)&lt;N(B190)),"Approval dated before PR; ","")&amp;IF(AND(ISNUMBER(P190),ISNUMBER(J190),N(P190)&lt;N(J190)),"PO dated before approval; ","")&amp;IF(AND(ISNUMBER(AY190),ISNUMBER(AS190),N(AY190)&lt;N(AS190)),"Close before in-house start; ","")&amp;IF(AND(AY190&lt;&gt;"",AS190=""),"In-house start date missing; ","")&amp;IF(AND(AY190&lt;&gt;"",AT190=""),"Qty received missing; ","")&amp;IF(AND(AY190&lt;&gt;"",BF190=""),"QC status missing; ","")&amp;IF(N(AT190)&gt;N(Q190)*1.05,"Received &gt; ordered +5%; ","")&amp;IF(AND(N(AI190)&gt;0,AE190=""),"Payment terms missing; ","")&amp;IF(N(AI190)&gt;N(AD190)+1,"Overpaid vs PO; ","")&amp;IF(AND(N(AK190)&gt;0,AY190&lt;&gt;"",AO190=""),"Payment due date missing; ","")))</f>
        <v/>
      </c>
      <c r="BK190" s="76" t="str">
        <f aca="false">IF(A190="","",IF(N(AP190)&gt;0,"Pay supplier: "&amp;N(AP190)&amp;" days overdue; ","")&amp;IF(AND(O190&lt;&gt;"",AY190="",N(BD190)&gt;0),"Expedite delivery: "&amp;N(BD190)&amp;" days late; ","")&amp;IF(AND(BI190="Awaiting Approval",ISNUMBER(B190),Settings!$B$4-N(B190)&gt;Settings!$B$19),"Get approval: PR waiting "&amp;(Settings!$B$4-N(B190))&amp;" days; ","")&amp;IF(AND(BI190="Approved - PO Pending",ISNUMBER(J190),Settings!$B$4-N(J190)&gt;Settings!$B$20),"Issue PO: approved "&amp;(Settings!$B$4-N(J190))&amp;" days ago; ","")&amp;IF(AND(OR(BI190="Awaiting Approval",BI190="Approved - PO Pending"),N(AB190)&gt;Settings!$B$7),"Negotiate price: "&amp;TEXT(AB190,"0%")&amp;" above budget; ","")&amp;IF(LEFT(AX190,12)="Short Closed","Short closed: claim balance / credit note"&amp;IF(N(AL190)&gt;0," BDT "&amp;TEXT(AL190,"#,##0"),"")&amp;"; ","")&amp;IF(BF190="Rejected","QC rejected: return / replace; ","")&amp;IF(AND(O190&lt;&gt;"",AY190="",N(AL190)&gt;0,N(BD190)&gt;0),"Advance at risk: BDT "&amp;TEXT(AL190,"#,##0")&amp;" paid, goods late; ","")&amp;IF(AND(BJ190&lt;&gt;"",BJ190&lt;&gt;"OK"),"Fix data entry (see Data Check); ",""))</f>
        <v/>
      </c>
      <c r="BL190" s="73" t="str">
        <f aca="false">IF(BK190="","",IF(OR(N(AP190)&gt;30,AND(AY190="",N(BD190)&gt;15),BF190="Rejected",AND(LEFT(AX190,12)="Short Closed",N(AL190)&gt;0),AND(O190&lt;&gt;"",AY190="",N(AL190)&gt;0,N(BD190)&gt;0)),"High",IF(OR(N(AP190)&gt;0,AND(AY190="",N(BD190)&gt;7),LEFT(AX190,12)="Short Closed",AND(BI190="Awaiting Approval",ISNUMBER(B190),Settings!$B$4-N(B190)&gt;2*Settings!$B$19),AND(BI190="Approved - PO Pending",ISNUMBER(J190),Settings!$B$4-N(J190)&gt;2*Settings!$B$20)),"Medium","Low")))</f>
        <v/>
      </c>
      <c r="BM190" s="77" t="str">
        <f aca="false">IF(BL190="","",IF(BL190="High",1,IF(BL190="Medium",2,3))*10000+ROW())</f>
        <v/>
      </c>
      <c r="BN190" s="62"/>
    </row>
    <row r="191" customFormat="false" ht="18" hidden="false" customHeight="true" outlineLevel="0" collapsed="false">
      <c r="A191" s="60"/>
      <c r="B191" s="61"/>
      <c r="C191" s="62"/>
      <c r="D191" s="62"/>
      <c r="E191" s="62"/>
      <c r="F191" s="62"/>
      <c r="G191" s="62"/>
      <c r="H191" s="60"/>
      <c r="I191" s="60"/>
      <c r="J191" s="61"/>
      <c r="K191" s="60"/>
      <c r="L191" s="60"/>
      <c r="M191" s="62"/>
      <c r="N191" s="60"/>
      <c r="O191" s="60"/>
      <c r="P191" s="61"/>
      <c r="Q191" s="63"/>
      <c r="R191" s="60"/>
      <c r="S191" s="64"/>
      <c r="T191" s="60"/>
      <c r="U191" s="65" t="str">
        <f aca="false">IF(AND(T191="",S191=""),"",IF(T191="",1,IFERROR(INDEX(Settings!$B$12:$B$16,MATCH(T191,Settings!$A$12:$A$16,0)),1)))</f>
        <v/>
      </c>
      <c r="V191" s="64"/>
      <c r="W191" s="66" t="str">
        <f aca="false">IF(OR(Q191="",S191=""),"",Q191*S191*U191)</f>
        <v/>
      </c>
      <c r="X191" s="65" t="str">
        <f aca="false">IF(OR(W191="",N(Q191)=0),"",W191/Q191)</f>
        <v/>
      </c>
      <c r="Y191" s="65" t="str">
        <f aca="false">IF(OR(X191="",P191="",E191=""),"",IF(_xlfn.MAXIFS($P$6:$P$205,$E$6:$E$205,E191,$P$6:$P$205,"&lt;"&amp;P191,$X$6:$X$205,"&gt;0")=0,"",IFERROR(AVERAGEIFS($X$6:$X$205,$E$6:$E$205,E191,$P$6:$P$205,_xlfn.MAXIFS($P$6:$P$205,$E$6:$E$205,E191,$P$6:$P$205,"&lt;"&amp;P191,$X$6:$X$205,"&gt;0"),$X$6:$X$205,"&gt;0"),"")))</f>
        <v/>
      </c>
      <c r="Z191" s="67" t="str">
        <f aca="false">IF(OR(Y191="",X191=""),"",X191/Y191-1)</f>
        <v/>
      </c>
      <c r="AA191" s="68" t="str">
        <f aca="false">IF(OR(W191="",V191=""),"",W191-Q191*V191)</f>
        <v/>
      </c>
      <c r="AB191" s="69" t="str">
        <f aca="false">IF(AA191="","",IF(N(V191)*N(Q191)=0,"",AA191/(Q191*V191)))</f>
        <v/>
      </c>
      <c r="AC191" s="70"/>
      <c r="AD191" s="66" t="str">
        <f aca="false">IF(W191="","",W191*(1+N(AC191)))</f>
        <v/>
      </c>
      <c r="AE191" s="62"/>
      <c r="AF191" s="71"/>
      <c r="AG191" s="71"/>
      <c r="AH191" s="71"/>
      <c r="AI191" s="66" t="str">
        <f aca="false">IF(A191="","",N(AF191)+N(AG191)+N(AH191))</f>
        <v/>
      </c>
      <c r="AJ191" s="72" t="str">
        <f aca="false">IF(AD191="","",IF(N(AD191)=0,"",AI191/AD191))</f>
        <v/>
      </c>
      <c r="AK191" s="66" t="str">
        <f aca="false">IF(AD191="","",IF(AD191-AI191&lt;1,0,ROUND(AD191-AI191,2)))</f>
        <v/>
      </c>
      <c r="AL191" s="66" t="str">
        <f aca="false">IF(OR(O191="",AD191=""),"",MAX(0,ROUND(N(AI191)-(AD191-N(AW191)),0)))</f>
        <v/>
      </c>
      <c r="AM191" s="73" t="str">
        <f aca="false">IF(A191="","",IF(O191="","No PO Yet",IF(AI191=0,"Not Paid",IF(N(AJ191)&gt;=0.999,"Fully Paid",IF(N(AG191)+N(AH191)&gt;0,"Partially Paid","Initial / Advance Paid")))))</f>
        <v/>
      </c>
      <c r="AN191" s="61"/>
      <c r="AO191" s="61"/>
      <c r="AP191" s="74" t="str">
        <f aca="false">IF(AK191="","",IF(OR(N(AK191)=0,AO191=""),"",MAX(0,Settings!$B$4-AO191)))</f>
        <v/>
      </c>
      <c r="AQ191" s="73" t="str">
        <f aca="false">IF(AK191="","",IF(N(AK191)&lt;=0,"",IF(AO191="","No Due Date",IF(Settings!$B$4&lt;=AO191,"Not Yet Due",IF(Settings!$B$4-AO191&lt;=30,"1-30 Days",IF(Settings!$B$4-AO191&lt;=60,"31-60 Days",IF(Settings!$B$4-AO191&lt;=90,"61-90 Days","90+ Days")))))))</f>
        <v/>
      </c>
      <c r="AR191" s="61"/>
      <c r="AS191" s="61"/>
      <c r="AT191" s="63"/>
      <c r="AU191" s="72" t="str">
        <f aca="false">IF(Q191="","",IF(N(Q191)=0,"",N(AT191)/Q191))</f>
        <v/>
      </c>
      <c r="AV191" s="75" t="str">
        <f aca="false">IF(OR(A191="",O191="",Q191=""),"",MAX(0,Q191-N(AT191)))</f>
        <v/>
      </c>
      <c r="AW191" s="66" t="str">
        <f aca="false">IF(OR(AV191="",W191=""),"",IF(N(Q191)=0,0,AV191/Q191*AD191))</f>
        <v/>
      </c>
      <c r="AX191" s="76" t="str">
        <f aca="false">IF(A191="","",IF(O191="","No PO Yet",IF(Q191="","Order Qty Missing",IF(N(AT191)&gt;=Q191,IF(N(AT191)&gt;Q191,"All In-house (+"&amp;TEXT(N(AT191)-Q191,"#,##0")&amp;" "&amp;R191&amp;" excess)","All In-house"),IF(AY191&lt;&gt;"","Short Closed - "&amp;TEXT(AV191,"#,##0")&amp;" "&amp;R191&amp;" not received",IF(N(AT191)=0,"Not Started - "&amp;TEXT(AV191,"#,##0")&amp;" "&amp;R191&amp;" pending","Pending "&amp;TEXT(AV191,"#,##0")&amp;" "&amp;R191&amp;" ("&amp;TEXT(AU191,"0%")&amp;" received)"))))))</f>
        <v/>
      </c>
      <c r="AY191" s="61"/>
      <c r="AZ191" s="77" t="str">
        <f aca="false">IF(OR(B191="",J191=""),"",J191-B191)</f>
        <v/>
      </c>
      <c r="BA191" s="77" t="str">
        <f aca="false">IF(OR(J191="",P191=""),"",P191-J191)</f>
        <v/>
      </c>
      <c r="BB191" s="77" t="str">
        <f aca="false">IF(OR(P191="",AY191=""),"",AY191-P191)</f>
        <v/>
      </c>
      <c r="BC191" s="77" t="str">
        <f aca="false">IF(OR(B191="",AY191=""),"",AY191-B191)</f>
        <v/>
      </c>
      <c r="BD191" s="74" t="str">
        <f aca="false">IF(OR(AR191="",O191=""),"",MAX(0,IF(AY191="",Settings!$B$4,AY191)-AR191))</f>
        <v/>
      </c>
      <c r="BE191" s="73" t="str">
        <f aca="false">IF(OR(AY191="",AR191=""),"",IF(AND(AY191&lt;=AR191,N(AU191)&gt;=Settings!$B$6),"OTIF","Not OTIF"))</f>
        <v/>
      </c>
      <c r="BF191" s="60"/>
      <c r="BG191" s="62"/>
      <c r="BH191" s="78"/>
      <c r="BI191" s="76" t="str">
        <f aca="false">IF(A191="","",IF(K191="Rejected","Rejected",IF(K191&lt;&gt;"Approved","Awaiting Approval",IF(O191="","Approved - PO Pending",IF(AY191&lt;&gt;"",IF(N(AJ191)&gt;=0.999,"Closed","In-house Closed - Payment Due"),IF(AS191&lt;&gt;"","Receiving In-house","PO Issued - Awaiting Delivery"))))))</f>
        <v/>
      </c>
      <c r="BJ191" s="76" t="str">
        <f aca="false">IF(A191="","",IF(IF(AND(A191&lt;&gt;"",OR(B191="",C191="",E191="",F191="",H191="")),"PR info missing; ","")&amp;IF(AND(K191="Approved",OR(J191="",I191="")),"Approval ref/date missing; ","")&amp;IF(AND(O191&lt;&gt;"",K191&lt;&gt;"Approved"),"PO without approval; ","")&amp;IF(AND(O191&lt;&gt;"",OR(P191="",M191="",Q191="",S191="",T191="")),"PO details missing; ","")&amp;IF(AND(O191&lt;&gt;"",AR191=""),"Committed date missing; ","")&amp;IF(AND(ISNUMBER(J191),ISNUMBER(B191),N(J191)&lt;N(B191)),"Approval dated before PR; ","")&amp;IF(AND(ISNUMBER(P191),ISNUMBER(J191),N(P191)&lt;N(J191)),"PO dated before approval; ","")&amp;IF(AND(ISNUMBER(AY191),ISNUMBER(AS191),N(AY191)&lt;N(AS191)),"Close before in-house start; ","")&amp;IF(AND(AY191&lt;&gt;"",AS191=""),"In-house start date missing; ","")&amp;IF(AND(AY191&lt;&gt;"",AT191=""),"Qty received missing; ","")&amp;IF(AND(AY191&lt;&gt;"",BF191=""),"QC status missing; ","")&amp;IF(N(AT191)&gt;N(Q191)*1.05,"Received &gt; ordered +5%; ","")&amp;IF(AND(N(AI191)&gt;0,AE191=""),"Payment terms missing; ","")&amp;IF(N(AI191)&gt;N(AD191)+1,"Overpaid vs PO; ","")&amp;IF(AND(N(AK191)&gt;0,AY191&lt;&gt;"",AO191=""),"Payment due date missing; ","")="","OK",IF(AND(A191&lt;&gt;"",OR(B191="",C191="",E191="",F191="",H191="")),"PR info missing; ","")&amp;IF(AND(K191="Approved",OR(J191="",I191="")),"Approval ref/date missing; ","")&amp;IF(AND(O191&lt;&gt;"",K191&lt;&gt;"Approved"),"PO without approval; ","")&amp;IF(AND(O191&lt;&gt;"",OR(P191="",M191="",Q191="",S191="",T191="")),"PO details missing; ","")&amp;IF(AND(O191&lt;&gt;"",AR191=""),"Committed date missing; ","")&amp;IF(AND(ISNUMBER(J191),ISNUMBER(B191),N(J191)&lt;N(B191)),"Approval dated before PR; ","")&amp;IF(AND(ISNUMBER(P191),ISNUMBER(J191),N(P191)&lt;N(J191)),"PO dated before approval; ","")&amp;IF(AND(ISNUMBER(AY191),ISNUMBER(AS191),N(AY191)&lt;N(AS191)),"Close before in-house start; ","")&amp;IF(AND(AY191&lt;&gt;"",AS191=""),"In-house start date missing; ","")&amp;IF(AND(AY191&lt;&gt;"",AT191=""),"Qty received missing; ","")&amp;IF(AND(AY191&lt;&gt;"",BF191=""),"QC status missing; ","")&amp;IF(N(AT191)&gt;N(Q191)*1.05,"Received &gt; ordered +5%; ","")&amp;IF(AND(N(AI191)&gt;0,AE191=""),"Payment terms missing; ","")&amp;IF(N(AI191)&gt;N(AD191)+1,"Overpaid vs PO; ","")&amp;IF(AND(N(AK191)&gt;0,AY191&lt;&gt;"",AO191=""),"Payment due date missing; ","")))</f>
        <v/>
      </c>
      <c r="BK191" s="76" t="str">
        <f aca="false">IF(A191="","",IF(N(AP191)&gt;0,"Pay supplier: "&amp;N(AP191)&amp;" days overdue; ","")&amp;IF(AND(O191&lt;&gt;"",AY191="",N(BD191)&gt;0),"Expedite delivery: "&amp;N(BD191)&amp;" days late; ","")&amp;IF(AND(BI191="Awaiting Approval",ISNUMBER(B191),Settings!$B$4-N(B191)&gt;Settings!$B$19),"Get approval: PR waiting "&amp;(Settings!$B$4-N(B191))&amp;" days; ","")&amp;IF(AND(BI191="Approved - PO Pending",ISNUMBER(J191),Settings!$B$4-N(J191)&gt;Settings!$B$20),"Issue PO: approved "&amp;(Settings!$B$4-N(J191))&amp;" days ago; ","")&amp;IF(AND(OR(BI191="Awaiting Approval",BI191="Approved - PO Pending"),N(AB191)&gt;Settings!$B$7),"Negotiate price: "&amp;TEXT(AB191,"0%")&amp;" above budget; ","")&amp;IF(LEFT(AX191,12)="Short Closed","Short closed: claim balance / credit note"&amp;IF(N(AL191)&gt;0," BDT "&amp;TEXT(AL191,"#,##0"),"")&amp;"; ","")&amp;IF(BF191="Rejected","QC rejected: return / replace; ","")&amp;IF(AND(O191&lt;&gt;"",AY191="",N(AL191)&gt;0,N(BD191)&gt;0),"Advance at risk: BDT "&amp;TEXT(AL191,"#,##0")&amp;" paid, goods late; ","")&amp;IF(AND(BJ191&lt;&gt;"",BJ191&lt;&gt;"OK"),"Fix data entry (see Data Check); ",""))</f>
        <v/>
      </c>
      <c r="BL191" s="73" t="str">
        <f aca="false">IF(BK191="","",IF(OR(N(AP191)&gt;30,AND(AY191="",N(BD191)&gt;15),BF191="Rejected",AND(LEFT(AX191,12)="Short Closed",N(AL191)&gt;0),AND(O191&lt;&gt;"",AY191="",N(AL191)&gt;0,N(BD191)&gt;0)),"High",IF(OR(N(AP191)&gt;0,AND(AY191="",N(BD191)&gt;7),LEFT(AX191,12)="Short Closed",AND(BI191="Awaiting Approval",ISNUMBER(B191),Settings!$B$4-N(B191)&gt;2*Settings!$B$19),AND(BI191="Approved - PO Pending",ISNUMBER(J191),Settings!$B$4-N(J191)&gt;2*Settings!$B$20)),"Medium","Low")))</f>
        <v/>
      </c>
      <c r="BM191" s="77" t="str">
        <f aca="false">IF(BL191="","",IF(BL191="High",1,IF(BL191="Medium",2,3))*10000+ROW())</f>
        <v/>
      </c>
      <c r="BN191" s="62"/>
    </row>
    <row r="192" customFormat="false" ht="18" hidden="false" customHeight="true" outlineLevel="0" collapsed="false">
      <c r="A192" s="60"/>
      <c r="B192" s="61"/>
      <c r="C192" s="62"/>
      <c r="D192" s="62"/>
      <c r="E192" s="62"/>
      <c r="F192" s="62"/>
      <c r="G192" s="62"/>
      <c r="H192" s="60"/>
      <c r="I192" s="60"/>
      <c r="J192" s="61"/>
      <c r="K192" s="60"/>
      <c r="L192" s="60"/>
      <c r="M192" s="62"/>
      <c r="N192" s="60"/>
      <c r="O192" s="60"/>
      <c r="P192" s="61"/>
      <c r="Q192" s="63"/>
      <c r="R192" s="60"/>
      <c r="S192" s="64"/>
      <c r="T192" s="60"/>
      <c r="U192" s="65" t="str">
        <f aca="false">IF(AND(T192="",S192=""),"",IF(T192="",1,IFERROR(INDEX(Settings!$B$12:$B$16,MATCH(T192,Settings!$A$12:$A$16,0)),1)))</f>
        <v/>
      </c>
      <c r="V192" s="64"/>
      <c r="W192" s="66" t="str">
        <f aca="false">IF(OR(Q192="",S192=""),"",Q192*S192*U192)</f>
        <v/>
      </c>
      <c r="X192" s="65" t="str">
        <f aca="false">IF(OR(W192="",N(Q192)=0),"",W192/Q192)</f>
        <v/>
      </c>
      <c r="Y192" s="65" t="str">
        <f aca="false">IF(OR(X192="",P192="",E192=""),"",IF(_xlfn.MAXIFS($P$6:$P$205,$E$6:$E$205,E192,$P$6:$P$205,"&lt;"&amp;P192,$X$6:$X$205,"&gt;0")=0,"",IFERROR(AVERAGEIFS($X$6:$X$205,$E$6:$E$205,E192,$P$6:$P$205,_xlfn.MAXIFS($P$6:$P$205,$E$6:$E$205,E192,$P$6:$P$205,"&lt;"&amp;P192,$X$6:$X$205,"&gt;0"),$X$6:$X$205,"&gt;0"),"")))</f>
        <v/>
      </c>
      <c r="Z192" s="67" t="str">
        <f aca="false">IF(OR(Y192="",X192=""),"",X192/Y192-1)</f>
        <v/>
      </c>
      <c r="AA192" s="68" t="str">
        <f aca="false">IF(OR(W192="",V192=""),"",W192-Q192*V192)</f>
        <v/>
      </c>
      <c r="AB192" s="69" t="str">
        <f aca="false">IF(AA192="","",IF(N(V192)*N(Q192)=0,"",AA192/(Q192*V192)))</f>
        <v/>
      </c>
      <c r="AC192" s="70"/>
      <c r="AD192" s="66" t="str">
        <f aca="false">IF(W192="","",W192*(1+N(AC192)))</f>
        <v/>
      </c>
      <c r="AE192" s="62"/>
      <c r="AF192" s="71"/>
      <c r="AG192" s="71"/>
      <c r="AH192" s="71"/>
      <c r="AI192" s="66" t="str">
        <f aca="false">IF(A192="","",N(AF192)+N(AG192)+N(AH192))</f>
        <v/>
      </c>
      <c r="AJ192" s="72" t="str">
        <f aca="false">IF(AD192="","",IF(N(AD192)=0,"",AI192/AD192))</f>
        <v/>
      </c>
      <c r="AK192" s="66" t="str">
        <f aca="false">IF(AD192="","",IF(AD192-AI192&lt;1,0,ROUND(AD192-AI192,2)))</f>
        <v/>
      </c>
      <c r="AL192" s="66" t="str">
        <f aca="false">IF(OR(O192="",AD192=""),"",MAX(0,ROUND(N(AI192)-(AD192-N(AW192)),0)))</f>
        <v/>
      </c>
      <c r="AM192" s="73" t="str">
        <f aca="false">IF(A192="","",IF(O192="","No PO Yet",IF(AI192=0,"Not Paid",IF(N(AJ192)&gt;=0.999,"Fully Paid",IF(N(AG192)+N(AH192)&gt;0,"Partially Paid","Initial / Advance Paid")))))</f>
        <v/>
      </c>
      <c r="AN192" s="61"/>
      <c r="AO192" s="61"/>
      <c r="AP192" s="74" t="str">
        <f aca="false">IF(AK192="","",IF(OR(N(AK192)=0,AO192=""),"",MAX(0,Settings!$B$4-AO192)))</f>
        <v/>
      </c>
      <c r="AQ192" s="73" t="str">
        <f aca="false">IF(AK192="","",IF(N(AK192)&lt;=0,"",IF(AO192="","No Due Date",IF(Settings!$B$4&lt;=AO192,"Not Yet Due",IF(Settings!$B$4-AO192&lt;=30,"1-30 Days",IF(Settings!$B$4-AO192&lt;=60,"31-60 Days",IF(Settings!$B$4-AO192&lt;=90,"61-90 Days","90+ Days")))))))</f>
        <v/>
      </c>
      <c r="AR192" s="61"/>
      <c r="AS192" s="61"/>
      <c r="AT192" s="63"/>
      <c r="AU192" s="72" t="str">
        <f aca="false">IF(Q192="","",IF(N(Q192)=0,"",N(AT192)/Q192))</f>
        <v/>
      </c>
      <c r="AV192" s="75" t="str">
        <f aca="false">IF(OR(A192="",O192="",Q192=""),"",MAX(0,Q192-N(AT192)))</f>
        <v/>
      </c>
      <c r="AW192" s="66" t="str">
        <f aca="false">IF(OR(AV192="",W192=""),"",IF(N(Q192)=0,0,AV192/Q192*AD192))</f>
        <v/>
      </c>
      <c r="AX192" s="76" t="str">
        <f aca="false">IF(A192="","",IF(O192="","No PO Yet",IF(Q192="","Order Qty Missing",IF(N(AT192)&gt;=Q192,IF(N(AT192)&gt;Q192,"All In-house (+"&amp;TEXT(N(AT192)-Q192,"#,##0")&amp;" "&amp;R192&amp;" excess)","All In-house"),IF(AY192&lt;&gt;"","Short Closed - "&amp;TEXT(AV192,"#,##0")&amp;" "&amp;R192&amp;" not received",IF(N(AT192)=0,"Not Started - "&amp;TEXT(AV192,"#,##0")&amp;" "&amp;R192&amp;" pending","Pending "&amp;TEXT(AV192,"#,##0")&amp;" "&amp;R192&amp;" ("&amp;TEXT(AU192,"0%")&amp;" received)"))))))</f>
        <v/>
      </c>
      <c r="AY192" s="61"/>
      <c r="AZ192" s="77" t="str">
        <f aca="false">IF(OR(B192="",J192=""),"",J192-B192)</f>
        <v/>
      </c>
      <c r="BA192" s="77" t="str">
        <f aca="false">IF(OR(J192="",P192=""),"",P192-J192)</f>
        <v/>
      </c>
      <c r="BB192" s="77" t="str">
        <f aca="false">IF(OR(P192="",AY192=""),"",AY192-P192)</f>
        <v/>
      </c>
      <c r="BC192" s="77" t="str">
        <f aca="false">IF(OR(B192="",AY192=""),"",AY192-B192)</f>
        <v/>
      </c>
      <c r="BD192" s="74" t="str">
        <f aca="false">IF(OR(AR192="",O192=""),"",MAX(0,IF(AY192="",Settings!$B$4,AY192)-AR192))</f>
        <v/>
      </c>
      <c r="BE192" s="73" t="str">
        <f aca="false">IF(OR(AY192="",AR192=""),"",IF(AND(AY192&lt;=AR192,N(AU192)&gt;=Settings!$B$6),"OTIF","Not OTIF"))</f>
        <v/>
      </c>
      <c r="BF192" s="60"/>
      <c r="BG192" s="62"/>
      <c r="BH192" s="78"/>
      <c r="BI192" s="76" t="str">
        <f aca="false">IF(A192="","",IF(K192="Rejected","Rejected",IF(K192&lt;&gt;"Approved","Awaiting Approval",IF(O192="","Approved - PO Pending",IF(AY192&lt;&gt;"",IF(N(AJ192)&gt;=0.999,"Closed","In-house Closed - Payment Due"),IF(AS192&lt;&gt;"","Receiving In-house","PO Issued - Awaiting Delivery"))))))</f>
        <v/>
      </c>
      <c r="BJ192" s="76" t="str">
        <f aca="false">IF(A192="","",IF(IF(AND(A192&lt;&gt;"",OR(B192="",C192="",E192="",F192="",H192="")),"PR info missing; ","")&amp;IF(AND(K192="Approved",OR(J192="",I192="")),"Approval ref/date missing; ","")&amp;IF(AND(O192&lt;&gt;"",K192&lt;&gt;"Approved"),"PO without approval; ","")&amp;IF(AND(O192&lt;&gt;"",OR(P192="",M192="",Q192="",S192="",T192="")),"PO details missing; ","")&amp;IF(AND(O192&lt;&gt;"",AR192=""),"Committed date missing; ","")&amp;IF(AND(ISNUMBER(J192),ISNUMBER(B192),N(J192)&lt;N(B192)),"Approval dated before PR; ","")&amp;IF(AND(ISNUMBER(P192),ISNUMBER(J192),N(P192)&lt;N(J192)),"PO dated before approval; ","")&amp;IF(AND(ISNUMBER(AY192),ISNUMBER(AS192),N(AY192)&lt;N(AS192)),"Close before in-house start; ","")&amp;IF(AND(AY192&lt;&gt;"",AS192=""),"In-house start date missing; ","")&amp;IF(AND(AY192&lt;&gt;"",AT192=""),"Qty received missing; ","")&amp;IF(AND(AY192&lt;&gt;"",BF192=""),"QC status missing; ","")&amp;IF(N(AT192)&gt;N(Q192)*1.05,"Received &gt; ordered +5%; ","")&amp;IF(AND(N(AI192)&gt;0,AE192=""),"Payment terms missing; ","")&amp;IF(N(AI192)&gt;N(AD192)+1,"Overpaid vs PO; ","")&amp;IF(AND(N(AK192)&gt;0,AY192&lt;&gt;"",AO192=""),"Payment due date missing; ","")="","OK",IF(AND(A192&lt;&gt;"",OR(B192="",C192="",E192="",F192="",H192="")),"PR info missing; ","")&amp;IF(AND(K192="Approved",OR(J192="",I192="")),"Approval ref/date missing; ","")&amp;IF(AND(O192&lt;&gt;"",K192&lt;&gt;"Approved"),"PO without approval; ","")&amp;IF(AND(O192&lt;&gt;"",OR(P192="",M192="",Q192="",S192="",T192="")),"PO details missing; ","")&amp;IF(AND(O192&lt;&gt;"",AR192=""),"Committed date missing; ","")&amp;IF(AND(ISNUMBER(J192),ISNUMBER(B192),N(J192)&lt;N(B192)),"Approval dated before PR; ","")&amp;IF(AND(ISNUMBER(P192),ISNUMBER(J192),N(P192)&lt;N(J192)),"PO dated before approval; ","")&amp;IF(AND(ISNUMBER(AY192),ISNUMBER(AS192),N(AY192)&lt;N(AS192)),"Close before in-house start; ","")&amp;IF(AND(AY192&lt;&gt;"",AS192=""),"In-house start date missing; ","")&amp;IF(AND(AY192&lt;&gt;"",AT192=""),"Qty received missing; ","")&amp;IF(AND(AY192&lt;&gt;"",BF192=""),"QC status missing; ","")&amp;IF(N(AT192)&gt;N(Q192)*1.05,"Received &gt; ordered +5%; ","")&amp;IF(AND(N(AI192)&gt;0,AE192=""),"Payment terms missing; ","")&amp;IF(N(AI192)&gt;N(AD192)+1,"Overpaid vs PO; ","")&amp;IF(AND(N(AK192)&gt;0,AY192&lt;&gt;"",AO192=""),"Payment due date missing; ","")))</f>
        <v/>
      </c>
      <c r="BK192" s="76" t="str">
        <f aca="false">IF(A192="","",IF(N(AP192)&gt;0,"Pay supplier: "&amp;N(AP192)&amp;" days overdue; ","")&amp;IF(AND(O192&lt;&gt;"",AY192="",N(BD192)&gt;0),"Expedite delivery: "&amp;N(BD192)&amp;" days late; ","")&amp;IF(AND(BI192="Awaiting Approval",ISNUMBER(B192),Settings!$B$4-N(B192)&gt;Settings!$B$19),"Get approval: PR waiting "&amp;(Settings!$B$4-N(B192))&amp;" days; ","")&amp;IF(AND(BI192="Approved - PO Pending",ISNUMBER(J192),Settings!$B$4-N(J192)&gt;Settings!$B$20),"Issue PO: approved "&amp;(Settings!$B$4-N(J192))&amp;" days ago; ","")&amp;IF(AND(OR(BI192="Awaiting Approval",BI192="Approved - PO Pending"),N(AB192)&gt;Settings!$B$7),"Negotiate price: "&amp;TEXT(AB192,"0%")&amp;" above budget; ","")&amp;IF(LEFT(AX192,12)="Short Closed","Short closed: claim balance / credit note"&amp;IF(N(AL192)&gt;0," BDT "&amp;TEXT(AL192,"#,##0"),"")&amp;"; ","")&amp;IF(BF192="Rejected","QC rejected: return / replace; ","")&amp;IF(AND(O192&lt;&gt;"",AY192="",N(AL192)&gt;0,N(BD192)&gt;0),"Advance at risk: BDT "&amp;TEXT(AL192,"#,##0")&amp;" paid, goods late; ","")&amp;IF(AND(BJ192&lt;&gt;"",BJ192&lt;&gt;"OK"),"Fix data entry (see Data Check); ",""))</f>
        <v/>
      </c>
      <c r="BL192" s="73" t="str">
        <f aca="false">IF(BK192="","",IF(OR(N(AP192)&gt;30,AND(AY192="",N(BD192)&gt;15),BF192="Rejected",AND(LEFT(AX192,12)="Short Closed",N(AL192)&gt;0),AND(O192&lt;&gt;"",AY192="",N(AL192)&gt;0,N(BD192)&gt;0)),"High",IF(OR(N(AP192)&gt;0,AND(AY192="",N(BD192)&gt;7),LEFT(AX192,12)="Short Closed",AND(BI192="Awaiting Approval",ISNUMBER(B192),Settings!$B$4-N(B192)&gt;2*Settings!$B$19),AND(BI192="Approved - PO Pending",ISNUMBER(J192),Settings!$B$4-N(J192)&gt;2*Settings!$B$20)),"Medium","Low")))</f>
        <v/>
      </c>
      <c r="BM192" s="77" t="str">
        <f aca="false">IF(BL192="","",IF(BL192="High",1,IF(BL192="Medium",2,3))*10000+ROW())</f>
        <v/>
      </c>
      <c r="BN192" s="62"/>
    </row>
    <row r="193" customFormat="false" ht="18" hidden="false" customHeight="true" outlineLevel="0" collapsed="false">
      <c r="A193" s="60"/>
      <c r="B193" s="61"/>
      <c r="C193" s="62"/>
      <c r="D193" s="62"/>
      <c r="E193" s="62"/>
      <c r="F193" s="62"/>
      <c r="G193" s="62"/>
      <c r="H193" s="60"/>
      <c r="I193" s="60"/>
      <c r="J193" s="61"/>
      <c r="K193" s="60"/>
      <c r="L193" s="60"/>
      <c r="M193" s="62"/>
      <c r="N193" s="60"/>
      <c r="O193" s="60"/>
      <c r="P193" s="61"/>
      <c r="Q193" s="63"/>
      <c r="R193" s="60"/>
      <c r="S193" s="64"/>
      <c r="T193" s="60"/>
      <c r="U193" s="65" t="str">
        <f aca="false">IF(AND(T193="",S193=""),"",IF(T193="",1,IFERROR(INDEX(Settings!$B$12:$B$16,MATCH(T193,Settings!$A$12:$A$16,0)),1)))</f>
        <v/>
      </c>
      <c r="V193" s="64"/>
      <c r="W193" s="66" t="str">
        <f aca="false">IF(OR(Q193="",S193=""),"",Q193*S193*U193)</f>
        <v/>
      </c>
      <c r="X193" s="65" t="str">
        <f aca="false">IF(OR(W193="",N(Q193)=0),"",W193/Q193)</f>
        <v/>
      </c>
      <c r="Y193" s="65" t="str">
        <f aca="false">IF(OR(X193="",P193="",E193=""),"",IF(_xlfn.MAXIFS($P$6:$P$205,$E$6:$E$205,E193,$P$6:$P$205,"&lt;"&amp;P193,$X$6:$X$205,"&gt;0")=0,"",IFERROR(AVERAGEIFS($X$6:$X$205,$E$6:$E$205,E193,$P$6:$P$205,_xlfn.MAXIFS($P$6:$P$205,$E$6:$E$205,E193,$P$6:$P$205,"&lt;"&amp;P193,$X$6:$X$205,"&gt;0"),$X$6:$X$205,"&gt;0"),"")))</f>
        <v/>
      </c>
      <c r="Z193" s="67" t="str">
        <f aca="false">IF(OR(Y193="",X193=""),"",X193/Y193-1)</f>
        <v/>
      </c>
      <c r="AA193" s="68" t="str">
        <f aca="false">IF(OR(W193="",V193=""),"",W193-Q193*V193)</f>
        <v/>
      </c>
      <c r="AB193" s="69" t="str">
        <f aca="false">IF(AA193="","",IF(N(V193)*N(Q193)=0,"",AA193/(Q193*V193)))</f>
        <v/>
      </c>
      <c r="AC193" s="70"/>
      <c r="AD193" s="66" t="str">
        <f aca="false">IF(W193="","",W193*(1+N(AC193)))</f>
        <v/>
      </c>
      <c r="AE193" s="62"/>
      <c r="AF193" s="71"/>
      <c r="AG193" s="71"/>
      <c r="AH193" s="71"/>
      <c r="AI193" s="66" t="str">
        <f aca="false">IF(A193="","",N(AF193)+N(AG193)+N(AH193))</f>
        <v/>
      </c>
      <c r="AJ193" s="72" t="str">
        <f aca="false">IF(AD193="","",IF(N(AD193)=0,"",AI193/AD193))</f>
        <v/>
      </c>
      <c r="AK193" s="66" t="str">
        <f aca="false">IF(AD193="","",IF(AD193-AI193&lt;1,0,ROUND(AD193-AI193,2)))</f>
        <v/>
      </c>
      <c r="AL193" s="66" t="str">
        <f aca="false">IF(OR(O193="",AD193=""),"",MAX(0,ROUND(N(AI193)-(AD193-N(AW193)),0)))</f>
        <v/>
      </c>
      <c r="AM193" s="73" t="str">
        <f aca="false">IF(A193="","",IF(O193="","No PO Yet",IF(AI193=0,"Not Paid",IF(N(AJ193)&gt;=0.999,"Fully Paid",IF(N(AG193)+N(AH193)&gt;0,"Partially Paid","Initial / Advance Paid")))))</f>
        <v/>
      </c>
      <c r="AN193" s="61"/>
      <c r="AO193" s="61"/>
      <c r="AP193" s="74" t="str">
        <f aca="false">IF(AK193="","",IF(OR(N(AK193)=0,AO193=""),"",MAX(0,Settings!$B$4-AO193)))</f>
        <v/>
      </c>
      <c r="AQ193" s="73" t="str">
        <f aca="false">IF(AK193="","",IF(N(AK193)&lt;=0,"",IF(AO193="","No Due Date",IF(Settings!$B$4&lt;=AO193,"Not Yet Due",IF(Settings!$B$4-AO193&lt;=30,"1-30 Days",IF(Settings!$B$4-AO193&lt;=60,"31-60 Days",IF(Settings!$B$4-AO193&lt;=90,"61-90 Days","90+ Days")))))))</f>
        <v/>
      </c>
      <c r="AR193" s="61"/>
      <c r="AS193" s="61"/>
      <c r="AT193" s="63"/>
      <c r="AU193" s="72" t="str">
        <f aca="false">IF(Q193="","",IF(N(Q193)=0,"",N(AT193)/Q193))</f>
        <v/>
      </c>
      <c r="AV193" s="75" t="str">
        <f aca="false">IF(OR(A193="",O193="",Q193=""),"",MAX(0,Q193-N(AT193)))</f>
        <v/>
      </c>
      <c r="AW193" s="66" t="str">
        <f aca="false">IF(OR(AV193="",W193=""),"",IF(N(Q193)=0,0,AV193/Q193*AD193))</f>
        <v/>
      </c>
      <c r="AX193" s="76" t="str">
        <f aca="false">IF(A193="","",IF(O193="","No PO Yet",IF(Q193="","Order Qty Missing",IF(N(AT193)&gt;=Q193,IF(N(AT193)&gt;Q193,"All In-house (+"&amp;TEXT(N(AT193)-Q193,"#,##0")&amp;" "&amp;R193&amp;" excess)","All In-house"),IF(AY193&lt;&gt;"","Short Closed - "&amp;TEXT(AV193,"#,##0")&amp;" "&amp;R193&amp;" not received",IF(N(AT193)=0,"Not Started - "&amp;TEXT(AV193,"#,##0")&amp;" "&amp;R193&amp;" pending","Pending "&amp;TEXT(AV193,"#,##0")&amp;" "&amp;R193&amp;" ("&amp;TEXT(AU193,"0%")&amp;" received)"))))))</f>
        <v/>
      </c>
      <c r="AY193" s="61"/>
      <c r="AZ193" s="77" t="str">
        <f aca="false">IF(OR(B193="",J193=""),"",J193-B193)</f>
        <v/>
      </c>
      <c r="BA193" s="77" t="str">
        <f aca="false">IF(OR(J193="",P193=""),"",P193-J193)</f>
        <v/>
      </c>
      <c r="BB193" s="77" t="str">
        <f aca="false">IF(OR(P193="",AY193=""),"",AY193-P193)</f>
        <v/>
      </c>
      <c r="BC193" s="77" t="str">
        <f aca="false">IF(OR(B193="",AY193=""),"",AY193-B193)</f>
        <v/>
      </c>
      <c r="BD193" s="74" t="str">
        <f aca="false">IF(OR(AR193="",O193=""),"",MAX(0,IF(AY193="",Settings!$B$4,AY193)-AR193))</f>
        <v/>
      </c>
      <c r="BE193" s="73" t="str">
        <f aca="false">IF(OR(AY193="",AR193=""),"",IF(AND(AY193&lt;=AR193,N(AU193)&gt;=Settings!$B$6),"OTIF","Not OTIF"))</f>
        <v/>
      </c>
      <c r="BF193" s="60"/>
      <c r="BG193" s="62"/>
      <c r="BH193" s="78"/>
      <c r="BI193" s="76" t="str">
        <f aca="false">IF(A193="","",IF(K193="Rejected","Rejected",IF(K193&lt;&gt;"Approved","Awaiting Approval",IF(O193="","Approved - PO Pending",IF(AY193&lt;&gt;"",IF(N(AJ193)&gt;=0.999,"Closed","In-house Closed - Payment Due"),IF(AS193&lt;&gt;"","Receiving In-house","PO Issued - Awaiting Delivery"))))))</f>
        <v/>
      </c>
      <c r="BJ193" s="76" t="str">
        <f aca="false">IF(A193="","",IF(IF(AND(A193&lt;&gt;"",OR(B193="",C193="",E193="",F193="",H193="")),"PR info missing; ","")&amp;IF(AND(K193="Approved",OR(J193="",I193="")),"Approval ref/date missing; ","")&amp;IF(AND(O193&lt;&gt;"",K193&lt;&gt;"Approved"),"PO without approval; ","")&amp;IF(AND(O193&lt;&gt;"",OR(P193="",M193="",Q193="",S193="",T193="")),"PO details missing; ","")&amp;IF(AND(O193&lt;&gt;"",AR193=""),"Committed date missing; ","")&amp;IF(AND(ISNUMBER(J193),ISNUMBER(B193),N(J193)&lt;N(B193)),"Approval dated before PR; ","")&amp;IF(AND(ISNUMBER(P193),ISNUMBER(J193),N(P193)&lt;N(J193)),"PO dated before approval; ","")&amp;IF(AND(ISNUMBER(AY193),ISNUMBER(AS193),N(AY193)&lt;N(AS193)),"Close before in-house start; ","")&amp;IF(AND(AY193&lt;&gt;"",AS193=""),"In-house start date missing; ","")&amp;IF(AND(AY193&lt;&gt;"",AT193=""),"Qty received missing; ","")&amp;IF(AND(AY193&lt;&gt;"",BF193=""),"QC status missing; ","")&amp;IF(N(AT193)&gt;N(Q193)*1.05,"Received &gt; ordered +5%; ","")&amp;IF(AND(N(AI193)&gt;0,AE193=""),"Payment terms missing; ","")&amp;IF(N(AI193)&gt;N(AD193)+1,"Overpaid vs PO; ","")&amp;IF(AND(N(AK193)&gt;0,AY193&lt;&gt;"",AO193=""),"Payment due date missing; ","")="","OK",IF(AND(A193&lt;&gt;"",OR(B193="",C193="",E193="",F193="",H193="")),"PR info missing; ","")&amp;IF(AND(K193="Approved",OR(J193="",I193="")),"Approval ref/date missing; ","")&amp;IF(AND(O193&lt;&gt;"",K193&lt;&gt;"Approved"),"PO without approval; ","")&amp;IF(AND(O193&lt;&gt;"",OR(P193="",M193="",Q193="",S193="",T193="")),"PO details missing; ","")&amp;IF(AND(O193&lt;&gt;"",AR193=""),"Committed date missing; ","")&amp;IF(AND(ISNUMBER(J193),ISNUMBER(B193),N(J193)&lt;N(B193)),"Approval dated before PR; ","")&amp;IF(AND(ISNUMBER(P193),ISNUMBER(J193),N(P193)&lt;N(J193)),"PO dated before approval; ","")&amp;IF(AND(ISNUMBER(AY193),ISNUMBER(AS193),N(AY193)&lt;N(AS193)),"Close before in-house start; ","")&amp;IF(AND(AY193&lt;&gt;"",AS193=""),"In-house start date missing; ","")&amp;IF(AND(AY193&lt;&gt;"",AT193=""),"Qty received missing; ","")&amp;IF(AND(AY193&lt;&gt;"",BF193=""),"QC status missing; ","")&amp;IF(N(AT193)&gt;N(Q193)*1.05,"Received &gt; ordered +5%; ","")&amp;IF(AND(N(AI193)&gt;0,AE193=""),"Payment terms missing; ","")&amp;IF(N(AI193)&gt;N(AD193)+1,"Overpaid vs PO; ","")&amp;IF(AND(N(AK193)&gt;0,AY193&lt;&gt;"",AO193=""),"Payment due date missing; ","")))</f>
        <v/>
      </c>
      <c r="BK193" s="76" t="str">
        <f aca="false">IF(A193="","",IF(N(AP193)&gt;0,"Pay supplier: "&amp;N(AP193)&amp;" days overdue; ","")&amp;IF(AND(O193&lt;&gt;"",AY193="",N(BD193)&gt;0),"Expedite delivery: "&amp;N(BD193)&amp;" days late; ","")&amp;IF(AND(BI193="Awaiting Approval",ISNUMBER(B193),Settings!$B$4-N(B193)&gt;Settings!$B$19),"Get approval: PR waiting "&amp;(Settings!$B$4-N(B193))&amp;" days; ","")&amp;IF(AND(BI193="Approved - PO Pending",ISNUMBER(J193),Settings!$B$4-N(J193)&gt;Settings!$B$20),"Issue PO: approved "&amp;(Settings!$B$4-N(J193))&amp;" days ago; ","")&amp;IF(AND(OR(BI193="Awaiting Approval",BI193="Approved - PO Pending"),N(AB193)&gt;Settings!$B$7),"Negotiate price: "&amp;TEXT(AB193,"0%")&amp;" above budget; ","")&amp;IF(LEFT(AX193,12)="Short Closed","Short closed: claim balance / credit note"&amp;IF(N(AL193)&gt;0," BDT "&amp;TEXT(AL193,"#,##0"),"")&amp;"; ","")&amp;IF(BF193="Rejected","QC rejected: return / replace; ","")&amp;IF(AND(O193&lt;&gt;"",AY193="",N(AL193)&gt;0,N(BD193)&gt;0),"Advance at risk: BDT "&amp;TEXT(AL193,"#,##0")&amp;" paid, goods late; ","")&amp;IF(AND(BJ193&lt;&gt;"",BJ193&lt;&gt;"OK"),"Fix data entry (see Data Check); ",""))</f>
        <v/>
      </c>
      <c r="BL193" s="73" t="str">
        <f aca="false">IF(BK193="","",IF(OR(N(AP193)&gt;30,AND(AY193="",N(BD193)&gt;15),BF193="Rejected",AND(LEFT(AX193,12)="Short Closed",N(AL193)&gt;0),AND(O193&lt;&gt;"",AY193="",N(AL193)&gt;0,N(BD193)&gt;0)),"High",IF(OR(N(AP193)&gt;0,AND(AY193="",N(BD193)&gt;7),LEFT(AX193,12)="Short Closed",AND(BI193="Awaiting Approval",ISNUMBER(B193),Settings!$B$4-N(B193)&gt;2*Settings!$B$19),AND(BI193="Approved - PO Pending",ISNUMBER(J193),Settings!$B$4-N(J193)&gt;2*Settings!$B$20)),"Medium","Low")))</f>
        <v/>
      </c>
      <c r="BM193" s="77" t="str">
        <f aca="false">IF(BL193="","",IF(BL193="High",1,IF(BL193="Medium",2,3))*10000+ROW())</f>
        <v/>
      </c>
      <c r="BN193" s="62"/>
    </row>
    <row r="194" customFormat="false" ht="18" hidden="false" customHeight="true" outlineLevel="0" collapsed="false">
      <c r="A194" s="60"/>
      <c r="B194" s="61"/>
      <c r="C194" s="62"/>
      <c r="D194" s="62"/>
      <c r="E194" s="62"/>
      <c r="F194" s="62"/>
      <c r="G194" s="62"/>
      <c r="H194" s="60"/>
      <c r="I194" s="60"/>
      <c r="J194" s="61"/>
      <c r="K194" s="60"/>
      <c r="L194" s="60"/>
      <c r="M194" s="62"/>
      <c r="N194" s="60"/>
      <c r="O194" s="60"/>
      <c r="P194" s="61"/>
      <c r="Q194" s="63"/>
      <c r="R194" s="60"/>
      <c r="S194" s="64"/>
      <c r="T194" s="60"/>
      <c r="U194" s="65" t="str">
        <f aca="false">IF(AND(T194="",S194=""),"",IF(T194="",1,IFERROR(INDEX(Settings!$B$12:$B$16,MATCH(T194,Settings!$A$12:$A$16,0)),1)))</f>
        <v/>
      </c>
      <c r="V194" s="64"/>
      <c r="W194" s="66" t="str">
        <f aca="false">IF(OR(Q194="",S194=""),"",Q194*S194*U194)</f>
        <v/>
      </c>
      <c r="X194" s="65" t="str">
        <f aca="false">IF(OR(W194="",N(Q194)=0),"",W194/Q194)</f>
        <v/>
      </c>
      <c r="Y194" s="65" t="str">
        <f aca="false">IF(OR(X194="",P194="",E194=""),"",IF(_xlfn.MAXIFS($P$6:$P$205,$E$6:$E$205,E194,$P$6:$P$205,"&lt;"&amp;P194,$X$6:$X$205,"&gt;0")=0,"",IFERROR(AVERAGEIFS($X$6:$X$205,$E$6:$E$205,E194,$P$6:$P$205,_xlfn.MAXIFS($P$6:$P$205,$E$6:$E$205,E194,$P$6:$P$205,"&lt;"&amp;P194,$X$6:$X$205,"&gt;0"),$X$6:$X$205,"&gt;0"),"")))</f>
        <v/>
      </c>
      <c r="Z194" s="67" t="str">
        <f aca="false">IF(OR(Y194="",X194=""),"",X194/Y194-1)</f>
        <v/>
      </c>
      <c r="AA194" s="68" t="str">
        <f aca="false">IF(OR(W194="",V194=""),"",W194-Q194*V194)</f>
        <v/>
      </c>
      <c r="AB194" s="69" t="str">
        <f aca="false">IF(AA194="","",IF(N(V194)*N(Q194)=0,"",AA194/(Q194*V194)))</f>
        <v/>
      </c>
      <c r="AC194" s="70"/>
      <c r="AD194" s="66" t="str">
        <f aca="false">IF(W194="","",W194*(1+N(AC194)))</f>
        <v/>
      </c>
      <c r="AE194" s="62"/>
      <c r="AF194" s="71"/>
      <c r="AG194" s="71"/>
      <c r="AH194" s="71"/>
      <c r="AI194" s="66" t="str">
        <f aca="false">IF(A194="","",N(AF194)+N(AG194)+N(AH194))</f>
        <v/>
      </c>
      <c r="AJ194" s="72" t="str">
        <f aca="false">IF(AD194="","",IF(N(AD194)=0,"",AI194/AD194))</f>
        <v/>
      </c>
      <c r="AK194" s="66" t="str">
        <f aca="false">IF(AD194="","",IF(AD194-AI194&lt;1,0,ROUND(AD194-AI194,2)))</f>
        <v/>
      </c>
      <c r="AL194" s="66" t="str">
        <f aca="false">IF(OR(O194="",AD194=""),"",MAX(0,ROUND(N(AI194)-(AD194-N(AW194)),0)))</f>
        <v/>
      </c>
      <c r="AM194" s="73" t="str">
        <f aca="false">IF(A194="","",IF(O194="","No PO Yet",IF(AI194=0,"Not Paid",IF(N(AJ194)&gt;=0.999,"Fully Paid",IF(N(AG194)+N(AH194)&gt;0,"Partially Paid","Initial / Advance Paid")))))</f>
        <v/>
      </c>
      <c r="AN194" s="61"/>
      <c r="AO194" s="61"/>
      <c r="AP194" s="74" t="str">
        <f aca="false">IF(AK194="","",IF(OR(N(AK194)=0,AO194=""),"",MAX(0,Settings!$B$4-AO194)))</f>
        <v/>
      </c>
      <c r="AQ194" s="73" t="str">
        <f aca="false">IF(AK194="","",IF(N(AK194)&lt;=0,"",IF(AO194="","No Due Date",IF(Settings!$B$4&lt;=AO194,"Not Yet Due",IF(Settings!$B$4-AO194&lt;=30,"1-30 Days",IF(Settings!$B$4-AO194&lt;=60,"31-60 Days",IF(Settings!$B$4-AO194&lt;=90,"61-90 Days","90+ Days")))))))</f>
        <v/>
      </c>
      <c r="AR194" s="61"/>
      <c r="AS194" s="61"/>
      <c r="AT194" s="63"/>
      <c r="AU194" s="72" t="str">
        <f aca="false">IF(Q194="","",IF(N(Q194)=0,"",N(AT194)/Q194))</f>
        <v/>
      </c>
      <c r="AV194" s="75" t="str">
        <f aca="false">IF(OR(A194="",O194="",Q194=""),"",MAX(0,Q194-N(AT194)))</f>
        <v/>
      </c>
      <c r="AW194" s="66" t="str">
        <f aca="false">IF(OR(AV194="",W194=""),"",IF(N(Q194)=0,0,AV194/Q194*AD194))</f>
        <v/>
      </c>
      <c r="AX194" s="76" t="str">
        <f aca="false">IF(A194="","",IF(O194="","No PO Yet",IF(Q194="","Order Qty Missing",IF(N(AT194)&gt;=Q194,IF(N(AT194)&gt;Q194,"All In-house (+"&amp;TEXT(N(AT194)-Q194,"#,##0")&amp;" "&amp;R194&amp;" excess)","All In-house"),IF(AY194&lt;&gt;"","Short Closed - "&amp;TEXT(AV194,"#,##0")&amp;" "&amp;R194&amp;" not received",IF(N(AT194)=0,"Not Started - "&amp;TEXT(AV194,"#,##0")&amp;" "&amp;R194&amp;" pending","Pending "&amp;TEXT(AV194,"#,##0")&amp;" "&amp;R194&amp;" ("&amp;TEXT(AU194,"0%")&amp;" received)"))))))</f>
        <v/>
      </c>
      <c r="AY194" s="61"/>
      <c r="AZ194" s="77" t="str">
        <f aca="false">IF(OR(B194="",J194=""),"",J194-B194)</f>
        <v/>
      </c>
      <c r="BA194" s="77" t="str">
        <f aca="false">IF(OR(J194="",P194=""),"",P194-J194)</f>
        <v/>
      </c>
      <c r="BB194" s="77" t="str">
        <f aca="false">IF(OR(P194="",AY194=""),"",AY194-P194)</f>
        <v/>
      </c>
      <c r="BC194" s="77" t="str">
        <f aca="false">IF(OR(B194="",AY194=""),"",AY194-B194)</f>
        <v/>
      </c>
      <c r="BD194" s="74" t="str">
        <f aca="false">IF(OR(AR194="",O194=""),"",MAX(0,IF(AY194="",Settings!$B$4,AY194)-AR194))</f>
        <v/>
      </c>
      <c r="BE194" s="73" t="str">
        <f aca="false">IF(OR(AY194="",AR194=""),"",IF(AND(AY194&lt;=AR194,N(AU194)&gt;=Settings!$B$6),"OTIF","Not OTIF"))</f>
        <v/>
      </c>
      <c r="BF194" s="60"/>
      <c r="BG194" s="62"/>
      <c r="BH194" s="78"/>
      <c r="BI194" s="76" t="str">
        <f aca="false">IF(A194="","",IF(K194="Rejected","Rejected",IF(K194&lt;&gt;"Approved","Awaiting Approval",IF(O194="","Approved - PO Pending",IF(AY194&lt;&gt;"",IF(N(AJ194)&gt;=0.999,"Closed","In-house Closed - Payment Due"),IF(AS194&lt;&gt;"","Receiving In-house","PO Issued - Awaiting Delivery"))))))</f>
        <v/>
      </c>
      <c r="BJ194" s="76" t="str">
        <f aca="false">IF(A194="","",IF(IF(AND(A194&lt;&gt;"",OR(B194="",C194="",E194="",F194="",H194="")),"PR info missing; ","")&amp;IF(AND(K194="Approved",OR(J194="",I194="")),"Approval ref/date missing; ","")&amp;IF(AND(O194&lt;&gt;"",K194&lt;&gt;"Approved"),"PO without approval; ","")&amp;IF(AND(O194&lt;&gt;"",OR(P194="",M194="",Q194="",S194="",T194="")),"PO details missing; ","")&amp;IF(AND(O194&lt;&gt;"",AR194=""),"Committed date missing; ","")&amp;IF(AND(ISNUMBER(J194),ISNUMBER(B194),N(J194)&lt;N(B194)),"Approval dated before PR; ","")&amp;IF(AND(ISNUMBER(P194),ISNUMBER(J194),N(P194)&lt;N(J194)),"PO dated before approval; ","")&amp;IF(AND(ISNUMBER(AY194),ISNUMBER(AS194),N(AY194)&lt;N(AS194)),"Close before in-house start; ","")&amp;IF(AND(AY194&lt;&gt;"",AS194=""),"In-house start date missing; ","")&amp;IF(AND(AY194&lt;&gt;"",AT194=""),"Qty received missing; ","")&amp;IF(AND(AY194&lt;&gt;"",BF194=""),"QC status missing; ","")&amp;IF(N(AT194)&gt;N(Q194)*1.05,"Received &gt; ordered +5%; ","")&amp;IF(AND(N(AI194)&gt;0,AE194=""),"Payment terms missing; ","")&amp;IF(N(AI194)&gt;N(AD194)+1,"Overpaid vs PO; ","")&amp;IF(AND(N(AK194)&gt;0,AY194&lt;&gt;"",AO194=""),"Payment due date missing; ","")="","OK",IF(AND(A194&lt;&gt;"",OR(B194="",C194="",E194="",F194="",H194="")),"PR info missing; ","")&amp;IF(AND(K194="Approved",OR(J194="",I194="")),"Approval ref/date missing; ","")&amp;IF(AND(O194&lt;&gt;"",K194&lt;&gt;"Approved"),"PO without approval; ","")&amp;IF(AND(O194&lt;&gt;"",OR(P194="",M194="",Q194="",S194="",T194="")),"PO details missing; ","")&amp;IF(AND(O194&lt;&gt;"",AR194=""),"Committed date missing; ","")&amp;IF(AND(ISNUMBER(J194),ISNUMBER(B194),N(J194)&lt;N(B194)),"Approval dated before PR; ","")&amp;IF(AND(ISNUMBER(P194),ISNUMBER(J194),N(P194)&lt;N(J194)),"PO dated before approval; ","")&amp;IF(AND(ISNUMBER(AY194),ISNUMBER(AS194),N(AY194)&lt;N(AS194)),"Close before in-house start; ","")&amp;IF(AND(AY194&lt;&gt;"",AS194=""),"In-house start date missing; ","")&amp;IF(AND(AY194&lt;&gt;"",AT194=""),"Qty received missing; ","")&amp;IF(AND(AY194&lt;&gt;"",BF194=""),"QC status missing; ","")&amp;IF(N(AT194)&gt;N(Q194)*1.05,"Received &gt; ordered +5%; ","")&amp;IF(AND(N(AI194)&gt;0,AE194=""),"Payment terms missing; ","")&amp;IF(N(AI194)&gt;N(AD194)+1,"Overpaid vs PO; ","")&amp;IF(AND(N(AK194)&gt;0,AY194&lt;&gt;"",AO194=""),"Payment due date missing; ","")))</f>
        <v/>
      </c>
      <c r="BK194" s="76" t="str">
        <f aca="false">IF(A194="","",IF(N(AP194)&gt;0,"Pay supplier: "&amp;N(AP194)&amp;" days overdue; ","")&amp;IF(AND(O194&lt;&gt;"",AY194="",N(BD194)&gt;0),"Expedite delivery: "&amp;N(BD194)&amp;" days late; ","")&amp;IF(AND(BI194="Awaiting Approval",ISNUMBER(B194),Settings!$B$4-N(B194)&gt;Settings!$B$19),"Get approval: PR waiting "&amp;(Settings!$B$4-N(B194))&amp;" days; ","")&amp;IF(AND(BI194="Approved - PO Pending",ISNUMBER(J194),Settings!$B$4-N(J194)&gt;Settings!$B$20),"Issue PO: approved "&amp;(Settings!$B$4-N(J194))&amp;" days ago; ","")&amp;IF(AND(OR(BI194="Awaiting Approval",BI194="Approved - PO Pending"),N(AB194)&gt;Settings!$B$7),"Negotiate price: "&amp;TEXT(AB194,"0%")&amp;" above budget; ","")&amp;IF(LEFT(AX194,12)="Short Closed","Short closed: claim balance / credit note"&amp;IF(N(AL194)&gt;0," BDT "&amp;TEXT(AL194,"#,##0"),"")&amp;"; ","")&amp;IF(BF194="Rejected","QC rejected: return / replace; ","")&amp;IF(AND(O194&lt;&gt;"",AY194="",N(AL194)&gt;0,N(BD194)&gt;0),"Advance at risk: BDT "&amp;TEXT(AL194,"#,##0")&amp;" paid, goods late; ","")&amp;IF(AND(BJ194&lt;&gt;"",BJ194&lt;&gt;"OK"),"Fix data entry (see Data Check); ",""))</f>
        <v/>
      </c>
      <c r="BL194" s="73" t="str">
        <f aca="false">IF(BK194="","",IF(OR(N(AP194)&gt;30,AND(AY194="",N(BD194)&gt;15),BF194="Rejected",AND(LEFT(AX194,12)="Short Closed",N(AL194)&gt;0),AND(O194&lt;&gt;"",AY194="",N(AL194)&gt;0,N(BD194)&gt;0)),"High",IF(OR(N(AP194)&gt;0,AND(AY194="",N(BD194)&gt;7),LEFT(AX194,12)="Short Closed",AND(BI194="Awaiting Approval",ISNUMBER(B194),Settings!$B$4-N(B194)&gt;2*Settings!$B$19),AND(BI194="Approved - PO Pending",ISNUMBER(J194),Settings!$B$4-N(J194)&gt;2*Settings!$B$20)),"Medium","Low")))</f>
        <v/>
      </c>
      <c r="BM194" s="77" t="str">
        <f aca="false">IF(BL194="","",IF(BL194="High",1,IF(BL194="Medium",2,3))*10000+ROW())</f>
        <v/>
      </c>
      <c r="BN194" s="62"/>
    </row>
    <row r="195" customFormat="false" ht="18" hidden="false" customHeight="true" outlineLevel="0" collapsed="false">
      <c r="A195" s="60"/>
      <c r="B195" s="61"/>
      <c r="C195" s="62"/>
      <c r="D195" s="62"/>
      <c r="E195" s="62"/>
      <c r="F195" s="62"/>
      <c r="G195" s="62"/>
      <c r="H195" s="60"/>
      <c r="I195" s="60"/>
      <c r="J195" s="61"/>
      <c r="K195" s="60"/>
      <c r="L195" s="60"/>
      <c r="M195" s="62"/>
      <c r="N195" s="60"/>
      <c r="O195" s="60"/>
      <c r="P195" s="61"/>
      <c r="Q195" s="63"/>
      <c r="R195" s="60"/>
      <c r="S195" s="64"/>
      <c r="T195" s="60"/>
      <c r="U195" s="65" t="str">
        <f aca="false">IF(AND(T195="",S195=""),"",IF(T195="",1,IFERROR(INDEX(Settings!$B$12:$B$16,MATCH(T195,Settings!$A$12:$A$16,0)),1)))</f>
        <v/>
      </c>
      <c r="V195" s="64"/>
      <c r="W195" s="66" t="str">
        <f aca="false">IF(OR(Q195="",S195=""),"",Q195*S195*U195)</f>
        <v/>
      </c>
      <c r="X195" s="65" t="str">
        <f aca="false">IF(OR(W195="",N(Q195)=0),"",W195/Q195)</f>
        <v/>
      </c>
      <c r="Y195" s="65" t="str">
        <f aca="false">IF(OR(X195="",P195="",E195=""),"",IF(_xlfn.MAXIFS($P$6:$P$205,$E$6:$E$205,E195,$P$6:$P$205,"&lt;"&amp;P195,$X$6:$X$205,"&gt;0")=0,"",IFERROR(AVERAGEIFS($X$6:$X$205,$E$6:$E$205,E195,$P$6:$P$205,_xlfn.MAXIFS($P$6:$P$205,$E$6:$E$205,E195,$P$6:$P$205,"&lt;"&amp;P195,$X$6:$X$205,"&gt;0"),$X$6:$X$205,"&gt;0"),"")))</f>
        <v/>
      </c>
      <c r="Z195" s="67" t="str">
        <f aca="false">IF(OR(Y195="",X195=""),"",X195/Y195-1)</f>
        <v/>
      </c>
      <c r="AA195" s="68" t="str">
        <f aca="false">IF(OR(W195="",V195=""),"",W195-Q195*V195)</f>
        <v/>
      </c>
      <c r="AB195" s="69" t="str">
        <f aca="false">IF(AA195="","",IF(N(V195)*N(Q195)=0,"",AA195/(Q195*V195)))</f>
        <v/>
      </c>
      <c r="AC195" s="70"/>
      <c r="AD195" s="66" t="str">
        <f aca="false">IF(W195="","",W195*(1+N(AC195)))</f>
        <v/>
      </c>
      <c r="AE195" s="62"/>
      <c r="AF195" s="71"/>
      <c r="AG195" s="71"/>
      <c r="AH195" s="71"/>
      <c r="AI195" s="66" t="str">
        <f aca="false">IF(A195="","",N(AF195)+N(AG195)+N(AH195))</f>
        <v/>
      </c>
      <c r="AJ195" s="72" t="str">
        <f aca="false">IF(AD195="","",IF(N(AD195)=0,"",AI195/AD195))</f>
        <v/>
      </c>
      <c r="AK195" s="66" t="str">
        <f aca="false">IF(AD195="","",IF(AD195-AI195&lt;1,0,ROUND(AD195-AI195,2)))</f>
        <v/>
      </c>
      <c r="AL195" s="66" t="str">
        <f aca="false">IF(OR(O195="",AD195=""),"",MAX(0,ROUND(N(AI195)-(AD195-N(AW195)),0)))</f>
        <v/>
      </c>
      <c r="AM195" s="73" t="str">
        <f aca="false">IF(A195="","",IF(O195="","No PO Yet",IF(AI195=0,"Not Paid",IF(N(AJ195)&gt;=0.999,"Fully Paid",IF(N(AG195)+N(AH195)&gt;0,"Partially Paid","Initial / Advance Paid")))))</f>
        <v/>
      </c>
      <c r="AN195" s="61"/>
      <c r="AO195" s="61"/>
      <c r="AP195" s="74" t="str">
        <f aca="false">IF(AK195="","",IF(OR(N(AK195)=0,AO195=""),"",MAX(0,Settings!$B$4-AO195)))</f>
        <v/>
      </c>
      <c r="AQ195" s="73" t="str">
        <f aca="false">IF(AK195="","",IF(N(AK195)&lt;=0,"",IF(AO195="","No Due Date",IF(Settings!$B$4&lt;=AO195,"Not Yet Due",IF(Settings!$B$4-AO195&lt;=30,"1-30 Days",IF(Settings!$B$4-AO195&lt;=60,"31-60 Days",IF(Settings!$B$4-AO195&lt;=90,"61-90 Days","90+ Days")))))))</f>
        <v/>
      </c>
      <c r="AR195" s="61"/>
      <c r="AS195" s="61"/>
      <c r="AT195" s="63"/>
      <c r="AU195" s="72" t="str">
        <f aca="false">IF(Q195="","",IF(N(Q195)=0,"",N(AT195)/Q195))</f>
        <v/>
      </c>
      <c r="AV195" s="75" t="str">
        <f aca="false">IF(OR(A195="",O195="",Q195=""),"",MAX(0,Q195-N(AT195)))</f>
        <v/>
      </c>
      <c r="AW195" s="66" t="str">
        <f aca="false">IF(OR(AV195="",W195=""),"",IF(N(Q195)=0,0,AV195/Q195*AD195))</f>
        <v/>
      </c>
      <c r="AX195" s="76" t="str">
        <f aca="false">IF(A195="","",IF(O195="","No PO Yet",IF(Q195="","Order Qty Missing",IF(N(AT195)&gt;=Q195,IF(N(AT195)&gt;Q195,"All In-house (+"&amp;TEXT(N(AT195)-Q195,"#,##0")&amp;" "&amp;R195&amp;" excess)","All In-house"),IF(AY195&lt;&gt;"","Short Closed - "&amp;TEXT(AV195,"#,##0")&amp;" "&amp;R195&amp;" not received",IF(N(AT195)=0,"Not Started - "&amp;TEXT(AV195,"#,##0")&amp;" "&amp;R195&amp;" pending","Pending "&amp;TEXT(AV195,"#,##0")&amp;" "&amp;R195&amp;" ("&amp;TEXT(AU195,"0%")&amp;" received)"))))))</f>
        <v/>
      </c>
      <c r="AY195" s="61"/>
      <c r="AZ195" s="77" t="str">
        <f aca="false">IF(OR(B195="",J195=""),"",J195-B195)</f>
        <v/>
      </c>
      <c r="BA195" s="77" t="str">
        <f aca="false">IF(OR(J195="",P195=""),"",P195-J195)</f>
        <v/>
      </c>
      <c r="BB195" s="77" t="str">
        <f aca="false">IF(OR(P195="",AY195=""),"",AY195-P195)</f>
        <v/>
      </c>
      <c r="BC195" s="77" t="str">
        <f aca="false">IF(OR(B195="",AY195=""),"",AY195-B195)</f>
        <v/>
      </c>
      <c r="BD195" s="74" t="str">
        <f aca="false">IF(OR(AR195="",O195=""),"",MAX(0,IF(AY195="",Settings!$B$4,AY195)-AR195))</f>
        <v/>
      </c>
      <c r="BE195" s="73" t="str">
        <f aca="false">IF(OR(AY195="",AR195=""),"",IF(AND(AY195&lt;=AR195,N(AU195)&gt;=Settings!$B$6),"OTIF","Not OTIF"))</f>
        <v/>
      </c>
      <c r="BF195" s="60"/>
      <c r="BG195" s="62"/>
      <c r="BH195" s="78"/>
      <c r="BI195" s="76" t="str">
        <f aca="false">IF(A195="","",IF(K195="Rejected","Rejected",IF(K195&lt;&gt;"Approved","Awaiting Approval",IF(O195="","Approved - PO Pending",IF(AY195&lt;&gt;"",IF(N(AJ195)&gt;=0.999,"Closed","In-house Closed - Payment Due"),IF(AS195&lt;&gt;"","Receiving In-house","PO Issued - Awaiting Delivery"))))))</f>
        <v/>
      </c>
      <c r="BJ195" s="76" t="str">
        <f aca="false">IF(A195="","",IF(IF(AND(A195&lt;&gt;"",OR(B195="",C195="",E195="",F195="",H195="")),"PR info missing; ","")&amp;IF(AND(K195="Approved",OR(J195="",I195="")),"Approval ref/date missing; ","")&amp;IF(AND(O195&lt;&gt;"",K195&lt;&gt;"Approved"),"PO without approval; ","")&amp;IF(AND(O195&lt;&gt;"",OR(P195="",M195="",Q195="",S195="",T195="")),"PO details missing; ","")&amp;IF(AND(O195&lt;&gt;"",AR195=""),"Committed date missing; ","")&amp;IF(AND(ISNUMBER(J195),ISNUMBER(B195),N(J195)&lt;N(B195)),"Approval dated before PR; ","")&amp;IF(AND(ISNUMBER(P195),ISNUMBER(J195),N(P195)&lt;N(J195)),"PO dated before approval; ","")&amp;IF(AND(ISNUMBER(AY195),ISNUMBER(AS195),N(AY195)&lt;N(AS195)),"Close before in-house start; ","")&amp;IF(AND(AY195&lt;&gt;"",AS195=""),"In-house start date missing; ","")&amp;IF(AND(AY195&lt;&gt;"",AT195=""),"Qty received missing; ","")&amp;IF(AND(AY195&lt;&gt;"",BF195=""),"QC status missing; ","")&amp;IF(N(AT195)&gt;N(Q195)*1.05,"Received &gt; ordered +5%; ","")&amp;IF(AND(N(AI195)&gt;0,AE195=""),"Payment terms missing; ","")&amp;IF(N(AI195)&gt;N(AD195)+1,"Overpaid vs PO; ","")&amp;IF(AND(N(AK195)&gt;0,AY195&lt;&gt;"",AO195=""),"Payment due date missing; ","")="","OK",IF(AND(A195&lt;&gt;"",OR(B195="",C195="",E195="",F195="",H195="")),"PR info missing; ","")&amp;IF(AND(K195="Approved",OR(J195="",I195="")),"Approval ref/date missing; ","")&amp;IF(AND(O195&lt;&gt;"",K195&lt;&gt;"Approved"),"PO without approval; ","")&amp;IF(AND(O195&lt;&gt;"",OR(P195="",M195="",Q195="",S195="",T195="")),"PO details missing; ","")&amp;IF(AND(O195&lt;&gt;"",AR195=""),"Committed date missing; ","")&amp;IF(AND(ISNUMBER(J195),ISNUMBER(B195),N(J195)&lt;N(B195)),"Approval dated before PR; ","")&amp;IF(AND(ISNUMBER(P195),ISNUMBER(J195),N(P195)&lt;N(J195)),"PO dated before approval; ","")&amp;IF(AND(ISNUMBER(AY195),ISNUMBER(AS195),N(AY195)&lt;N(AS195)),"Close before in-house start; ","")&amp;IF(AND(AY195&lt;&gt;"",AS195=""),"In-house start date missing; ","")&amp;IF(AND(AY195&lt;&gt;"",AT195=""),"Qty received missing; ","")&amp;IF(AND(AY195&lt;&gt;"",BF195=""),"QC status missing; ","")&amp;IF(N(AT195)&gt;N(Q195)*1.05,"Received &gt; ordered +5%; ","")&amp;IF(AND(N(AI195)&gt;0,AE195=""),"Payment terms missing; ","")&amp;IF(N(AI195)&gt;N(AD195)+1,"Overpaid vs PO; ","")&amp;IF(AND(N(AK195)&gt;0,AY195&lt;&gt;"",AO195=""),"Payment due date missing; ","")))</f>
        <v/>
      </c>
      <c r="BK195" s="76" t="str">
        <f aca="false">IF(A195="","",IF(N(AP195)&gt;0,"Pay supplier: "&amp;N(AP195)&amp;" days overdue; ","")&amp;IF(AND(O195&lt;&gt;"",AY195="",N(BD195)&gt;0),"Expedite delivery: "&amp;N(BD195)&amp;" days late; ","")&amp;IF(AND(BI195="Awaiting Approval",ISNUMBER(B195),Settings!$B$4-N(B195)&gt;Settings!$B$19),"Get approval: PR waiting "&amp;(Settings!$B$4-N(B195))&amp;" days; ","")&amp;IF(AND(BI195="Approved - PO Pending",ISNUMBER(J195),Settings!$B$4-N(J195)&gt;Settings!$B$20),"Issue PO: approved "&amp;(Settings!$B$4-N(J195))&amp;" days ago; ","")&amp;IF(AND(OR(BI195="Awaiting Approval",BI195="Approved - PO Pending"),N(AB195)&gt;Settings!$B$7),"Negotiate price: "&amp;TEXT(AB195,"0%")&amp;" above budget; ","")&amp;IF(LEFT(AX195,12)="Short Closed","Short closed: claim balance / credit note"&amp;IF(N(AL195)&gt;0," BDT "&amp;TEXT(AL195,"#,##0"),"")&amp;"; ","")&amp;IF(BF195="Rejected","QC rejected: return / replace; ","")&amp;IF(AND(O195&lt;&gt;"",AY195="",N(AL195)&gt;0,N(BD195)&gt;0),"Advance at risk: BDT "&amp;TEXT(AL195,"#,##0")&amp;" paid, goods late; ","")&amp;IF(AND(BJ195&lt;&gt;"",BJ195&lt;&gt;"OK"),"Fix data entry (see Data Check); ",""))</f>
        <v/>
      </c>
      <c r="BL195" s="73" t="str">
        <f aca="false">IF(BK195="","",IF(OR(N(AP195)&gt;30,AND(AY195="",N(BD195)&gt;15),BF195="Rejected",AND(LEFT(AX195,12)="Short Closed",N(AL195)&gt;0),AND(O195&lt;&gt;"",AY195="",N(AL195)&gt;0,N(BD195)&gt;0)),"High",IF(OR(N(AP195)&gt;0,AND(AY195="",N(BD195)&gt;7),LEFT(AX195,12)="Short Closed",AND(BI195="Awaiting Approval",ISNUMBER(B195),Settings!$B$4-N(B195)&gt;2*Settings!$B$19),AND(BI195="Approved - PO Pending",ISNUMBER(J195),Settings!$B$4-N(J195)&gt;2*Settings!$B$20)),"Medium","Low")))</f>
        <v/>
      </c>
      <c r="BM195" s="77" t="str">
        <f aca="false">IF(BL195="","",IF(BL195="High",1,IF(BL195="Medium",2,3))*10000+ROW())</f>
        <v/>
      </c>
      <c r="BN195" s="62"/>
    </row>
    <row r="196" customFormat="false" ht="18" hidden="false" customHeight="true" outlineLevel="0" collapsed="false">
      <c r="A196" s="60"/>
      <c r="B196" s="61"/>
      <c r="C196" s="62"/>
      <c r="D196" s="62"/>
      <c r="E196" s="62"/>
      <c r="F196" s="62"/>
      <c r="G196" s="62"/>
      <c r="H196" s="60"/>
      <c r="I196" s="60"/>
      <c r="J196" s="61"/>
      <c r="K196" s="60"/>
      <c r="L196" s="60"/>
      <c r="M196" s="62"/>
      <c r="N196" s="60"/>
      <c r="O196" s="60"/>
      <c r="P196" s="61"/>
      <c r="Q196" s="63"/>
      <c r="R196" s="60"/>
      <c r="S196" s="64"/>
      <c r="T196" s="60"/>
      <c r="U196" s="65" t="str">
        <f aca="false">IF(AND(T196="",S196=""),"",IF(T196="",1,IFERROR(INDEX(Settings!$B$12:$B$16,MATCH(T196,Settings!$A$12:$A$16,0)),1)))</f>
        <v/>
      </c>
      <c r="V196" s="64"/>
      <c r="W196" s="66" t="str">
        <f aca="false">IF(OR(Q196="",S196=""),"",Q196*S196*U196)</f>
        <v/>
      </c>
      <c r="X196" s="65" t="str">
        <f aca="false">IF(OR(W196="",N(Q196)=0),"",W196/Q196)</f>
        <v/>
      </c>
      <c r="Y196" s="65" t="str">
        <f aca="false">IF(OR(X196="",P196="",E196=""),"",IF(_xlfn.MAXIFS($P$6:$P$205,$E$6:$E$205,E196,$P$6:$P$205,"&lt;"&amp;P196,$X$6:$X$205,"&gt;0")=0,"",IFERROR(AVERAGEIFS($X$6:$X$205,$E$6:$E$205,E196,$P$6:$P$205,_xlfn.MAXIFS($P$6:$P$205,$E$6:$E$205,E196,$P$6:$P$205,"&lt;"&amp;P196,$X$6:$X$205,"&gt;0"),$X$6:$X$205,"&gt;0"),"")))</f>
        <v/>
      </c>
      <c r="Z196" s="67" t="str">
        <f aca="false">IF(OR(Y196="",X196=""),"",X196/Y196-1)</f>
        <v/>
      </c>
      <c r="AA196" s="68" t="str">
        <f aca="false">IF(OR(W196="",V196=""),"",W196-Q196*V196)</f>
        <v/>
      </c>
      <c r="AB196" s="69" t="str">
        <f aca="false">IF(AA196="","",IF(N(V196)*N(Q196)=0,"",AA196/(Q196*V196)))</f>
        <v/>
      </c>
      <c r="AC196" s="70"/>
      <c r="AD196" s="66" t="str">
        <f aca="false">IF(W196="","",W196*(1+N(AC196)))</f>
        <v/>
      </c>
      <c r="AE196" s="62"/>
      <c r="AF196" s="71"/>
      <c r="AG196" s="71"/>
      <c r="AH196" s="71"/>
      <c r="AI196" s="66" t="str">
        <f aca="false">IF(A196="","",N(AF196)+N(AG196)+N(AH196))</f>
        <v/>
      </c>
      <c r="AJ196" s="72" t="str">
        <f aca="false">IF(AD196="","",IF(N(AD196)=0,"",AI196/AD196))</f>
        <v/>
      </c>
      <c r="AK196" s="66" t="str">
        <f aca="false">IF(AD196="","",IF(AD196-AI196&lt;1,0,ROUND(AD196-AI196,2)))</f>
        <v/>
      </c>
      <c r="AL196" s="66" t="str">
        <f aca="false">IF(OR(O196="",AD196=""),"",MAX(0,ROUND(N(AI196)-(AD196-N(AW196)),0)))</f>
        <v/>
      </c>
      <c r="AM196" s="73" t="str">
        <f aca="false">IF(A196="","",IF(O196="","No PO Yet",IF(AI196=0,"Not Paid",IF(N(AJ196)&gt;=0.999,"Fully Paid",IF(N(AG196)+N(AH196)&gt;0,"Partially Paid","Initial / Advance Paid")))))</f>
        <v/>
      </c>
      <c r="AN196" s="61"/>
      <c r="AO196" s="61"/>
      <c r="AP196" s="74" t="str">
        <f aca="false">IF(AK196="","",IF(OR(N(AK196)=0,AO196=""),"",MAX(0,Settings!$B$4-AO196)))</f>
        <v/>
      </c>
      <c r="AQ196" s="73" t="str">
        <f aca="false">IF(AK196="","",IF(N(AK196)&lt;=0,"",IF(AO196="","No Due Date",IF(Settings!$B$4&lt;=AO196,"Not Yet Due",IF(Settings!$B$4-AO196&lt;=30,"1-30 Days",IF(Settings!$B$4-AO196&lt;=60,"31-60 Days",IF(Settings!$B$4-AO196&lt;=90,"61-90 Days","90+ Days")))))))</f>
        <v/>
      </c>
      <c r="AR196" s="61"/>
      <c r="AS196" s="61"/>
      <c r="AT196" s="63"/>
      <c r="AU196" s="72" t="str">
        <f aca="false">IF(Q196="","",IF(N(Q196)=0,"",N(AT196)/Q196))</f>
        <v/>
      </c>
      <c r="AV196" s="75" t="str">
        <f aca="false">IF(OR(A196="",O196="",Q196=""),"",MAX(0,Q196-N(AT196)))</f>
        <v/>
      </c>
      <c r="AW196" s="66" t="str">
        <f aca="false">IF(OR(AV196="",W196=""),"",IF(N(Q196)=0,0,AV196/Q196*AD196))</f>
        <v/>
      </c>
      <c r="AX196" s="76" t="str">
        <f aca="false">IF(A196="","",IF(O196="","No PO Yet",IF(Q196="","Order Qty Missing",IF(N(AT196)&gt;=Q196,IF(N(AT196)&gt;Q196,"All In-house (+"&amp;TEXT(N(AT196)-Q196,"#,##0")&amp;" "&amp;R196&amp;" excess)","All In-house"),IF(AY196&lt;&gt;"","Short Closed - "&amp;TEXT(AV196,"#,##0")&amp;" "&amp;R196&amp;" not received",IF(N(AT196)=0,"Not Started - "&amp;TEXT(AV196,"#,##0")&amp;" "&amp;R196&amp;" pending","Pending "&amp;TEXT(AV196,"#,##0")&amp;" "&amp;R196&amp;" ("&amp;TEXT(AU196,"0%")&amp;" received)"))))))</f>
        <v/>
      </c>
      <c r="AY196" s="61"/>
      <c r="AZ196" s="77" t="str">
        <f aca="false">IF(OR(B196="",J196=""),"",J196-B196)</f>
        <v/>
      </c>
      <c r="BA196" s="77" t="str">
        <f aca="false">IF(OR(J196="",P196=""),"",P196-J196)</f>
        <v/>
      </c>
      <c r="BB196" s="77" t="str">
        <f aca="false">IF(OR(P196="",AY196=""),"",AY196-P196)</f>
        <v/>
      </c>
      <c r="BC196" s="77" t="str">
        <f aca="false">IF(OR(B196="",AY196=""),"",AY196-B196)</f>
        <v/>
      </c>
      <c r="BD196" s="74" t="str">
        <f aca="false">IF(OR(AR196="",O196=""),"",MAX(0,IF(AY196="",Settings!$B$4,AY196)-AR196))</f>
        <v/>
      </c>
      <c r="BE196" s="73" t="str">
        <f aca="false">IF(OR(AY196="",AR196=""),"",IF(AND(AY196&lt;=AR196,N(AU196)&gt;=Settings!$B$6),"OTIF","Not OTIF"))</f>
        <v/>
      </c>
      <c r="BF196" s="60"/>
      <c r="BG196" s="62"/>
      <c r="BH196" s="78"/>
      <c r="BI196" s="76" t="str">
        <f aca="false">IF(A196="","",IF(K196="Rejected","Rejected",IF(K196&lt;&gt;"Approved","Awaiting Approval",IF(O196="","Approved - PO Pending",IF(AY196&lt;&gt;"",IF(N(AJ196)&gt;=0.999,"Closed","In-house Closed - Payment Due"),IF(AS196&lt;&gt;"","Receiving In-house","PO Issued - Awaiting Delivery"))))))</f>
        <v/>
      </c>
      <c r="BJ196" s="76" t="str">
        <f aca="false">IF(A196="","",IF(IF(AND(A196&lt;&gt;"",OR(B196="",C196="",E196="",F196="",H196="")),"PR info missing; ","")&amp;IF(AND(K196="Approved",OR(J196="",I196="")),"Approval ref/date missing; ","")&amp;IF(AND(O196&lt;&gt;"",K196&lt;&gt;"Approved"),"PO without approval; ","")&amp;IF(AND(O196&lt;&gt;"",OR(P196="",M196="",Q196="",S196="",T196="")),"PO details missing; ","")&amp;IF(AND(O196&lt;&gt;"",AR196=""),"Committed date missing; ","")&amp;IF(AND(ISNUMBER(J196),ISNUMBER(B196),N(J196)&lt;N(B196)),"Approval dated before PR; ","")&amp;IF(AND(ISNUMBER(P196),ISNUMBER(J196),N(P196)&lt;N(J196)),"PO dated before approval; ","")&amp;IF(AND(ISNUMBER(AY196),ISNUMBER(AS196),N(AY196)&lt;N(AS196)),"Close before in-house start; ","")&amp;IF(AND(AY196&lt;&gt;"",AS196=""),"In-house start date missing; ","")&amp;IF(AND(AY196&lt;&gt;"",AT196=""),"Qty received missing; ","")&amp;IF(AND(AY196&lt;&gt;"",BF196=""),"QC status missing; ","")&amp;IF(N(AT196)&gt;N(Q196)*1.05,"Received &gt; ordered +5%; ","")&amp;IF(AND(N(AI196)&gt;0,AE196=""),"Payment terms missing; ","")&amp;IF(N(AI196)&gt;N(AD196)+1,"Overpaid vs PO; ","")&amp;IF(AND(N(AK196)&gt;0,AY196&lt;&gt;"",AO196=""),"Payment due date missing; ","")="","OK",IF(AND(A196&lt;&gt;"",OR(B196="",C196="",E196="",F196="",H196="")),"PR info missing; ","")&amp;IF(AND(K196="Approved",OR(J196="",I196="")),"Approval ref/date missing; ","")&amp;IF(AND(O196&lt;&gt;"",K196&lt;&gt;"Approved"),"PO without approval; ","")&amp;IF(AND(O196&lt;&gt;"",OR(P196="",M196="",Q196="",S196="",T196="")),"PO details missing; ","")&amp;IF(AND(O196&lt;&gt;"",AR196=""),"Committed date missing; ","")&amp;IF(AND(ISNUMBER(J196),ISNUMBER(B196),N(J196)&lt;N(B196)),"Approval dated before PR; ","")&amp;IF(AND(ISNUMBER(P196),ISNUMBER(J196),N(P196)&lt;N(J196)),"PO dated before approval; ","")&amp;IF(AND(ISNUMBER(AY196),ISNUMBER(AS196),N(AY196)&lt;N(AS196)),"Close before in-house start; ","")&amp;IF(AND(AY196&lt;&gt;"",AS196=""),"In-house start date missing; ","")&amp;IF(AND(AY196&lt;&gt;"",AT196=""),"Qty received missing; ","")&amp;IF(AND(AY196&lt;&gt;"",BF196=""),"QC status missing; ","")&amp;IF(N(AT196)&gt;N(Q196)*1.05,"Received &gt; ordered +5%; ","")&amp;IF(AND(N(AI196)&gt;0,AE196=""),"Payment terms missing; ","")&amp;IF(N(AI196)&gt;N(AD196)+1,"Overpaid vs PO; ","")&amp;IF(AND(N(AK196)&gt;0,AY196&lt;&gt;"",AO196=""),"Payment due date missing; ","")))</f>
        <v/>
      </c>
      <c r="BK196" s="76" t="str">
        <f aca="false">IF(A196="","",IF(N(AP196)&gt;0,"Pay supplier: "&amp;N(AP196)&amp;" days overdue; ","")&amp;IF(AND(O196&lt;&gt;"",AY196="",N(BD196)&gt;0),"Expedite delivery: "&amp;N(BD196)&amp;" days late; ","")&amp;IF(AND(BI196="Awaiting Approval",ISNUMBER(B196),Settings!$B$4-N(B196)&gt;Settings!$B$19),"Get approval: PR waiting "&amp;(Settings!$B$4-N(B196))&amp;" days; ","")&amp;IF(AND(BI196="Approved - PO Pending",ISNUMBER(J196),Settings!$B$4-N(J196)&gt;Settings!$B$20),"Issue PO: approved "&amp;(Settings!$B$4-N(J196))&amp;" days ago; ","")&amp;IF(AND(OR(BI196="Awaiting Approval",BI196="Approved - PO Pending"),N(AB196)&gt;Settings!$B$7),"Negotiate price: "&amp;TEXT(AB196,"0%")&amp;" above budget; ","")&amp;IF(LEFT(AX196,12)="Short Closed","Short closed: claim balance / credit note"&amp;IF(N(AL196)&gt;0," BDT "&amp;TEXT(AL196,"#,##0"),"")&amp;"; ","")&amp;IF(BF196="Rejected","QC rejected: return / replace; ","")&amp;IF(AND(O196&lt;&gt;"",AY196="",N(AL196)&gt;0,N(BD196)&gt;0),"Advance at risk: BDT "&amp;TEXT(AL196,"#,##0")&amp;" paid, goods late; ","")&amp;IF(AND(BJ196&lt;&gt;"",BJ196&lt;&gt;"OK"),"Fix data entry (see Data Check); ",""))</f>
        <v/>
      </c>
      <c r="BL196" s="73" t="str">
        <f aca="false">IF(BK196="","",IF(OR(N(AP196)&gt;30,AND(AY196="",N(BD196)&gt;15),BF196="Rejected",AND(LEFT(AX196,12)="Short Closed",N(AL196)&gt;0),AND(O196&lt;&gt;"",AY196="",N(AL196)&gt;0,N(BD196)&gt;0)),"High",IF(OR(N(AP196)&gt;0,AND(AY196="",N(BD196)&gt;7),LEFT(AX196,12)="Short Closed",AND(BI196="Awaiting Approval",ISNUMBER(B196),Settings!$B$4-N(B196)&gt;2*Settings!$B$19),AND(BI196="Approved - PO Pending",ISNUMBER(J196),Settings!$B$4-N(J196)&gt;2*Settings!$B$20)),"Medium","Low")))</f>
        <v/>
      </c>
      <c r="BM196" s="77" t="str">
        <f aca="false">IF(BL196="","",IF(BL196="High",1,IF(BL196="Medium",2,3))*10000+ROW())</f>
        <v/>
      </c>
      <c r="BN196" s="62"/>
    </row>
    <row r="197" customFormat="false" ht="18" hidden="false" customHeight="true" outlineLevel="0" collapsed="false">
      <c r="A197" s="60"/>
      <c r="B197" s="61"/>
      <c r="C197" s="62"/>
      <c r="D197" s="62"/>
      <c r="E197" s="62"/>
      <c r="F197" s="62"/>
      <c r="G197" s="62"/>
      <c r="H197" s="60"/>
      <c r="I197" s="60"/>
      <c r="J197" s="61"/>
      <c r="K197" s="60"/>
      <c r="L197" s="60"/>
      <c r="M197" s="62"/>
      <c r="N197" s="60"/>
      <c r="O197" s="60"/>
      <c r="P197" s="61"/>
      <c r="Q197" s="63"/>
      <c r="R197" s="60"/>
      <c r="S197" s="64"/>
      <c r="T197" s="60"/>
      <c r="U197" s="65" t="str">
        <f aca="false">IF(AND(T197="",S197=""),"",IF(T197="",1,IFERROR(INDEX(Settings!$B$12:$B$16,MATCH(T197,Settings!$A$12:$A$16,0)),1)))</f>
        <v/>
      </c>
      <c r="V197" s="64"/>
      <c r="W197" s="66" t="str">
        <f aca="false">IF(OR(Q197="",S197=""),"",Q197*S197*U197)</f>
        <v/>
      </c>
      <c r="X197" s="65" t="str">
        <f aca="false">IF(OR(W197="",N(Q197)=0),"",W197/Q197)</f>
        <v/>
      </c>
      <c r="Y197" s="65" t="str">
        <f aca="false">IF(OR(X197="",P197="",E197=""),"",IF(_xlfn.MAXIFS($P$6:$P$205,$E$6:$E$205,E197,$P$6:$P$205,"&lt;"&amp;P197,$X$6:$X$205,"&gt;0")=0,"",IFERROR(AVERAGEIFS($X$6:$X$205,$E$6:$E$205,E197,$P$6:$P$205,_xlfn.MAXIFS($P$6:$P$205,$E$6:$E$205,E197,$P$6:$P$205,"&lt;"&amp;P197,$X$6:$X$205,"&gt;0"),$X$6:$X$205,"&gt;0"),"")))</f>
        <v/>
      </c>
      <c r="Z197" s="67" t="str">
        <f aca="false">IF(OR(Y197="",X197=""),"",X197/Y197-1)</f>
        <v/>
      </c>
      <c r="AA197" s="68" t="str">
        <f aca="false">IF(OR(W197="",V197=""),"",W197-Q197*V197)</f>
        <v/>
      </c>
      <c r="AB197" s="69" t="str">
        <f aca="false">IF(AA197="","",IF(N(V197)*N(Q197)=0,"",AA197/(Q197*V197)))</f>
        <v/>
      </c>
      <c r="AC197" s="70"/>
      <c r="AD197" s="66" t="str">
        <f aca="false">IF(W197="","",W197*(1+N(AC197)))</f>
        <v/>
      </c>
      <c r="AE197" s="62"/>
      <c r="AF197" s="71"/>
      <c r="AG197" s="71"/>
      <c r="AH197" s="71"/>
      <c r="AI197" s="66" t="str">
        <f aca="false">IF(A197="","",N(AF197)+N(AG197)+N(AH197))</f>
        <v/>
      </c>
      <c r="AJ197" s="72" t="str">
        <f aca="false">IF(AD197="","",IF(N(AD197)=0,"",AI197/AD197))</f>
        <v/>
      </c>
      <c r="AK197" s="66" t="str">
        <f aca="false">IF(AD197="","",IF(AD197-AI197&lt;1,0,ROUND(AD197-AI197,2)))</f>
        <v/>
      </c>
      <c r="AL197" s="66" t="str">
        <f aca="false">IF(OR(O197="",AD197=""),"",MAX(0,ROUND(N(AI197)-(AD197-N(AW197)),0)))</f>
        <v/>
      </c>
      <c r="AM197" s="73" t="str">
        <f aca="false">IF(A197="","",IF(O197="","No PO Yet",IF(AI197=0,"Not Paid",IF(N(AJ197)&gt;=0.999,"Fully Paid",IF(N(AG197)+N(AH197)&gt;0,"Partially Paid","Initial / Advance Paid")))))</f>
        <v/>
      </c>
      <c r="AN197" s="61"/>
      <c r="AO197" s="61"/>
      <c r="AP197" s="74" t="str">
        <f aca="false">IF(AK197="","",IF(OR(N(AK197)=0,AO197=""),"",MAX(0,Settings!$B$4-AO197)))</f>
        <v/>
      </c>
      <c r="AQ197" s="73" t="str">
        <f aca="false">IF(AK197="","",IF(N(AK197)&lt;=0,"",IF(AO197="","No Due Date",IF(Settings!$B$4&lt;=AO197,"Not Yet Due",IF(Settings!$B$4-AO197&lt;=30,"1-30 Days",IF(Settings!$B$4-AO197&lt;=60,"31-60 Days",IF(Settings!$B$4-AO197&lt;=90,"61-90 Days","90+ Days")))))))</f>
        <v/>
      </c>
      <c r="AR197" s="61"/>
      <c r="AS197" s="61"/>
      <c r="AT197" s="63"/>
      <c r="AU197" s="72" t="str">
        <f aca="false">IF(Q197="","",IF(N(Q197)=0,"",N(AT197)/Q197))</f>
        <v/>
      </c>
      <c r="AV197" s="75" t="str">
        <f aca="false">IF(OR(A197="",O197="",Q197=""),"",MAX(0,Q197-N(AT197)))</f>
        <v/>
      </c>
      <c r="AW197" s="66" t="str">
        <f aca="false">IF(OR(AV197="",W197=""),"",IF(N(Q197)=0,0,AV197/Q197*AD197))</f>
        <v/>
      </c>
      <c r="AX197" s="76" t="str">
        <f aca="false">IF(A197="","",IF(O197="","No PO Yet",IF(Q197="","Order Qty Missing",IF(N(AT197)&gt;=Q197,IF(N(AT197)&gt;Q197,"All In-house (+"&amp;TEXT(N(AT197)-Q197,"#,##0")&amp;" "&amp;R197&amp;" excess)","All In-house"),IF(AY197&lt;&gt;"","Short Closed - "&amp;TEXT(AV197,"#,##0")&amp;" "&amp;R197&amp;" not received",IF(N(AT197)=0,"Not Started - "&amp;TEXT(AV197,"#,##0")&amp;" "&amp;R197&amp;" pending","Pending "&amp;TEXT(AV197,"#,##0")&amp;" "&amp;R197&amp;" ("&amp;TEXT(AU197,"0%")&amp;" received)"))))))</f>
        <v/>
      </c>
      <c r="AY197" s="61"/>
      <c r="AZ197" s="77" t="str">
        <f aca="false">IF(OR(B197="",J197=""),"",J197-B197)</f>
        <v/>
      </c>
      <c r="BA197" s="77" t="str">
        <f aca="false">IF(OR(J197="",P197=""),"",P197-J197)</f>
        <v/>
      </c>
      <c r="BB197" s="77" t="str">
        <f aca="false">IF(OR(P197="",AY197=""),"",AY197-P197)</f>
        <v/>
      </c>
      <c r="BC197" s="77" t="str">
        <f aca="false">IF(OR(B197="",AY197=""),"",AY197-B197)</f>
        <v/>
      </c>
      <c r="BD197" s="74" t="str">
        <f aca="false">IF(OR(AR197="",O197=""),"",MAX(0,IF(AY197="",Settings!$B$4,AY197)-AR197))</f>
        <v/>
      </c>
      <c r="BE197" s="73" t="str">
        <f aca="false">IF(OR(AY197="",AR197=""),"",IF(AND(AY197&lt;=AR197,N(AU197)&gt;=Settings!$B$6),"OTIF","Not OTIF"))</f>
        <v/>
      </c>
      <c r="BF197" s="60"/>
      <c r="BG197" s="62"/>
      <c r="BH197" s="78"/>
      <c r="BI197" s="76" t="str">
        <f aca="false">IF(A197="","",IF(K197="Rejected","Rejected",IF(K197&lt;&gt;"Approved","Awaiting Approval",IF(O197="","Approved - PO Pending",IF(AY197&lt;&gt;"",IF(N(AJ197)&gt;=0.999,"Closed","In-house Closed - Payment Due"),IF(AS197&lt;&gt;"","Receiving In-house","PO Issued - Awaiting Delivery"))))))</f>
        <v/>
      </c>
      <c r="BJ197" s="76" t="str">
        <f aca="false">IF(A197="","",IF(IF(AND(A197&lt;&gt;"",OR(B197="",C197="",E197="",F197="",H197="")),"PR info missing; ","")&amp;IF(AND(K197="Approved",OR(J197="",I197="")),"Approval ref/date missing; ","")&amp;IF(AND(O197&lt;&gt;"",K197&lt;&gt;"Approved"),"PO without approval; ","")&amp;IF(AND(O197&lt;&gt;"",OR(P197="",M197="",Q197="",S197="",T197="")),"PO details missing; ","")&amp;IF(AND(O197&lt;&gt;"",AR197=""),"Committed date missing; ","")&amp;IF(AND(ISNUMBER(J197),ISNUMBER(B197),N(J197)&lt;N(B197)),"Approval dated before PR; ","")&amp;IF(AND(ISNUMBER(P197),ISNUMBER(J197),N(P197)&lt;N(J197)),"PO dated before approval; ","")&amp;IF(AND(ISNUMBER(AY197),ISNUMBER(AS197),N(AY197)&lt;N(AS197)),"Close before in-house start; ","")&amp;IF(AND(AY197&lt;&gt;"",AS197=""),"In-house start date missing; ","")&amp;IF(AND(AY197&lt;&gt;"",AT197=""),"Qty received missing; ","")&amp;IF(AND(AY197&lt;&gt;"",BF197=""),"QC status missing; ","")&amp;IF(N(AT197)&gt;N(Q197)*1.05,"Received &gt; ordered +5%; ","")&amp;IF(AND(N(AI197)&gt;0,AE197=""),"Payment terms missing; ","")&amp;IF(N(AI197)&gt;N(AD197)+1,"Overpaid vs PO; ","")&amp;IF(AND(N(AK197)&gt;0,AY197&lt;&gt;"",AO197=""),"Payment due date missing; ","")="","OK",IF(AND(A197&lt;&gt;"",OR(B197="",C197="",E197="",F197="",H197="")),"PR info missing; ","")&amp;IF(AND(K197="Approved",OR(J197="",I197="")),"Approval ref/date missing; ","")&amp;IF(AND(O197&lt;&gt;"",K197&lt;&gt;"Approved"),"PO without approval; ","")&amp;IF(AND(O197&lt;&gt;"",OR(P197="",M197="",Q197="",S197="",T197="")),"PO details missing; ","")&amp;IF(AND(O197&lt;&gt;"",AR197=""),"Committed date missing; ","")&amp;IF(AND(ISNUMBER(J197),ISNUMBER(B197),N(J197)&lt;N(B197)),"Approval dated before PR; ","")&amp;IF(AND(ISNUMBER(P197),ISNUMBER(J197),N(P197)&lt;N(J197)),"PO dated before approval; ","")&amp;IF(AND(ISNUMBER(AY197),ISNUMBER(AS197),N(AY197)&lt;N(AS197)),"Close before in-house start; ","")&amp;IF(AND(AY197&lt;&gt;"",AS197=""),"In-house start date missing; ","")&amp;IF(AND(AY197&lt;&gt;"",AT197=""),"Qty received missing; ","")&amp;IF(AND(AY197&lt;&gt;"",BF197=""),"QC status missing; ","")&amp;IF(N(AT197)&gt;N(Q197)*1.05,"Received &gt; ordered +5%; ","")&amp;IF(AND(N(AI197)&gt;0,AE197=""),"Payment terms missing; ","")&amp;IF(N(AI197)&gt;N(AD197)+1,"Overpaid vs PO; ","")&amp;IF(AND(N(AK197)&gt;0,AY197&lt;&gt;"",AO197=""),"Payment due date missing; ","")))</f>
        <v/>
      </c>
      <c r="BK197" s="76" t="str">
        <f aca="false">IF(A197="","",IF(N(AP197)&gt;0,"Pay supplier: "&amp;N(AP197)&amp;" days overdue; ","")&amp;IF(AND(O197&lt;&gt;"",AY197="",N(BD197)&gt;0),"Expedite delivery: "&amp;N(BD197)&amp;" days late; ","")&amp;IF(AND(BI197="Awaiting Approval",ISNUMBER(B197),Settings!$B$4-N(B197)&gt;Settings!$B$19),"Get approval: PR waiting "&amp;(Settings!$B$4-N(B197))&amp;" days; ","")&amp;IF(AND(BI197="Approved - PO Pending",ISNUMBER(J197),Settings!$B$4-N(J197)&gt;Settings!$B$20),"Issue PO: approved "&amp;(Settings!$B$4-N(J197))&amp;" days ago; ","")&amp;IF(AND(OR(BI197="Awaiting Approval",BI197="Approved - PO Pending"),N(AB197)&gt;Settings!$B$7),"Negotiate price: "&amp;TEXT(AB197,"0%")&amp;" above budget; ","")&amp;IF(LEFT(AX197,12)="Short Closed","Short closed: claim balance / credit note"&amp;IF(N(AL197)&gt;0," BDT "&amp;TEXT(AL197,"#,##0"),"")&amp;"; ","")&amp;IF(BF197="Rejected","QC rejected: return / replace; ","")&amp;IF(AND(O197&lt;&gt;"",AY197="",N(AL197)&gt;0,N(BD197)&gt;0),"Advance at risk: BDT "&amp;TEXT(AL197,"#,##0")&amp;" paid, goods late; ","")&amp;IF(AND(BJ197&lt;&gt;"",BJ197&lt;&gt;"OK"),"Fix data entry (see Data Check); ",""))</f>
        <v/>
      </c>
      <c r="BL197" s="73" t="str">
        <f aca="false">IF(BK197="","",IF(OR(N(AP197)&gt;30,AND(AY197="",N(BD197)&gt;15),BF197="Rejected",AND(LEFT(AX197,12)="Short Closed",N(AL197)&gt;0),AND(O197&lt;&gt;"",AY197="",N(AL197)&gt;0,N(BD197)&gt;0)),"High",IF(OR(N(AP197)&gt;0,AND(AY197="",N(BD197)&gt;7),LEFT(AX197,12)="Short Closed",AND(BI197="Awaiting Approval",ISNUMBER(B197),Settings!$B$4-N(B197)&gt;2*Settings!$B$19),AND(BI197="Approved - PO Pending",ISNUMBER(J197),Settings!$B$4-N(J197)&gt;2*Settings!$B$20)),"Medium","Low")))</f>
        <v/>
      </c>
      <c r="BM197" s="77" t="str">
        <f aca="false">IF(BL197="","",IF(BL197="High",1,IF(BL197="Medium",2,3))*10000+ROW())</f>
        <v/>
      </c>
      <c r="BN197" s="62"/>
    </row>
    <row r="198" customFormat="false" ht="18" hidden="false" customHeight="true" outlineLevel="0" collapsed="false">
      <c r="A198" s="60"/>
      <c r="B198" s="61"/>
      <c r="C198" s="62"/>
      <c r="D198" s="62"/>
      <c r="E198" s="62"/>
      <c r="F198" s="62"/>
      <c r="G198" s="62"/>
      <c r="H198" s="60"/>
      <c r="I198" s="60"/>
      <c r="J198" s="61"/>
      <c r="K198" s="60"/>
      <c r="L198" s="60"/>
      <c r="M198" s="62"/>
      <c r="N198" s="60"/>
      <c r="O198" s="60"/>
      <c r="P198" s="61"/>
      <c r="Q198" s="63"/>
      <c r="R198" s="60"/>
      <c r="S198" s="64"/>
      <c r="T198" s="60"/>
      <c r="U198" s="65" t="str">
        <f aca="false">IF(AND(T198="",S198=""),"",IF(T198="",1,IFERROR(INDEX(Settings!$B$12:$B$16,MATCH(T198,Settings!$A$12:$A$16,0)),1)))</f>
        <v/>
      </c>
      <c r="V198" s="64"/>
      <c r="W198" s="66" t="str">
        <f aca="false">IF(OR(Q198="",S198=""),"",Q198*S198*U198)</f>
        <v/>
      </c>
      <c r="X198" s="65" t="str">
        <f aca="false">IF(OR(W198="",N(Q198)=0),"",W198/Q198)</f>
        <v/>
      </c>
      <c r="Y198" s="65" t="str">
        <f aca="false">IF(OR(X198="",P198="",E198=""),"",IF(_xlfn.MAXIFS($P$6:$P$205,$E$6:$E$205,E198,$P$6:$P$205,"&lt;"&amp;P198,$X$6:$X$205,"&gt;0")=0,"",IFERROR(AVERAGEIFS($X$6:$X$205,$E$6:$E$205,E198,$P$6:$P$205,_xlfn.MAXIFS($P$6:$P$205,$E$6:$E$205,E198,$P$6:$P$205,"&lt;"&amp;P198,$X$6:$X$205,"&gt;0"),$X$6:$X$205,"&gt;0"),"")))</f>
        <v/>
      </c>
      <c r="Z198" s="67" t="str">
        <f aca="false">IF(OR(Y198="",X198=""),"",X198/Y198-1)</f>
        <v/>
      </c>
      <c r="AA198" s="68" t="str">
        <f aca="false">IF(OR(W198="",V198=""),"",W198-Q198*V198)</f>
        <v/>
      </c>
      <c r="AB198" s="69" t="str">
        <f aca="false">IF(AA198="","",IF(N(V198)*N(Q198)=0,"",AA198/(Q198*V198)))</f>
        <v/>
      </c>
      <c r="AC198" s="70"/>
      <c r="AD198" s="66" t="str">
        <f aca="false">IF(W198="","",W198*(1+N(AC198)))</f>
        <v/>
      </c>
      <c r="AE198" s="62"/>
      <c r="AF198" s="71"/>
      <c r="AG198" s="71"/>
      <c r="AH198" s="71"/>
      <c r="AI198" s="66" t="str">
        <f aca="false">IF(A198="","",N(AF198)+N(AG198)+N(AH198))</f>
        <v/>
      </c>
      <c r="AJ198" s="72" t="str">
        <f aca="false">IF(AD198="","",IF(N(AD198)=0,"",AI198/AD198))</f>
        <v/>
      </c>
      <c r="AK198" s="66" t="str">
        <f aca="false">IF(AD198="","",IF(AD198-AI198&lt;1,0,ROUND(AD198-AI198,2)))</f>
        <v/>
      </c>
      <c r="AL198" s="66" t="str">
        <f aca="false">IF(OR(O198="",AD198=""),"",MAX(0,ROUND(N(AI198)-(AD198-N(AW198)),0)))</f>
        <v/>
      </c>
      <c r="AM198" s="73" t="str">
        <f aca="false">IF(A198="","",IF(O198="","No PO Yet",IF(AI198=0,"Not Paid",IF(N(AJ198)&gt;=0.999,"Fully Paid",IF(N(AG198)+N(AH198)&gt;0,"Partially Paid","Initial / Advance Paid")))))</f>
        <v/>
      </c>
      <c r="AN198" s="61"/>
      <c r="AO198" s="61"/>
      <c r="AP198" s="74" t="str">
        <f aca="false">IF(AK198="","",IF(OR(N(AK198)=0,AO198=""),"",MAX(0,Settings!$B$4-AO198)))</f>
        <v/>
      </c>
      <c r="AQ198" s="73" t="str">
        <f aca="false">IF(AK198="","",IF(N(AK198)&lt;=0,"",IF(AO198="","No Due Date",IF(Settings!$B$4&lt;=AO198,"Not Yet Due",IF(Settings!$B$4-AO198&lt;=30,"1-30 Days",IF(Settings!$B$4-AO198&lt;=60,"31-60 Days",IF(Settings!$B$4-AO198&lt;=90,"61-90 Days","90+ Days")))))))</f>
        <v/>
      </c>
      <c r="AR198" s="61"/>
      <c r="AS198" s="61"/>
      <c r="AT198" s="63"/>
      <c r="AU198" s="72" t="str">
        <f aca="false">IF(Q198="","",IF(N(Q198)=0,"",N(AT198)/Q198))</f>
        <v/>
      </c>
      <c r="AV198" s="75" t="str">
        <f aca="false">IF(OR(A198="",O198="",Q198=""),"",MAX(0,Q198-N(AT198)))</f>
        <v/>
      </c>
      <c r="AW198" s="66" t="str">
        <f aca="false">IF(OR(AV198="",W198=""),"",IF(N(Q198)=0,0,AV198/Q198*AD198))</f>
        <v/>
      </c>
      <c r="AX198" s="76" t="str">
        <f aca="false">IF(A198="","",IF(O198="","No PO Yet",IF(Q198="","Order Qty Missing",IF(N(AT198)&gt;=Q198,IF(N(AT198)&gt;Q198,"All In-house (+"&amp;TEXT(N(AT198)-Q198,"#,##0")&amp;" "&amp;R198&amp;" excess)","All In-house"),IF(AY198&lt;&gt;"","Short Closed - "&amp;TEXT(AV198,"#,##0")&amp;" "&amp;R198&amp;" not received",IF(N(AT198)=0,"Not Started - "&amp;TEXT(AV198,"#,##0")&amp;" "&amp;R198&amp;" pending","Pending "&amp;TEXT(AV198,"#,##0")&amp;" "&amp;R198&amp;" ("&amp;TEXT(AU198,"0%")&amp;" received)"))))))</f>
        <v/>
      </c>
      <c r="AY198" s="61"/>
      <c r="AZ198" s="77" t="str">
        <f aca="false">IF(OR(B198="",J198=""),"",J198-B198)</f>
        <v/>
      </c>
      <c r="BA198" s="77" t="str">
        <f aca="false">IF(OR(J198="",P198=""),"",P198-J198)</f>
        <v/>
      </c>
      <c r="BB198" s="77" t="str">
        <f aca="false">IF(OR(P198="",AY198=""),"",AY198-P198)</f>
        <v/>
      </c>
      <c r="BC198" s="77" t="str">
        <f aca="false">IF(OR(B198="",AY198=""),"",AY198-B198)</f>
        <v/>
      </c>
      <c r="BD198" s="74" t="str">
        <f aca="false">IF(OR(AR198="",O198=""),"",MAX(0,IF(AY198="",Settings!$B$4,AY198)-AR198))</f>
        <v/>
      </c>
      <c r="BE198" s="73" t="str">
        <f aca="false">IF(OR(AY198="",AR198=""),"",IF(AND(AY198&lt;=AR198,N(AU198)&gt;=Settings!$B$6),"OTIF","Not OTIF"))</f>
        <v/>
      </c>
      <c r="BF198" s="60"/>
      <c r="BG198" s="62"/>
      <c r="BH198" s="78"/>
      <c r="BI198" s="76" t="str">
        <f aca="false">IF(A198="","",IF(K198="Rejected","Rejected",IF(K198&lt;&gt;"Approved","Awaiting Approval",IF(O198="","Approved - PO Pending",IF(AY198&lt;&gt;"",IF(N(AJ198)&gt;=0.999,"Closed","In-house Closed - Payment Due"),IF(AS198&lt;&gt;"","Receiving In-house","PO Issued - Awaiting Delivery"))))))</f>
        <v/>
      </c>
      <c r="BJ198" s="76" t="str">
        <f aca="false">IF(A198="","",IF(IF(AND(A198&lt;&gt;"",OR(B198="",C198="",E198="",F198="",H198="")),"PR info missing; ","")&amp;IF(AND(K198="Approved",OR(J198="",I198="")),"Approval ref/date missing; ","")&amp;IF(AND(O198&lt;&gt;"",K198&lt;&gt;"Approved"),"PO without approval; ","")&amp;IF(AND(O198&lt;&gt;"",OR(P198="",M198="",Q198="",S198="",T198="")),"PO details missing; ","")&amp;IF(AND(O198&lt;&gt;"",AR198=""),"Committed date missing; ","")&amp;IF(AND(ISNUMBER(J198),ISNUMBER(B198),N(J198)&lt;N(B198)),"Approval dated before PR; ","")&amp;IF(AND(ISNUMBER(P198),ISNUMBER(J198),N(P198)&lt;N(J198)),"PO dated before approval; ","")&amp;IF(AND(ISNUMBER(AY198),ISNUMBER(AS198),N(AY198)&lt;N(AS198)),"Close before in-house start; ","")&amp;IF(AND(AY198&lt;&gt;"",AS198=""),"In-house start date missing; ","")&amp;IF(AND(AY198&lt;&gt;"",AT198=""),"Qty received missing; ","")&amp;IF(AND(AY198&lt;&gt;"",BF198=""),"QC status missing; ","")&amp;IF(N(AT198)&gt;N(Q198)*1.05,"Received &gt; ordered +5%; ","")&amp;IF(AND(N(AI198)&gt;0,AE198=""),"Payment terms missing; ","")&amp;IF(N(AI198)&gt;N(AD198)+1,"Overpaid vs PO; ","")&amp;IF(AND(N(AK198)&gt;0,AY198&lt;&gt;"",AO198=""),"Payment due date missing; ","")="","OK",IF(AND(A198&lt;&gt;"",OR(B198="",C198="",E198="",F198="",H198="")),"PR info missing; ","")&amp;IF(AND(K198="Approved",OR(J198="",I198="")),"Approval ref/date missing; ","")&amp;IF(AND(O198&lt;&gt;"",K198&lt;&gt;"Approved"),"PO without approval; ","")&amp;IF(AND(O198&lt;&gt;"",OR(P198="",M198="",Q198="",S198="",T198="")),"PO details missing; ","")&amp;IF(AND(O198&lt;&gt;"",AR198=""),"Committed date missing; ","")&amp;IF(AND(ISNUMBER(J198),ISNUMBER(B198),N(J198)&lt;N(B198)),"Approval dated before PR; ","")&amp;IF(AND(ISNUMBER(P198),ISNUMBER(J198),N(P198)&lt;N(J198)),"PO dated before approval; ","")&amp;IF(AND(ISNUMBER(AY198),ISNUMBER(AS198),N(AY198)&lt;N(AS198)),"Close before in-house start; ","")&amp;IF(AND(AY198&lt;&gt;"",AS198=""),"In-house start date missing; ","")&amp;IF(AND(AY198&lt;&gt;"",AT198=""),"Qty received missing; ","")&amp;IF(AND(AY198&lt;&gt;"",BF198=""),"QC status missing; ","")&amp;IF(N(AT198)&gt;N(Q198)*1.05,"Received &gt; ordered +5%; ","")&amp;IF(AND(N(AI198)&gt;0,AE198=""),"Payment terms missing; ","")&amp;IF(N(AI198)&gt;N(AD198)+1,"Overpaid vs PO; ","")&amp;IF(AND(N(AK198)&gt;0,AY198&lt;&gt;"",AO198=""),"Payment due date missing; ","")))</f>
        <v/>
      </c>
      <c r="BK198" s="76" t="str">
        <f aca="false">IF(A198="","",IF(N(AP198)&gt;0,"Pay supplier: "&amp;N(AP198)&amp;" days overdue; ","")&amp;IF(AND(O198&lt;&gt;"",AY198="",N(BD198)&gt;0),"Expedite delivery: "&amp;N(BD198)&amp;" days late; ","")&amp;IF(AND(BI198="Awaiting Approval",ISNUMBER(B198),Settings!$B$4-N(B198)&gt;Settings!$B$19),"Get approval: PR waiting "&amp;(Settings!$B$4-N(B198))&amp;" days; ","")&amp;IF(AND(BI198="Approved - PO Pending",ISNUMBER(J198),Settings!$B$4-N(J198)&gt;Settings!$B$20),"Issue PO: approved "&amp;(Settings!$B$4-N(J198))&amp;" days ago; ","")&amp;IF(AND(OR(BI198="Awaiting Approval",BI198="Approved - PO Pending"),N(AB198)&gt;Settings!$B$7),"Negotiate price: "&amp;TEXT(AB198,"0%")&amp;" above budget; ","")&amp;IF(LEFT(AX198,12)="Short Closed","Short closed: claim balance / credit note"&amp;IF(N(AL198)&gt;0," BDT "&amp;TEXT(AL198,"#,##0"),"")&amp;"; ","")&amp;IF(BF198="Rejected","QC rejected: return / replace; ","")&amp;IF(AND(O198&lt;&gt;"",AY198="",N(AL198)&gt;0,N(BD198)&gt;0),"Advance at risk: BDT "&amp;TEXT(AL198,"#,##0")&amp;" paid, goods late; ","")&amp;IF(AND(BJ198&lt;&gt;"",BJ198&lt;&gt;"OK"),"Fix data entry (see Data Check); ",""))</f>
        <v/>
      </c>
      <c r="BL198" s="73" t="str">
        <f aca="false">IF(BK198="","",IF(OR(N(AP198)&gt;30,AND(AY198="",N(BD198)&gt;15),BF198="Rejected",AND(LEFT(AX198,12)="Short Closed",N(AL198)&gt;0),AND(O198&lt;&gt;"",AY198="",N(AL198)&gt;0,N(BD198)&gt;0)),"High",IF(OR(N(AP198)&gt;0,AND(AY198="",N(BD198)&gt;7),LEFT(AX198,12)="Short Closed",AND(BI198="Awaiting Approval",ISNUMBER(B198),Settings!$B$4-N(B198)&gt;2*Settings!$B$19),AND(BI198="Approved - PO Pending",ISNUMBER(J198),Settings!$B$4-N(J198)&gt;2*Settings!$B$20)),"Medium","Low")))</f>
        <v/>
      </c>
      <c r="BM198" s="77" t="str">
        <f aca="false">IF(BL198="","",IF(BL198="High",1,IF(BL198="Medium",2,3))*10000+ROW())</f>
        <v/>
      </c>
      <c r="BN198" s="62"/>
    </row>
    <row r="199" customFormat="false" ht="18" hidden="false" customHeight="true" outlineLevel="0" collapsed="false">
      <c r="A199" s="60"/>
      <c r="B199" s="61"/>
      <c r="C199" s="62"/>
      <c r="D199" s="62"/>
      <c r="E199" s="62"/>
      <c r="F199" s="62"/>
      <c r="G199" s="62"/>
      <c r="H199" s="60"/>
      <c r="I199" s="60"/>
      <c r="J199" s="61"/>
      <c r="K199" s="60"/>
      <c r="L199" s="60"/>
      <c r="M199" s="62"/>
      <c r="N199" s="60"/>
      <c r="O199" s="60"/>
      <c r="P199" s="61"/>
      <c r="Q199" s="63"/>
      <c r="R199" s="60"/>
      <c r="S199" s="64"/>
      <c r="T199" s="60"/>
      <c r="U199" s="65" t="str">
        <f aca="false">IF(AND(T199="",S199=""),"",IF(T199="",1,IFERROR(INDEX(Settings!$B$12:$B$16,MATCH(T199,Settings!$A$12:$A$16,0)),1)))</f>
        <v/>
      </c>
      <c r="V199" s="64"/>
      <c r="W199" s="66" t="str">
        <f aca="false">IF(OR(Q199="",S199=""),"",Q199*S199*U199)</f>
        <v/>
      </c>
      <c r="X199" s="65" t="str">
        <f aca="false">IF(OR(W199="",N(Q199)=0),"",W199/Q199)</f>
        <v/>
      </c>
      <c r="Y199" s="65" t="str">
        <f aca="false">IF(OR(X199="",P199="",E199=""),"",IF(_xlfn.MAXIFS($P$6:$P$205,$E$6:$E$205,E199,$P$6:$P$205,"&lt;"&amp;P199,$X$6:$X$205,"&gt;0")=0,"",IFERROR(AVERAGEIFS($X$6:$X$205,$E$6:$E$205,E199,$P$6:$P$205,_xlfn.MAXIFS($P$6:$P$205,$E$6:$E$205,E199,$P$6:$P$205,"&lt;"&amp;P199,$X$6:$X$205,"&gt;0"),$X$6:$X$205,"&gt;0"),"")))</f>
        <v/>
      </c>
      <c r="Z199" s="67" t="str">
        <f aca="false">IF(OR(Y199="",X199=""),"",X199/Y199-1)</f>
        <v/>
      </c>
      <c r="AA199" s="68" t="str">
        <f aca="false">IF(OR(W199="",V199=""),"",W199-Q199*V199)</f>
        <v/>
      </c>
      <c r="AB199" s="69" t="str">
        <f aca="false">IF(AA199="","",IF(N(V199)*N(Q199)=0,"",AA199/(Q199*V199)))</f>
        <v/>
      </c>
      <c r="AC199" s="70"/>
      <c r="AD199" s="66" t="str">
        <f aca="false">IF(W199="","",W199*(1+N(AC199)))</f>
        <v/>
      </c>
      <c r="AE199" s="62"/>
      <c r="AF199" s="71"/>
      <c r="AG199" s="71"/>
      <c r="AH199" s="71"/>
      <c r="AI199" s="66" t="str">
        <f aca="false">IF(A199="","",N(AF199)+N(AG199)+N(AH199))</f>
        <v/>
      </c>
      <c r="AJ199" s="72" t="str">
        <f aca="false">IF(AD199="","",IF(N(AD199)=0,"",AI199/AD199))</f>
        <v/>
      </c>
      <c r="AK199" s="66" t="str">
        <f aca="false">IF(AD199="","",IF(AD199-AI199&lt;1,0,ROUND(AD199-AI199,2)))</f>
        <v/>
      </c>
      <c r="AL199" s="66" t="str">
        <f aca="false">IF(OR(O199="",AD199=""),"",MAX(0,ROUND(N(AI199)-(AD199-N(AW199)),0)))</f>
        <v/>
      </c>
      <c r="AM199" s="73" t="str">
        <f aca="false">IF(A199="","",IF(O199="","No PO Yet",IF(AI199=0,"Not Paid",IF(N(AJ199)&gt;=0.999,"Fully Paid",IF(N(AG199)+N(AH199)&gt;0,"Partially Paid","Initial / Advance Paid")))))</f>
        <v/>
      </c>
      <c r="AN199" s="61"/>
      <c r="AO199" s="61"/>
      <c r="AP199" s="74" t="str">
        <f aca="false">IF(AK199="","",IF(OR(N(AK199)=0,AO199=""),"",MAX(0,Settings!$B$4-AO199)))</f>
        <v/>
      </c>
      <c r="AQ199" s="73" t="str">
        <f aca="false">IF(AK199="","",IF(N(AK199)&lt;=0,"",IF(AO199="","No Due Date",IF(Settings!$B$4&lt;=AO199,"Not Yet Due",IF(Settings!$B$4-AO199&lt;=30,"1-30 Days",IF(Settings!$B$4-AO199&lt;=60,"31-60 Days",IF(Settings!$B$4-AO199&lt;=90,"61-90 Days","90+ Days")))))))</f>
        <v/>
      </c>
      <c r="AR199" s="61"/>
      <c r="AS199" s="61"/>
      <c r="AT199" s="63"/>
      <c r="AU199" s="72" t="str">
        <f aca="false">IF(Q199="","",IF(N(Q199)=0,"",N(AT199)/Q199))</f>
        <v/>
      </c>
      <c r="AV199" s="75" t="str">
        <f aca="false">IF(OR(A199="",O199="",Q199=""),"",MAX(0,Q199-N(AT199)))</f>
        <v/>
      </c>
      <c r="AW199" s="66" t="str">
        <f aca="false">IF(OR(AV199="",W199=""),"",IF(N(Q199)=0,0,AV199/Q199*AD199))</f>
        <v/>
      </c>
      <c r="AX199" s="76" t="str">
        <f aca="false">IF(A199="","",IF(O199="","No PO Yet",IF(Q199="","Order Qty Missing",IF(N(AT199)&gt;=Q199,IF(N(AT199)&gt;Q199,"All In-house (+"&amp;TEXT(N(AT199)-Q199,"#,##0")&amp;" "&amp;R199&amp;" excess)","All In-house"),IF(AY199&lt;&gt;"","Short Closed - "&amp;TEXT(AV199,"#,##0")&amp;" "&amp;R199&amp;" not received",IF(N(AT199)=0,"Not Started - "&amp;TEXT(AV199,"#,##0")&amp;" "&amp;R199&amp;" pending","Pending "&amp;TEXT(AV199,"#,##0")&amp;" "&amp;R199&amp;" ("&amp;TEXT(AU199,"0%")&amp;" received)"))))))</f>
        <v/>
      </c>
      <c r="AY199" s="61"/>
      <c r="AZ199" s="77" t="str">
        <f aca="false">IF(OR(B199="",J199=""),"",J199-B199)</f>
        <v/>
      </c>
      <c r="BA199" s="77" t="str">
        <f aca="false">IF(OR(J199="",P199=""),"",P199-J199)</f>
        <v/>
      </c>
      <c r="BB199" s="77" t="str">
        <f aca="false">IF(OR(P199="",AY199=""),"",AY199-P199)</f>
        <v/>
      </c>
      <c r="BC199" s="77" t="str">
        <f aca="false">IF(OR(B199="",AY199=""),"",AY199-B199)</f>
        <v/>
      </c>
      <c r="BD199" s="74" t="str">
        <f aca="false">IF(OR(AR199="",O199=""),"",MAX(0,IF(AY199="",Settings!$B$4,AY199)-AR199))</f>
        <v/>
      </c>
      <c r="BE199" s="73" t="str">
        <f aca="false">IF(OR(AY199="",AR199=""),"",IF(AND(AY199&lt;=AR199,N(AU199)&gt;=Settings!$B$6),"OTIF","Not OTIF"))</f>
        <v/>
      </c>
      <c r="BF199" s="60"/>
      <c r="BG199" s="62"/>
      <c r="BH199" s="78"/>
      <c r="BI199" s="76" t="str">
        <f aca="false">IF(A199="","",IF(K199="Rejected","Rejected",IF(K199&lt;&gt;"Approved","Awaiting Approval",IF(O199="","Approved - PO Pending",IF(AY199&lt;&gt;"",IF(N(AJ199)&gt;=0.999,"Closed","In-house Closed - Payment Due"),IF(AS199&lt;&gt;"","Receiving In-house","PO Issued - Awaiting Delivery"))))))</f>
        <v/>
      </c>
      <c r="BJ199" s="76" t="str">
        <f aca="false">IF(A199="","",IF(IF(AND(A199&lt;&gt;"",OR(B199="",C199="",E199="",F199="",H199="")),"PR info missing; ","")&amp;IF(AND(K199="Approved",OR(J199="",I199="")),"Approval ref/date missing; ","")&amp;IF(AND(O199&lt;&gt;"",K199&lt;&gt;"Approved"),"PO without approval; ","")&amp;IF(AND(O199&lt;&gt;"",OR(P199="",M199="",Q199="",S199="",T199="")),"PO details missing; ","")&amp;IF(AND(O199&lt;&gt;"",AR199=""),"Committed date missing; ","")&amp;IF(AND(ISNUMBER(J199),ISNUMBER(B199),N(J199)&lt;N(B199)),"Approval dated before PR; ","")&amp;IF(AND(ISNUMBER(P199),ISNUMBER(J199),N(P199)&lt;N(J199)),"PO dated before approval; ","")&amp;IF(AND(ISNUMBER(AY199),ISNUMBER(AS199),N(AY199)&lt;N(AS199)),"Close before in-house start; ","")&amp;IF(AND(AY199&lt;&gt;"",AS199=""),"In-house start date missing; ","")&amp;IF(AND(AY199&lt;&gt;"",AT199=""),"Qty received missing; ","")&amp;IF(AND(AY199&lt;&gt;"",BF199=""),"QC status missing; ","")&amp;IF(N(AT199)&gt;N(Q199)*1.05,"Received &gt; ordered +5%; ","")&amp;IF(AND(N(AI199)&gt;0,AE199=""),"Payment terms missing; ","")&amp;IF(N(AI199)&gt;N(AD199)+1,"Overpaid vs PO; ","")&amp;IF(AND(N(AK199)&gt;0,AY199&lt;&gt;"",AO199=""),"Payment due date missing; ","")="","OK",IF(AND(A199&lt;&gt;"",OR(B199="",C199="",E199="",F199="",H199="")),"PR info missing; ","")&amp;IF(AND(K199="Approved",OR(J199="",I199="")),"Approval ref/date missing; ","")&amp;IF(AND(O199&lt;&gt;"",K199&lt;&gt;"Approved"),"PO without approval; ","")&amp;IF(AND(O199&lt;&gt;"",OR(P199="",M199="",Q199="",S199="",T199="")),"PO details missing; ","")&amp;IF(AND(O199&lt;&gt;"",AR199=""),"Committed date missing; ","")&amp;IF(AND(ISNUMBER(J199),ISNUMBER(B199),N(J199)&lt;N(B199)),"Approval dated before PR; ","")&amp;IF(AND(ISNUMBER(P199),ISNUMBER(J199),N(P199)&lt;N(J199)),"PO dated before approval; ","")&amp;IF(AND(ISNUMBER(AY199),ISNUMBER(AS199),N(AY199)&lt;N(AS199)),"Close before in-house start; ","")&amp;IF(AND(AY199&lt;&gt;"",AS199=""),"In-house start date missing; ","")&amp;IF(AND(AY199&lt;&gt;"",AT199=""),"Qty received missing; ","")&amp;IF(AND(AY199&lt;&gt;"",BF199=""),"QC status missing; ","")&amp;IF(N(AT199)&gt;N(Q199)*1.05,"Received &gt; ordered +5%; ","")&amp;IF(AND(N(AI199)&gt;0,AE199=""),"Payment terms missing; ","")&amp;IF(N(AI199)&gt;N(AD199)+1,"Overpaid vs PO; ","")&amp;IF(AND(N(AK199)&gt;0,AY199&lt;&gt;"",AO199=""),"Payment due date missing; ","")))</f>
        <v/>
      </c>
      <c r="BK199" s="76" t="str">
        <f aca="false">IF(A199="","",IF(N(AP199)&gt;0,"Pay supplier: "&amp;N(AP199)&amp;" days overdue; ","")&amp;IF(AND(O199&lt;&gt;"",AY199="",N(BD199)&gt;0),"Expedite delivery: "&amp;N(BD199)&amp;" days late; ","")&amp;IF(AND(BI199="Awaiting Approval",ISNUMBER(B199),Settings!$B$4-N(B199)&gt;Settings!$B$19),"Get approval: PR waiting "&amp;(Settings!$B$4-N(B199))&amp;" days; ","")&amp;IF(AND(BI199="Approved - PO Pending",ISNUMBER(J199),Settings!$B$4-N(J199)&gt;Settings!$B$20),"Issue PO: approved "&amp;(Settings!$B$4-N(J199))&amp;" days ago; ","")&amp;IF(AND(OR(BI199="Awaiting Approval",BI199="Approved - PO Pending"),N(AB199)&gt;Settings!$B$7),"Negotiate price: "&amp;TEXT(AB199,"0%")&amp;" above budget; ","")&amp;IF(LEFT(AX199,12)="Short Closed","Short closed: claim balance / credit note"&amp;IF(N(AL199)&gt;0," BDT "&amp;TEXT(AL199,"#,##0"),"")&amp;"; ","")&amp;IF(BF199="Rejected","QC rejected: return / replace; ","")&amp;IF(AND(O199&lt;&gt;"",AY199="",N(AL199)&gt;0,N(BD199)&gt;0),"Advance at risk: BDT "&amp;TEXT(AL199,"#,##0")&amp;" paid, goods late; ","")&amp;IF(AND(BJ199&lt;&gt;"",BJ199&lt;&gt;"OK"),"Fix data entry (see Data Check); ",""))</f>
        <v/>
      </c>
      <c r="BL199" s="73" t="str">
        <f aca="false">IF(BK199="","",IF(OR(N(AP199)&gt;30,AND(AY199="",N(BD199)&gt;15),BF199="Rejected",AND(LEFT(AX199,12)="Short Closed",N(AL199)&gt;0),AND(O199&lt;&gt;"",AY199="",N(AL199)&gt;0,N(BD199)&gt;0)),"High",IF(OR(N(AP199)&gt;0,AND(AY199="",N(BD199)&gt;7),LEFT(AX199,12)="Short Closed",AND(BI199="Awaiting Approval",ISNUMBER(B199),Settings!$B$4-N(B199)&gt;2*Settings!$B$19),AND(BI199="Approved - PO Pending",ISNUMBER(J199),Settings!$B$4-N(J199)&gt;2*Settings!$B$20)),"Medium","Low")))</f>
        <v/>
      </c>
      <c r="BM199" s="77" t="str">
        <f aca="false">IF(BL199="","",IF(BL199="High",1,IF(BL199="Medium",2,3))*10000+ROW())</f>
        <v/>
      </c>
      <c r="BN199" s="62"/>
    </row>
    <row r="200" customFormat="false" ht="18" hidden="false" customHeight="true" outlineLevel="0" collapsed="false">
      <c r="A200" s="60"/>
      <c r="B200" s="61"/>
      <c r="C200" s="62"/>
      <c r="D200" s="62"/>
      <c r="E200" s="62"/>
      <c r="F200" s="62"/>
      <c r="G200" s="62"/>
      <c r="H200" s="60"/>
      <c r="I200" s="60"/>
      <c r="J200" s="61"/>
      <c r="K200" s="60"/>
      <c r="L200" s="60"/>
      <c r="M200" s="62"/>
      <c r="N200" s="60"/>
      <c r="O200" s="60"/>
      <c r="P200" s="61"/>
      <c r="Q200" s="63"/>
      <c r="R200" s="60"/>
      <c r="S200" s="64"/>
      <c r="T200" s="60"/>
      <c r="U200" s="65" t="str">
        <f aca="false">IF(AND(T200="",S200=""),"",IF(T200="",1,IFERROR(INDEX(Settings!$B$12:$B$16,MATCH(T200,Settings!$A$12:$A$16,0)),1)))</f>
        <v/>
      </c>
      <c r="V200" s="64"/>
      <c r="W200" s="66" t="str">
        <f aca="false">IF(OR(Q200="",S200=""),"",Q200*S200*U200)</f>
        <v/>
      </c>
      <c r="X200" s="65" t="str">
        <f aca="false">IF(OR(W200="",N(Q200)=0),"",W200/Q200)</f>
        <v/>
      </c>
      <c r="Y200" s="65" t="str">
        <f aca="false">IF(OR(X200="",P200="",E200=""),"",IF(_xlfn.MAXIFS($P$6:$P$205,$E$6:$E$205,E200,$P$6:$P$205,"&lt;"&amp;P200,$X$6:$X$205,"&gt;0")=0,"",IFERROR(AVERAGEIFS($X$6:$X$205,$E$6:$E$205,E200,$P$6:$P$205,_xlfn.MAXIFS($P$6:$P$205,$E$6:$E$205,E200,$P$6:$P$205,"&lt;"&amp;P200,$X$6:$X$205,"&gt;0"),$X$6:$X$205,"&gt;0"),"")))</f>
        <v/>
      </c>
      <c r="Z200" s="67" t="str">
        <f aca="false">IF(OR(Y200="",X200=""),"",X200/Y200-1)</f>
        <v/>
      </c>
      <c r="AA200" s="68" t="str">
        <f aca="false">IF(OR(W200="",V200=""),"",W200-Q200*V200)</f>
        <v/>
      </c>
      <c r="AB200" s="69" t="str">
        <f aca="false">IF(AA200="","",IF(N(V200)*N(Q200)=0,"",AA200/(Q200*V200)))</f>
        <v/>
      </c>
      <c r="AC200" s="70"/>
      <c r="AD200" s="66" t="str">
        <f aca="false">IF(W200="","",W200*(1+N(AC200)))</f>
        <v/>
      </c>
      <c r="AE200" s="62"/>
      <c r="AF200" s="71"/>
      <c r="AG200" s="71"/>
      <c r="AH200" s="71"/>
      <c r="AI200" s="66" t="str">
        <f aca="false">IF(A200="","",N(AF200)+N(AG200)+N(AH200))</f>
        <v/>
      </c>
      <c r="AJ200" s="72" t="str">
        <f aca="false">IF(AD200="","",IF(N(AD200)=0,"",AI200/AD200))</f>
        <v/>
      </c>
      <c r="AK200" s="66" t="str">
        <f aca="false">IF(AD200="","",IF(AD200-AI200&lt;1,0,ROUND(AD200-AI200,2)))</f>
        <v/>
      </c>
      <c r="AL200" s="66" t="str">
        <f aca="false">IF(OR(O200="",AD200=""),"",MAX(0,ROUND(N(AI200)-(AD200-N(AW200)),0)))</f>
        <v/>
      </c>
      <c r="AM200" s="73" t="str">
        <f aca="false">IF(A200="","",IF(O200="","No PO Yet",IF(AI200=0,"Not Paid",IF(N(AJ200)&gt;=0.999,"Fully Paid",IF(N(AG200)+N(AH200)&gt;0,"Partially Paid","Initial / Advance Paid")))))</f>
        <v/>
      </c>
      <c r="AN200" s="61"/>
      <c r="AO200" s="61"/>
      <c r="AP200" s="74" t="str">
        <f aca="false">IF(AK200="","",IF(OR(N(AK200)=0,AO200=""),"",MAX(0,Settings!$B$4-AO200)))</f>
        <v/>
      </c>
      <c r="AQ200" s="73" t="str">
        <f aca="false">IF(AK200="","",IF(N(AK200)&lt;=0,"",IF(AO200="","No Due Date",IF(Settings!$B$4&lt;=AO200,"Not Yet Due",IF(Settings!$B$4-AO200&lt;=30,"1-30 Days",IF(Settings!$B$4-AO200&lt;=60,"31-60 Days",IF(Settings!$B$4-AO200&lt;=90,"61-90 Days","90+ Days")))))))</f>
        <v/>
      </c>
      <c r="AR200" s="61"/>
      <c r="AS200" s="61"/>
      <c r="AT200" s="63"/>
      <c r="AU200" s="72" t="str">
        <f aca="false">IF(Q200="","",IF(N(Q200)=0,"",N(AT200)/Q200))</f>
        <v/>
      </c>
      <c r="AV200" s="75" t="str">
        <f aca="false">IF(OR(A200="",O200="",Q200=""),"",MAX(0,Q200-N(AT200)))</f>
        <v/>
      </c>
      <c r="AW200" s="66" t="str">
        <f aca="false">IF(OR(AV200="",W200=""),"",IF(N(Q200)=0,0,AV200/Q200*AD200))</f>
        <v/>
      </c>
      <c r="AX200" s="76" t="str">
        <f aca="false">IF(A200="","",IF(O200="","No PO Yet",IF(Q200="","Order Qty Missing",IF(N(AT200)&gt;=Q200,IF(N(AT200)&gt;Q200,"All In-house (+"&amp;TEXT(N(AT200)-Q200,"#,##0")&amp;" "&amp;R200&amp;" excess)","All In-house"),IF(AY200&lt;&gt;"","Short Closed - "&amp;TEXT(AV200,"#,##0")&amp;" "&amp;R200&amp;" not received",IF(N(AT200)=0,"Not Started - "&amp;TEXT(AV200,"#,##0")&amp;" "&amp;R200&amp;" pending","Pending "&amp;TEXT(AV200,"#,##0")&amp;" "&amp;R200&amp;" ("&amp;TEXT(AU200,"0%")&amp;" received)"))))))</f>
        <v/>
      </c>
      <c r="AY200" s="61"/>
      <c r="AZ200" s="77" t="str">
        <f aca="false">IF(OR(B200="",J200=""),"",J200-B200)</f>
        <v/>
      </c>
      <c r="BA200" s="77" t="str">
        <f aca="false">IF(OR(J200="",P200=""),"",P200-J200)</f>
        <v/>
      </c>
      <c r="BB200" s="77" t="str">
        <f aca="false">IF(OR(P200="",AY200=""),"",AY200-P200)</f>
        <v/>
      </c>
      <c r="BC200" s="77" t="str">
        <f aca="false">IF(OR(B200="",AY200=""),"",AY200-B200)</f>
        <v/>
      </c>
      <c r="BD200" s="74" t="str">
        <f aca="false">IF(OR(AR200="",O200=""),"",MAX(0,IF(AY200="",Settings!$B$4,AY200)-AR200))</f>
        <v/>
      </c>
      <c r="BE200" s="73" t="str">
        <f aca="false">IF(OR(AY200="",AR200=""),"",IF(AND(AY200&lt;=AR200,N(AU200)&gt;=Settings!$B$6),"OTIF","Not OTIF"))</f>
        <v/>
      </c>
      <c r="BF200" s="60"/>
      <c r="BG200" s="62"/>
      <c r="BH200" s="78"/>
      <c r="BI200" s="76" t="str">
        <f aca="false">IF(A200="","",IF(K200="Rejected","Rejected",IF(K200&lt;&gt;"Approved","Awaiting Approval",IF(O200="","Approved - PO Pending",IF(AY200&lt;&gt;"",IF(N(AJ200)&gt;=0.999,"Closed","In-house Closed - Payment Due"),IF(AS200&lt;&gt;"","Receiving In-house","PO Issued - Awaiting Delivery"))))))</f>
        <v/>
      </c>
      <c r="BJ200" s="76" t="str">
        <f aca="false">IF(A200="","",IF(IF(AND(A200&lt;&gt;"",OR(B200="",C200="",E200="",F200="",H200="")),"PR info missing; ","")&amp;IF(AND(K200="Approved",OR(J200="",I200="")),"Approval ref/date missing; ","")&amp;IF(AND(O200&lt;&gt;"",K200&lt;&gt;"Approved"),"PO without approval; ","")&amp;IF(AND(O200&lt;&gt;"",OR(P200="",M200="",Q200="",S200="",T200="")),"PO details missing; ","")&amp;IF(AND(O200&lt;&gt;"",AR200=""),"Committed date missing; ","")&amp;IF(AND(ISNUMBER(J200),ISNUMBER(B200),N(J200)&lt;N(B200)),"Approval dated before PR; ","")&amp;IF(AND(ISNUMBER(P200),ISNUMBER(J200),N(P200)&lt;N(J200)),"PO dated before approval; ","")&amp;IF(AND(ISNUMBER(AY200),ISNUMBER(AS200),N(AY200)&lt;N(AS200)),"Close before in-house start; ","")&amp;IF(AND(AY200&lt;&gt;"",AS200=""),"In-house start date missing; ","")&amp;IF(AND(AY200&lt;&gt;"",AT200=""),"Qty received missing; ","")&amp;IF(AND(AY200&lt;&gt;"",BF200=""),"QC status missing; ","")&amp;IF(N(AT200)&gt;N(Q200)*1.05,"Received &gt; ordered +5%; ","")&amp;IF(AND(N(AI200)&gt;0,AE200=""),"Payment terms missing; ","")&amp;IF(N(AI200)&gt;N(AD200)+1,"Overpaid vs PO; ","")&amp;IF(AND(N(AK200)&gt;0,AY200&lt;&gt;"",AO200=""),"Payment due date missing; ","")="","OK",IF(AND(A200&lt;&gt;"",OR(B200="",C200="",E200="",F200="",H200="")),"PR info missing; ","")&amp;IF(AND(K200="Approved",OR(J200="",I200="")),"Approval ref/date missing; ","")&amp;IF(AND(O200&lt;&gt;"",K200&lt;&gt;"Approved"),"PO without approval; ","")&amp;IF(AND(O200&lt;&gt;"",OR(P200="",M200="",Q200="",S200="",T200="")),"PO details missing; ","")&amp;IF(AND(O200&lt;&gt;"",AR200=""),"Committed date missing; ","")&amp;IF(AND(ISNUMBER(J200),ISNUMBER(B200),N(J200)&lt;N(B200)),"Approval dated before PR; ","")&amp;IF(AND(ISNUMBER(P200),ISNUMBER(J200),N(P200)&lt;N(J200)),"PO dated before approval; ","")&amp;IF(AND(ISNUMBER(AY200),ISNUMBER(AS200),N(AY200)&lt;N(AS200)),"Close before in-house start; ","")&amp;IF(AND(AY200&lt;&gt;"",AS200=""),"In-house start date missing; ","")&amp;IF(AND(AY200&lt;&gt;"",AT200=""),"Qty received missing; ","")&amp;IF(AND(AY200&lt;&gt;"",BF200=""),"QC status missing; ","")&amp;IF(N(AT200)&gt;N(Q200)*1.05,"Received &gt; ordered +5%; ","")&amp;IF(AND(N(AI200)&gt;0,AE200=""),"Payment terms missing; ","")&amp;IF(N(AI200)&gt;N(AD200)+1,"Overpaid vs PO; ","")&amp;IF(AND(N(AK200)&gt;0,AY200&lt;&gt;"",AO200=""),"Payment due date missing; ","")))</f>
        <v/>
      </c>
      <c r="BK200" s="76" t="str">
        <f aca="false">IF(A200="","",IF(N(AP200)&gt;0,"Pay supplier: "&amp;N(AP200)&amp;" days overdue; ","")&amp;IF(AND(O200&lt;&gt;"",AY200="",N(BD200)&gt;0),"Expedite delivery: "&amp;N(BD200)&amp;" days late; ","")&amp;IF(AND(BI200="Awaiting Approval",ISNUMBER(B200),Settings!$B$4-N(B200)&gt;Settings!$B$19),"Get approval: PR waiting "&amp;(Settings!$B$4-N(B200))&amp;" days; ","")&amp;IF(AND(BI200="Approved - PO Pending",ISNUMBER(J200),Settings!$B$4-N(J200)&gt;Settings!$B$20),"Issue PO: approved "&amp;(Settings!$B$4-N(J200))&amp;" days ago; ","")&amp;IF(AND(OR(BI200="Awaiting Approval",BI200="Approved - PO Pending"),N(AB200)&gt;Settings!$B$7),"Negotiate price: "&amp;TEXT(AB200,"0%")&amp;" above budget; ","")&amp;IF(LEFT(AX200,12)="Short Closed","Short closed: claim balance / credit note"&amp;IF(N(AL200)&gt;0," BDT "&amp;TEXT(AL200,"#,##0"),"")&amp;"; ","")&amp;IF(BF200="Rejected","QC rejected: return / replace; ","")&amp;IF(AND(O200&lt;&gt;"",AY200="",N(AL200)&gt;0,N(BD200)&gt;0),"Advance at risk: BDT "&amp;TEXT(AL200,"#,##0")&amp;" paid, goods late; ","")&amp;IF(AND(BJ200&lt;&gt;"",BJ200&lt;&gt;"OK"),"Fix data entry (see Data Check); ",""))</f>
        <v/>
      </c>
      <c r="BL200" s="73" t="str">
        <f aca="false">IF(BK200="","",IF(OR(N(AP200)&gt;30,AND(AY200="",N(BD200)&gt;15),BF200="Rejected",AND(LEFT(AX200,12)="Short Closed",N(AL200)&gt;0),AND(O200&lt;&gt;"",AY200="",N(AL200)&gt;0,N(BD200)&gt;0)),"High",IF(OR(N(AP200)&gt;0,AND(AY200="",N(BD200)&gt;7),LEFT(AX200,12)="Short Closed",AND(BI200="Awaiting Approval",ISNUMBER(B200),Settings!$B$4-N(B200)&gt;2*Settings!$B$19),AND(BI200="Approved - PO Pending",ISNUMBER(J200),Settings!$B$4-N(J200)&gt;2*Settings!$B$20)),"Medium","Low")))</f>
        <v/>
      </c>
      <c r="BM200" s="77" t="str">
        <f aca="false">IF(BL200="","",IF(BL200="High",1,IF(BL200="Medium",2,3))*10000+ROW())</f>
        <v/>
      </c>
      <c r="BN200" s="62"/>
    </row>
    <row r="201" customFormat="false" ht="18" hidden="false" customHeight="true" outlineLevel="0" collapsed="false">
      <c r="A201" s="60"/>
      <c r="B201" s="61"/>
      <c r="C201" s="62"/>
      <c r="D201" s="62"/>
      <c r="E201" s="62"/>
      <c r="F201" s="62"/>
      <c r="G201" s="62"/>
      <c r="H201" s="60"/>
      <c r="I201" s="60"/>
      <c r="J201" s="61"/>
      <c r="K201" s="60"/>
      <c r="L201" s="60"/>
      <c r="M201" s="62"/>
      <c r="N201" s="60"/>
      <c r="O201" s="60"/>
      <c r="P201" s="61"/>
      <c r="Q201" s="63"/>
      <c r="R201" s="60"/>
      <c r="S201" s="64"/>
      <c r="T201" s="60"/>
      <c r="U201" s="65" t="str">
        <f aca="false">IF(AND(T201="",S201=""),"",IF(T201="",1,IFERROR(INDEX(Settings!$B$12:$B$16,MATCH(T201,Settings!$A$12:$A$16,0)),1)))</f>
        <v/>
      </c>
      <c r="V201" s="64"/>
      <c r="W201" s="66" t="str">
        <f aca="false">IF(OR(Q201="",S201=""),"",Q201*S201*U201)</f>
        <v/>
      </c>
      <c r="X201" s="65" t="str">
        <f aca="false">IF(OR(W201="",N(Q201)=0),"",W201/Q201)</f>
        <v/>
      </c>
      <c r="Y201" s="65" t="str">
        <f aca="false">IF(OR(X201="",P201="",E201=""),"",IF(_xlfn.MAXIFS($P$6:$P$205,$E$6:$E$205,E201,$P$6:$P$205,"&lt;"&amp;P201,$X$6:$X$205,"&gt;0")=0,"",IFERROR(AVERAGEIFS($X$6:$X$205,$E$6:$E$205,E201,$P$6:$P$205,_xlfn.MAXIFS($P$6:$P$205,$E$6:$E$205,E201,$P$6:$P$205,"&lt;"&amp;P201,$X$6:$X$205,"&gt;0"),$X$6:$X$205,"&gt;0"),"")))</f>
        <v/>
      </c>
      <c r="Z201" s="67" t="str">
        <f aca="false">IF(OR(Y201="",X201=""),"",X201/Y201-1)</f>
        <v/>
      </c>
      <c r="AA201" s="68" t="str">
        <f aca="false">IF(OR(W201="",V201=""),"",W201-Q201*V201)</f>
        <v/>
      </c>
      <c r="AB201" s="69" t="str">
        <f aca="false">IF(AA201="","",IF(N(V201)*N(Q201)=0,"",AA201/(Q201*V201)))</f>
        <v/>
      </c>
      <c r="AC201" s="70"/>
      <c r="AD201" s="66" t="str">
        <f aca="false">IF(W201="","",W201*(1+N(AC201)))</f>
        <v/>
      </c>
      <c r="AE201" s="62"/>
      <c r="AF201" s="71"/>
      <c r="AG201" s="71"/>
      <c r="AH201" s="71"/>
      <c r="AI201" s="66" t="str">
        <f aca="false">IF(A201="","",N(AF201)+N(AG201)+N(AH201))</f>
        <v/>
      </c>
      <c r="AJ201" s="72" t="str">
        <f aca="false">IF(AD201="","",IF(N(AD201)=0,"",AI201/AD201))</f>
        <v/>
      </c>
      <c r="AK201" s="66" t="str">
        <f aca="false">IF(AD201="","",IF(AD201-AI201&lt;1,0,ROUND(AD201-AI201,2)))</f>
        <v/>
      </c>
      <c r="AL201" s="66" t="str">
        <f aca="false">IF(OR(O201="",AD201=""),"",MAX(0,ROUND(N(AI201)-(AD201-N(AW201)),0)))</f>
        <v/>
      </c>
      <c r="AM201" s="73" t="str">
        <f aca="false">IF(A201="","",IF(O201="","No PO Yet",IF(AI201=0,"Not Paid",IF(N(AJ201)&gt;=0.999,"Fully Paid",IF(N(AG201)+N(AH201)&gt;0,"Partially Paid","Initial / Advance Paid")))))</f>
        <v/>
      </c>
      <c r="AN201" s="61"/>
      <c r="AO201" s="61"/>
      <c r="AP201" s="74" t="str">
        <f aca="false">IF(AK201="","",IF(OR(N(AK201)=0,AO201=""),"",MAX(0,Settings!$B$4-AO201)))</f>
        <v/>
      </c>
      <c r="AQ201" s="73" t="str">
        <f aca="false">IF(AK201="","",IF(N(AK201)&lt;=0,"",IF(AO201="","No Due Date",IF(Settings!$B$4&lt;=AO201,"Not Yet Due",IF(Settings!$B$4-AO201&lt;=30,"1-30 Days",IF(Settings!$B$4-AO201&lt;=60,"31-60 Days",IF(Settings!$B$4-AO201&lt;=90,"61-90 Days","90+ Days")))))))</f>
        <v/>
      </c>
      <c r="AR201" s="61"/>
      <c r="AS201" s="61"/>
      <c r="AT201" s="63"/>
      <c r="AU201" s="72" t="str">
        <f aca="false">IF(Q201="","",IF(N(Q201)=0,"",N(AT201)/Q201))</f>
        <v/>
      </c>
      <c r="AV201" s="75" t="str">
        <f aca="false">IF(OR(A201="",O201="",Q201=""),"",MAX(0,Q201-N(AT201)))</f>
        <v/>
      </c>
      <c r="AW201" s="66" t="str">
        <f aca="false">IF(OR(AV201="",W201=""),"",IF(N(Q201)=0,0,AV201/Q201*AD201))</f>
        <v/>
      </c>
      <c r="AX201" s="76" t="str">
        <f aca="false">IF(A201="","",IF(O201="","No PO Yet",IF(Q201="","Order Qty Missing",IF(N(AT201)&gt;=Q201,IF(N(AT201)&gt;Q201,"All In-house (+"&amp;TEXT(N(AT201)-Q201,"#,##0")&amp;" "&amp;R201&amp;" excess)","All In-house"),IF(AY201&lt;&gt;"","Short Closed - "&amp;TEXT(AV201,"#,##0")&amp;" "&amp;R201&amp;" not received",IF(N(AT201)=0,"Not Started - "&amp;TEXT(AV201,"#,##0")&amp;" "&amp;R201&amp;" pending","Pending "&amp;TEXT(AV201,"#,##0")&amp;" "&amp;R201&amp;" ("&amp;TEXT(AU201,"0%")&amp;" received)"))))))</f>
        <v/>
      </c>
      <c r="AY201" s="61"/>
      <c r="AZ201" s="77" t="str">
        <f aca="false">IF(OR(B201="",J201=""),"",J201-B201)</f>
        <v/>
      </c>
      <c r="BA201" s="77" t="str">
        <f aca="false">IF(OR(J201="",P201=""),"",P201-J201)</f>
        <v/>
      </c>
      <c r="BB201" s="77" t="str">
        <f aca="false">IF(OR(P201="",AY201=""),"",AY201-P201)</f>
        <v/>
      </c>
      <c r="BC201" s="77" t="str">
        <f aca="false">IF(OR(B201="",AY201=""),"",AY201-B201)</f>
        <v/>
      </c>
      <c r="BD201" s="74" t="str">
        <f aca="false">IF(OR(AR201="",O201=""),"",MAX(0,IF(AY201="",Settings!$B$4,AY201)-AR201))</f>
        <v/>
      </c>
      <c r="BE201" s="73" t="str">
        <f aca="false">IF(OR(AY201="",AR201=""),"",IF(AND(AY201&lt;=AR201,N(AU201)&gt;=Settings!$B$6),"OTIF","Not OTIF"))</f>
        <v/>
      </c>
      <c r="BF201" s="60"/>
      <c r="BG201" s="62"/>
      <c r="BH201" s="78"/>
      <c r="BI201" s="76" t="str">
        <f aca="false">IF(A201="","",IF(K201="Rejected","Rejected",IF(K201&lt;&gt;"Approved","Awaiting Approval",IF(O201="","Approved - PO Pending",IF(AY201&lt;&gt;"",IF(N(AJ201)&gt;=0.999,"Closed","In-house Closed - Payment Due"),IF(AS201&lt;&gt;"","Receiving In-house","PO Issued - Awaiting Delivery"))))))</f>
        <v/>
      </c>
      <c r="BJ201" s="76" t="str">
        <f aca="false">IF(A201="","",IF(IF(AND(A201&lt;&gt;"",OR(B201="",C201="",E201="",F201="",H201="")),"PR info missing; ","")&amp;IF(AND(K201="Approved",OR(J201="",I201="")),"Approval ref/date missing; ","")&amp;IF(AND(O201&lt;&gt;"",K201&lt;&gt;"Approved"),"PO without approval; ","")&amp;IF(AND(O201&lt;&gt;"",OR(P201="",M201="",Q201="",S201="",T201="")),"PO details missing; ","")&amp;IF(AND(O201&lt;&gt;"",AR201=""),"Committed date missing; ","")&amp;IF(AND(ISNUMBER(J201),ISNUMBER(B201),N(J201)&lt;N(B201)),"Approval dated before PR; ","")&amp;IF(AND(ISNUMBER(P201),ISNUMBER(J201),N(P201)&lt;N(J201)),"PO dated before approval; ","")&amp;IF(AND(ISNUMBER(AY201),ISNUMBER(AS201),N(AY201)&lt;N(AS201)),"Close before in-house start; ","")&amp;IF(AND(AY201&lt;&gt;"",AS201=""),"In-house start date missing; ","")&amp;IF(AND(AY201&lt;&gt;"",AT201=""),"Qty received missing; ","")&amp;IF(AND(AY201&lt;&gt;"",BF201=""),"QC status missing; ","")&amp;IF(N(AT201)&gt;N(Q201)*1.05,"Received &gt; ordered +5%; ","")&amp;IF(AND(N(AI201)&gt;0,AE201=""),"Payment terms missing; ","")&amp;IF(N(AI201)&gt;N(AD201)+1,"Overpaid vs PO; ","")&amp;IF(AND(N(AK201)&gt;0,AY201&lt;&gt;"",AO201=""),"Payment due date missing; ","")="","OK",IF(AND(A201&lt;&gt;"",OR(B201="",C201="",E201="",F201="",H201="")),"PR info missing; ","")&amp;IF(AND(K201="Approved",OR(J201="",I201="")),"Approval ref/date missing; ","")&amp;IF(AND(O201&lt;&gt;"",K201&lt;&gt;"Approved"),"PO without approval; ","")&amp;IF(AND(O201&lt;&gt;"",OR(P201="",M201="",Q201="",S201="",T201="")),"PO details missing; ","")&amp;IF(AND(O201&lt;&gt;"",AR201=""),"Committed date missing; ","")&amp;IF(AND(ISNUMBER(J201),ISNUMBER(B201),N(J201)&lt;N(B201)),"Approval dated before PR; ","")&amp;IF(AND(ISNUMBER(P201),ISNUMBER(J201),N(P201)&lt;N(J201)),"PO dated before approval; ","")&amp;IF(AND(ISNUMBER(AY201),ISNUMBER(AS201),N(AY201)&lt;N(AS201)),"Close before in-house start; ","")&amp;IF(AND(AY201&lt;&gt;"",AS201=""),"In-house start date missing; ","")&amp;IF(AND(AY201&lt;&gt;"",AT201=""),"Qty received missing; ","")&amp;IF(AND(AY201&lt;&gt;"",BF201=""),"QC status missing; ","")&amp;IF(N(AT201)&gt;N(Q201)*1.05,"Received &gt; ordered +5%; ","")&amp;IF(AND(N(AI201)&gt;0,AE201=""),"Payment terms missing; ","")&amp;IF(N(AI201)&gt;N(AD201)+1,"Overpaid vs PO; ","")&amp;IF(AND(N(AK201)&gt;0,AY201&lt;&gt;"",AO201=""),"Payment due date missing; ","")))</f>
        <v/>
      </c>
      <c r="BK201" s="76" t="str">
        <f aca="false">IF(A201="","",IF(N(AP201)&gt;0,"Pay supplier: "&amp;N(AP201)&amp;" days overdue; ","")&amp;IF(AND(O201&lt;&gt;"",AY201="",N(BD201)&gt;0),"Expedite delivery: "&amp;N(BD201)&amp;" days late; ","")&amp;IF(AND(BI201="Awaiting Approval",ISNUMBER(B201),Settings!$B$4-N(B201)&gt;Settings!$B$19),"Get approval: PR waiting "&amp;(Settings!$B$4-N(B201))&amp;" days; ","")&amp;IF(AND(BI201="Approved - PO Pending",ISNUMBER(J201),Settings!$B$4-N(J201)&gt;Settings!$B$20),"Issue PO: approved "&amp;(Settings!$B$4-N(J201))&amp;" days ago; ","")&amp;IF(AND(OR(BI201="Awaiting Approval",BI201="Approved - PO Pending"),N(AB201)&gt;Settings!$B$7),"Negotiate price: "&amp;TEXT(AB201,"0%")&amp;" above budget; ","")&amp;IF(LEFT(AX201,12)="Short Closed","Short closed: claim balance / credit note"&amp;IF(N(AL201)&gt;0," BDT "&amp;TEXT(AL201,"#,##0"),"")&amp;"; ","")&amp;IF(BF201="Rejected","QC rejected: return / replace; ","")&amp;IF(AND(O201&lt;&gt;"",AY201="",N(AL201)&gt;0,N(BD201)&gt;0),"Advance at risk: BDT "&amp;TEXT(AL201,"#,##0")&amp;" paid, goods late; ","")&amp;IF(AND(BJ201&lt;&gt;"",BJ201&lt;&gt;"OK"),"Fix data entry (see Data Check); ",""))</f>
        <v/>
      </c>
      <c r="BL201" s="73" t="str">
        <f aca="false">IF(BK201="","",IF(OR(N(AP201)&gt;30,AND(AY201="",N(BD201)&gt;15),BF201="Rejected",AND(LEFT(AX201,12)="Short Closed",N(AL201)&gt;0),AND(O201&lt;&gt;"",AY201="",N(AL201)&gt;0,N(BD201)&gt;0)),"High",IF(OR(N(AP201)&gt;0,AND(AY201="",N(BD201)&gt;7),LEFT(AX201,12)="Short Closed",AND(BI201="Awaiting Approval",ISNUMBER(B201),Settings!$B$4-N(B201)&gt;2*Settings!$B$19),AND(BI201="Approved - PO Pending",ISNUMBER(J201),Settings!$B$4-N(J201)&gt;2*Settings!$B$20)),"Medium","Low")))</f>
        <v/>
      </c>
      <c r="BM201" s="77" t="str">
        <f aca="false">IF(BL201="","",IF(BL201="High",1,IF(BL201="Medium",2,3))*10000+ROW())</f>
        <v/>
      </c>
      <c r="BN201" s="62"/>
    </row>
    <row r="202" customFormat="false" ht="18" hidden="false" customHeight="true" outlineLevel="0" collapsed="false">
      <c r="A202" s="60"/>
      <c r="B202" s="61"/>
      <c r="C202" s="62"/>
      <c r="D202" s="62"/>
      <c r="E202" s="62"/>
      <c r="F202" s="62"/>
      <c r="G202" s="62"/>
      <c r="H202" s="60"/>
      <c r="I202" s="60"/>
      <c r="J202" s="61"/>
      <c r="K202" s="60"/>
      <c r="L202" s="60"/>
      <c r="M202" s="62"/>
      <c r="N202" s="60"/>
      <c r="O202" s="60"/>
      <c r="P202" s="61"/>
      <c r="Q202" s="63"/>
      <c r="R202" s="60"/>
      <c r="S202" s="64"/>
      <c r="T202" s="60"/>
      <c r="U202" s="65" t="str">
        <f aca="false">IF(AND(T202="",S202=""),"",IF(T202="",1,IFERROR(INDEX(Settings!$B$12:$B$16,MATCH(T202,Settings!$A$12:$A$16,0)),1)))</f>
        <v/>
      </c>
      <c r="V202" s="64"/>
      <c r="W202" s="66" t="str">
        <f aca="false">IF(OR(Q202="",S202=""),"",Q202*S202*U202)</f>
        <v/>
      </c>
      <c r="X202" s="65" t="str">
        <f aca="false">IF(OR(W202="",N(Q202)=0),"",W202/Q202)</f>
        <v/>
      </c>
      <c r="Y202" s="65" t="str">
        <f aca="false">IF(OR(X202="",P202="",E202=""),"",IF(_xlfn.MAXIFS($P$6:$P$205,$E$6:$E$205,E202,$P$6:$P$205,"&lt;"&amp;P202,$X$6:$X$205,"&gt;0")=0,"",IFERROR(AVERAGEIFS($X$6:$X$205,$E$6:$E$205,E202,$P$6:$P$205,_xlfn.MAXIFS($P$6:$P$205,$E$6:$E$205,E202,$P$6:$P$205,"&lt;"&amp;P202,$X$6:$X$205,"&gt;0"),$X$6:$X$205,"&gt;0"),"")))</f>
        <v/>
      </c>
      <c r="Z202" s="67" t="str">
        <f aca="false">IF(OR(Y202="",X202=""),"",X202/Y202-1)</f>
        <v/>
      </c>
      <c r="AA202" s="68" t="str">
        <f aca="false">IF(OR(W202="",V202=""),"",W202-Q202*V202)</f>
        <v/>
      </c>
      <c r="AB202" s="69" t="str">
        <f aca="false">IF(AA202="","",IF(N(V202)*N(Q202)=0,"",AA202/(Q202*V202)))</f>
        <v/>
      </c>
      <c r="AC202" s="70"/>
      <c r="AD202" s="66" t="str">
        <f aca="false">IF(W202="","",W202*(1+N(AC202)))</f>
        <v/>
      </c>
      <c r="AE202" s="62"/>
      <c r="AF202" s="71"/>
      <c r="AG202" s="71"/>
      <c r="AH202" s="71"/>
      <c r="AI202" s="66" t="str">
        <f aca="false">IF(A202="","",N(AF202)+N(AG202)+N(AH202))</f>
        <v/>
      </c>
      <c r="AJ202" s="72" t="str">
        <f aca="false">IF(AD202="","",IF(N(AD202)=0,"",AI202/AD202))</f>
        <v/>
      </c>
      <c r="AK202" s="66" t="str">
        <f aca="false">IF(AD202="","",IF(AD202-AI202&lt;1,0,ROUND(AD202-AI202,2)))</f>
        <v/>
      </c>
      <c r="AL202" s="66" t="str">
        <f aca="false">IF(OR(O202="",AD202=""),"",MAX(0,ROUND(N(AI202)-(AD202-N(AW202)),0)))</f>
        <v/>
      </c>
      <c r="AM202" s="73" t="str">
        <f aca="false">IF(A202="","",IF(O202="","No PO Yet",IF(AI202=0,"Not Paid",IF(N(AJ202)&gt;=0.999,"Fully Paid",IF(N(AG202)+N(AH202)&gt;0,"Partially Paid","Initial / Advance Paid")))))</f>
        <v/>
      </c>
      <c r="AN202" s="61"/>
      <c r="AO202" s="61"/>
      <c r="AP202" s="74" t="str">
        <f aca="false">IF(AK202="","",IF(OR(N(AK202)=0,AO202=""),"",MAX(0,Settings!$B$4-AO202)))</f>
        <v/>
      </c>
      <c r="AQ202" s="73" t="str">
        <f aca="false">IF(AK202="","",IF(N(AK202)&lt;=0,"",IF(AO202="","No Due Date",IF(Settings!$B$4&lt;=AO202,"Not Yet Due",IF(Settings!$B$4-AO202&lt;=30,"1-30 Days",IF(Settings!$B$4-AO202&lt;=60,"31-60 Days",IF(Settings!$B$4-AO202&lt;=90,"61-90 Days","90+ Days")))))))</f>
        <v/>
      </c>
      <c r="AR202" s="61"/>
      <c r="AS202" s="61"/>
      <c r="AT202" s="63"/>
      <c r="AU202" s="72" t="str">
        <f aca="false">IF(Q202="","",IF(N(Q202)=0,"",N(AT202)/Q202))</f>
        <v/>
      </c>
      <c r="AV202" s="75" t="str">
        <f aca="false">IF(OR(A202="",O202="",Q202=""),"",MAX(0,Q202-N(AT202)))</f>
        <v/>
      </c>
      <c r="AW202" s="66" t="str">
        <f aca="false">IF(OR(AV202="",W202=""),"",IF(N(Q202)=0,0,AV202/Q202*AD202))</f>
        <v/>
      </c>
      <c r="AX202" s="76" t="str">
        <f aca="false">IF(A202="","",IF(O202="","No PO Yet",IF(Q202="","Order Qty Missing",IF(N(AT202)&gt;=Q202,IF(N(AT202)&gt;Q202,"All In-house (+"&amp;TEXT(N(AT202)-Q202,"#,##0")&amp;" "&amp;R202&amp;" excess)","All In-house"),IF(AY202&lt;&gt;"","Short Closed - "&amp;TEXT(AV202,"#,##0")&amp;" "&amp;R202&amp;" not received",IF(N(AT202)=0,"Not Started - "&amp;TEXT(AV202,"#,##0")&amp;" "&amp;R202&amp;" pending","Pending "&amp;TEXT(AV202,"#,##0")&amp;" "&amp;R202&amp;" ("&amp;TEXT(AU202,"0%")&amp;" received)"))))))</f>
        <v/>
      </c>
      <c r="AY202" s="61"/>
      <c r="AZ202" s="77" t="str">
        <f aca="false">IF(OR(B202="",J202=""),"",J202-B202)</f>
        <v/>
      </c>
      <c r="BA202" s="77" t="str">
        <f aca="false">IF(OR(J202="",P202=""),"",P202-J202)</f>
        <v/>
      </c>
      <c r="BB202" s="77" t="str">
        <f aca="false">IF(OR(P202="",AY202=""),"",AY202-P202)</f>
        <v/>
      </c>
      <c r="BC202" s="77" t="str">
        <f aca="false">IF(OR(B202="",AY202=""),"",AY202-B202)</f>
        <v/>
      </c>
      <c r="BD202" s="74" t="str">
        <f aca="false">IF(OR(AR202="",O202=""),"",MAX(0,IF(AY202="",Settings!$B$4,AY202)-AR202))</f>
        <v/>
      </c>
      <c r="BE202" s="73" t="str">
        <f aca="false">IF(OR(AY202="",AR202=""),"",IF(AND(AY202&lt;=AR202,N(AU202)&gt;=Settings!$B$6),"OTIF","Not OTIF"))</f>
        <v/>
      </c>
      <c r="BF202" s="60"/>
      <c r="BG202" s="62"/>
      <c r="BH202" s="78"/>
      <c r="BI202" s="76" t="str">
        <f aca="false">IF(A202="","",IF(K202="Rejected","Rejected",IF(K202&lt;&gt;"Approved","Awaiting Approval",IF(O202="","Approved - PO Pending",IF(AY202&lt;&gt;"",IF(N(AJ202)&gt;=0.999,"Closed","In-house Closed - Payment Due"),IF(AS202&lt;&gt;"","Receiving In-house","PO Issued - Awaiting Delivery"))))))</f>
        <v/>
      </c>
      <c r="BJ202" s="76" t="str">
        <f aca="false">IF(A202="","",IF(IF(AND(A202&lt;&gt;"",OR(B202="",C202="",E202="",F202="",H202="")),"PR info missing; ","")&amp;IF(AND(K202="Approved",OR(J202="",I202="")),"Approval ref/date missing; ","")&amp;IF(AND(O202&lt;&gt;"",K202&lt;&gt;"Approved"),"PO without approval; ","")&amp;IF(AND(O202&lt;&gt;"",OR(P202="",M202="",Q202="",S202="",T202="")),"PO details missing; ","")&amp;IF(AND(O202&lt;&gt;"",AR202=""),"Committed date missing; ","")&amp;IF(AND(ISNUMBER(J202),ISNUMBER(B202),N(J202)&lt;N(B202)),"Approval dated before PR; ","")&amp;IF(AND(ISNUMBER(P202),ISNUMBER(J202),N(P202)&lt;N(J202)),"PO dated before approval; ","")&amp;IF(AND(ISNUMBER(AY202),ISNUMBER(AS202),N(AY202)&lt;N(AS202)),"Close before in-house start; ","")&amp;IF(AND(AY202&lt;&gt;"",AS202=""),"In-house start date missing; ","")&amp;IF(AND(AY202&lt;&gt;"",AT202=""),"Qty received missing; ","")&amp;IF(AND(AY202&lt;&gt;"",BF202=""),"QC status missing; ","")&amp;IF(N(AT202)&gt;N(Q202)*1.05,"Received &gt; ordered +5%; ","")&amp;IF(AND(N(AI202)&gt;0,AE202=""),"Payment terms missing; ","")&amp;IF(N(AI202)&gt;N(AD202)+1,"Overpaid vs PO; ","")&amp;IF(AND(N(AK202)&gt;0,AY202&lt;&gt;"",AO202=""),"Payment due date missing; ","")="","OK",IF(AND(A202&lt;&gt;"",OR(B202="",C202="",E202="",F202="",H202="")),"PR info missing; ","")&amp;IF(AND(K202="Approved",OR(J202="",I202="")),"Approval ref/date missing; ","")&amp;IF(AND(O202&lt;&gt;"",K202&lt;&gt;"Approved"),"PO without approval; ","")&amp;IF(AND(O202&lt;&gt;"",OR(P202="",M202="",Q202="",S202="",T202="")),"PO details missing; ","")&amp;IF(AND(O202&lt;&gt;"",AR202=""),"Committed date missing; ","")&amp;IF(AND(ISNUMBER(J202),ISNUMBER(B202),N(J202)&lt;N(B202)),"Approval dated before PR; ","")&amp;IF(AND(ISNUMBER(P202),ISNUMBER(J202),N(P202)&lt;N(J202)),"PO dated before approval; ","")&amp;IF(AND(ISNUMBER(AY202),ISNUMBER(AS202),N(AY202)&lt;N(AS202)),"Close before in-house start; ","")&amp;IF(AND(AY202&lt;&gt;"",AS202=""),"In-house start date missing; ","")&amp;IF(AND(AY202&lt;&gt;"",AT202=""),"Qty received missing; ","")&amp;IF(AND(AY202&lt;&gt;"",BF202=""),"QC status missing; ","")&amp;IF(N(AT202)&gt;N(Q202)*1.05,"Received &gt; ordered +5%; ","")&amp;IF(AND(N(AI202)&gt;0,AE202=""),"Payment terms missing; ","")&amp;IF(N(AI202)&gt;N(AD202)+1,"Overpaid vs PO; ","")&amp;IF(AND(N(AK202)&gt;0,AY202&lt;&gt;"",AO202=""),"Payment due date missing; ","")))</f>
        <v/>
      </c>
      <c r="BK202" s="76" t="str">
        <f aca="false">IF(A202="","",IF(N(AP202)&gt;0,"Pay supplier: "&amp;N(AP202)&amp;" days overdue; ","")&amp;IF(AND(O202&lt;&gt;"",AY202="",N(BD202)&gt;0),"Expedite delivery: "&amp;N(BD202)&amp;" days late; ","")&amp;IF(AND(BI202="Awaiting Approval",ISNUMBER(B202),Settings!$B$4-N(B202)&gt;Settings!$B$19),"Get approval: PR waiting "&amp;(Settings!$B$4-N(B202))&amp;" days; ","")&amp;IF(AND(BI202="Approved - PO Pending",ISNUMBER(J202),Settings!$B$4-N(J202)&gt;Settings!$B$20),"Issue PO: approved "&amp;(Settings!$B$4-N(J202))&amp;" days ago; ","")&amp;IF(AND(OR(BI202="Awaiting Approval",BI202="Approved - PO Pending"),N(AB202)&gt;Settings!$B$7),"Negotiate price: "&amp;TEXT(AB202,"0%")&amp;" above budget; ","")&amp;IF(LEFT(AX202,12)="Short Closed","Short closed: claim balance / credit note"&amp;IF(N(AL202)&gt;0," BDT "&amp;TEXT(AL202,"#,##0"),"")&amp;"; ","")&amp;IF(BF202="Rejected","QC rejected: return / replace; ","")&amp;IF(AND(O202&lt;&gt;"",AY202="",N(AL202)&gt;0,N(BD202)&gt;0),"Advance at risk: BDT "&amp;TEXT(AL202,"#,##0")&amp;" paid, goods late; ","")&amp;IF(AND(BJ202&lt;&gt;"",BJ202&lt;&gt;"OK"),"Fix data entry (see Data Check); ",""))</f>
        <v/>
      </c>
      <c r="BL202" s="73" t="str">
        <f aca="false">IF(BK202="","",IF(OR(N(AP202)&gt;30,AND(AY202="",N(BD202)&gt;15),BF202="Rejected",AND(LEFT(AX202,12)="Short Closed",N(AL202)&gt;0),AND(O202&lt;&gt;"",AY202="",N(AL202)&gt;0,N(BD202)&gt;0)),"High",IF(OR(N(AP202)&gt;0,AND(AY202="",N(BD202)&gt;7),LEFT(AX202,12)="Short Closed",AND(BI202="Awaiting Approval",ISNUMBER(B202),Settings!$B$4-N(B202)&gt;2*Settings!$B$19),AND(BI202="Approved - PO Pending",ISNUMBER(J202),Settings!$B$4-N(J202)&gt;2*Settings!$B$20)),"Medium","Low")))</f>
        <v/>
      </c>
      <c r="BM202" s="77" t="str">
        <f aca="false">IF(BL202="","",IF(BL202="High",1,IF(BL202="Medium",2,3))*10000+ROW())</f>
        <v/>
      </c>
      <c r="BN202" s="62"/>
    </row>
    <row r="203" customFormat="false" ht="18" hidden="false" customHeight="true" outlineLevel="0" collapsed="false">
      <c r="A203" s="60"/>
      <c r="B203" s="61"/>
      <c r="C203" s="62"/>
      <c r="D203" s="62"/>
      <c r="E203" s="62"/>
      <c r="F203" s="62"/>
      <c r="G203" s="62"/>
      <c r="H203" s="60"/>
      <c r="I203" s="60"/>
      <c r="J203" s="61"/>
      <c r="K203" s="60"/>
      <c r="L203" s="60"/>
      <c r="M203" s="62"/>
      <c r="N203" s="60"/>
      <c r="O203" s="60"/>
      <c r="P203" s="61"/>
      <c r="Q203" s="63"/>
      <c r="R203" s="60"/>
      <c r="S203" s="64"/>
      <c r="T203" s="60"/>
      <c r="U203" s="65" t="str">
        <f aca="false">IF(AND(T203="",S203=""),"",IF(T203="",1,IFERROR(INDEX(Settings!$B$12:$B$16,MATCH(T203,Settings!$A$12:$A$16,0)),1)))</f>
        <v/>
      </c>
      <c r="V203" s="64"/>
      <c r="W203" s="66" t="str">
        <f aca="false">IF(OR(Q203="",S203=""),"",Q203*S203*U203)</f>
        <v/>
      </c>
      <c r="X203" s="65" t="str">
        <f aca="false">IF(OR(W203="",N(Q203)=0),"",W203/Q203)</f>
        <v/>
      </c>
      <c r="Y203" s="65" t="str">
        <f aca="false">IF(OR(X203="",P203="",E203=""),"",IF(_xlfn.MAXIFS($P$6:$P$205,$E$6:$E$205,E203,$P$6:$P$205,"&lt;"&amp;P203,$X$6:$X$205,"&gt;0")=0,"",IFERROR(AVERAGEIFS($X$6:$X$205,$E$6:$E$205,E203,$P$6:$P$205,_xlfn.MAXIFS($P$6:$P$205,$E$6:$E$205,E203,$P$6:$P$205,"&lt;"&amp;P203,$X$6:$X$205,"&gt;0"),$X$6:$X$205,"&gt;0"),"")))</f>
        <v/>
      </c>
      <c r="Z203" s="67" t="str">
        <f aca="false">IF(OR(Y203="",X203=""),"",X203/Y203-1)</f>
        <v/>
      </c>
      <c r="AA203" s="68" t="str">
        <f aca="false">IF(OR(W203="",V203=""),"",W203-Q203*V203)</f>
        <v/>
      </c>
      <c r="AB203" s="69" t="str">
        <f aca="false">IF(AA203="","",IF(N(V203)*N(Q203)=0,"",AA203/(Q203*V203)))</f>
        <v/>
      </c>
      <c r="AC203" s="70"/>
      <c r="AD203" s="66" t="str">
        <f aca="false">IF(W203="","",W203*(1+N(AC203)))</f>
        <v/>
      </c>
      <c r="AE203" s="62"/>
      <c r="AF203" s="71"/>
      <c r="AG203" s="71"/>
      <c r="AH203" s="71"/>
      <c r="AI203" s="66" t="str">
        <f aca="false">IF(A203="","",N(AF203)+N(AG203)+N(AH203))</f>
        <v/>
      </c>
      <c r="AJ203" s="72" t="str">
        <f aca="false">IF(AD203="","",IF(N(AD203)=0,"",AI203/AD203))</f>
        <v/>
      </c>
      <c r="AK203" s="66" t="str">
        <f aca="false">IF(AD203="","",IF(AD203-AI203&lt;1,0,ROUND(AD203-AI203,2)))</f>
        <v/>
      </c>
      <c r="AL203" s="66" t="str">
        <f aca="false">IF(OR(O203="",AD203=""),"",MAX(0,ROUND(N(AI203)-(AD203-N(AW203)),0)))</f>
        <v/>
      </c>
      <c r="AM203" s="73" t="str">
        <f aca="false">IF(A203="","",IF(O203="","No PO Yet",IF(AI203=0,"Not Paid",IF(N(AJ203)&gt;=0.999,"Fully Paid",IF(N(AG203)+N(AH203)&gt;0,"Partially Paid","Initial / Advance Paid")))))</f>
        <v/>
      </c>
      <c r="AN203" s="61"/>
      <c r="AO203" s="61"/>
      <c r="AP203" s="74" t="str">
        <f aca="false">IF(AK203="","",IF(OR(N(AK203)=0,AO203=""),"",MAX(0,Settings!$B$4-AO203)))</f>
        <v/>
      </c>
      <c r="AQ203" s="73" t="str">
        <f aca="false">IF(AK203="","",IF(N(AK203)&lt;=0,"",IF(AO203="","No Due Date",IF(Settings!$B$4&lt;=AO203,"Not Yet Due",IF(Settings!$B$4-AO203&lt;=30,"1-30 Days",IF(Settings!$B$4-AO203&lt;=60,"31-60 Days",IF(Settings!$B$4-AO203&lt;=90,"61-90 Days","90+ Days")))))))</f>
        <v/>
      </c>
      <c r="AR203" s="61"/>
      <c r="AS203" s="61"/>
      <c r="AT203" s="63"/>
      <c r="AU203" s="72" t="str">
        <f aca="false">IF(Q203="","",IF(N(Q203)=0,"",N(AT203)/Q203))</f>
        <v/>
      </c>
      <c r="AV203" s="75" t="str">
        <f aca="false">IF(OR(A203="",O203="",Q203=""),"",MAX(0,Q203-N(AT203)))</f>
        <v/>
      </c>
      <c r="AW203" s="66" t="str">
        <f aca="false">IF(OR(AV203="",W203=""),"",IF(N(Q203)=0,0,AV203/Q203*AD203))</f>
        <v/>
      </c>
      <c r="AX203" s="76" t="str">
        <f aca="false">IF(A203="","",IF(O203="","No PO Yet",IF(Q203="","Order Qty Missing",IF(N(AT203)&gt;=Q203,IF(N(AT203)&gt;Q203,"All In-house (+"&amp;TEXT(N(AT203)-Q203,"#,##0")&amp;" "&amp;R203&amp;" excess)","All In-house"),IF(AY203&lt;&gt;"","Short Closed - "&amp;TEXT(AV203,"#,##0")&amp;" "&amp;R203&amp;" not received",IF(N(AT203)=0,"Not Started - "&amp;TEXT(AV203,"#,##0")&amp;" "&amp;R203&amp;" pending","Pending "&amp;TEXT(AV203,"#,##0")&amp;" "&amp;R203&amp;" ("&amp;TEXT(AU203,"0%")&amp;" received)"))))))</f>
        <v/>
      </c>
      <c r="AY203" s="61"/>
      <c r="AZ203" s="77" t="str">
        <f aca="false">IF(OR(B203="",J203=""),"",J203-B203)</f>
        <v/>
      </c>
      <c r="BA203" s="77" t="str">
        <f aca="false">IF(OR(J203="",P203=""),"",P203-J203)</f>
        <v/>
      </c>
      <c r="BB203" s="77" t="str">
        <f aca="false">IF(OR(P203="",AY203=""),"",AY203-P203)</f>
        <v/>
      </c>
      <c r="BC203" s="77" t="str">
        <f aca="false">IF(OR(B203="",AY203=""),"",AY203-B203)</f>
        <v/>
      </c>
      <c r="BD203" s="74" t="str">
        <f aca="false">IF(OR(AR203="",O203=""),"",MAX(0,IF(AY203="",Settings!$B$4,AY203)-AR203))</f>
        <v/>
      </c>
      <c r="BE203" s="73" t="str">
        <f aca="false">IF(OR(AY203="",AR203=""),"",IF(AND(AY203&lt;=AR203,N(AU203)&gt;=Settings!$B$6),"OTIF","Not OTIF"))</f>
        <v/>
      </c>
      <c r="BF203" s="60"/>
      <c r="BG203" s="62"/>
      <c r="BH203" s="78"/>
      <c r="BI203" s="76" t="str">
        <f aca="false">IF(A203="","",IF(K203="Rejected","Rejected",IF(K203&lt;&gt;"Approved","Awaiting Approval",IF(O203="","Approved - PO Pending",IF(AY203&lt;&gt;"",IF(N(AJ203)&gt;=0.999,"Closed","In-house Closed - Payment Due"),IF(AS203&lt;&gt;"","Receiving In-house","PO Issued - Awaiting Delivery"))))))</f>
        <v/>
      </c>
      <c r="BJ203" s="76" t="str">
        <f aca="false">IF(A203="","",IF(IF(AND(A203&lt;&gt;"",OR(B203="",C203="",E203="",F203="",H203="")),"PR info missing; ","")&amp;IF(AND(K203="Approved",OR(J203="",I203="")),"Approval ref/date missing; ","")&amp;IF(AND(O203&lt;&gt;"",K203&lt;&gt;"Approved"),"PO without approval; ","")&amp;IF(AND(O203&lt;&gt;"",OR(P203="",M203="",Q203="",S203="",T203="")),"PO details missing; ","")&amp;IF(AND(O203&lt;&gt;"",AR203=""),"Committed date missing; ","")&amp;IF(AND(ISNUMBER(J203),ISNUMBER(B203),N(J203)&lt;N(B203)),"Approval dated before PR; ","")&amp;IF(AND(ISNUMBER(P203),ISNUMBER(J203),N(P203)&lt;N(J203)),"PO dated before approval; ","")&amp;IF(AND(ISNUMBER(AY203),ISNUMBER(AS203),N(AY203)&lt;N(AS203)),"Close before in-house start; ","")&amp;IF(AND(AY203&lt;&gt;"",AS203=""),"In-house start date missing; ","")&amp;IF(AND(AY203&lt;&gt;"",AT203=""),"Qty received missing; ","")&amp;IF(AND(AY203&lt;&gt;"",BF203=""),"QC status missing; ","")&amp;IF(N(AT203)&gt;N(Q203)*1.05,"Received &gt; ordered +5%; ","")&amp;IF(AND(N(AI203)&gt;0,AE203=""),"Payment terms missing; ","")&amp;IF(N(AI203)&gt;N(AD203)+1,"Overpaid vs PO; ","")&amp;IF(AND(N(AK203)&gt;0,AY203&lt;&gt;"",AO203=""),"Payment due date missing; ","")="","OK",IF(AND(A203&lt;&gt;"",OR(B203="",C203="",E203="",F203="",H203="")),"PR info missing; ","")&amp;IF(AND(K203="Approved",OR(J203="",I203="")),"Approval ref/date missing; ","")&amp;IF(AND(O203&lt;&gt;"",K203&lt;&gt;"Approved"),"PO without approval; ","")&amp;IF(AND(O203&lt;&gt;"",OR(P203="",M203="",Q203="",S203="",T203="")),"PO details missing; ","")&amp;IF(AND(O203&lt;&gt;"",AR203=""),"Committed date missing; ","")&amp;IF(AND(ISNUMBER(J203),ISNUMBER(B203),N(J203)&lt;N(B203)),"Approval dated before PR; ","")&amp;IF(AND(ISNUMBER(P203),ISNUMBER(J203),N(P203)&lt;N(J203)),"PO dated before approval; ","")&amp;IF(AND(ISNUMBER(AY203),ISNUMBER(AS203),N(AY203)&lt;N(AS203)),"Close before in-house start; ","")&amp;IF(AND(AY203&lt;&gt;"",AS203=""),"In-house start date missing; ","")&amp;IF(AND(AY203&lt;&gt;"",AT203=""),"Qty received missing; ","")&amp;IF(AND(AY203&lt;&gt;"",BF203=""),"QC status missing; ","")&amp;IF(N(AT203)&gt;N(Q203)*1.05,"Received &gt; ordered +5%; ","")&amp;IF(AND(N(AI203)&gt;0,AE203=""),"Payment terms missing; ","")&amp;IF(N(AI203)&gt;N(AD203)+1,"Overpaid vs PO; ","")&amp;IF(AND(N(AK203)&gt;0,AY203&lt;&gt;"",AO203=""),"Payment due date missing; ","")))</f>
        <v/>
      </c>
      <c r="BK203" s="76" t="str">
        <f aca="false">IF(A203="","",IF(N(AP203)&gt;0,"Pay supplier: "&amp;N(AP203)&amp;" days overdue; ","")&amp;IF(AND(O203&lt;&gt;"",AY203="",N(BD203)&gt;0),"Expedite delivery: "&amp;N(BD203)&amp;" days late; ","")&amp;IF(AND(BI203="Awaiting Approval",ISNUMBER(B203),Settings!$B$4-N(B203)&gt;Settings!$B$19),"Get approval: PR waiting "&amp;(Settings!$B$4-N(B203))&amp;" days; ","")&amp;IF(AND(BI203="Approved - PO Pending",ISNUMBER(J203),Settings!$B$4-N(J203)&gt;Settings!$B$20),"Issue PO: approved "&amp;(Settings!$B$4-N(J203))&amp;" days ago; ","")&amp;IF(AND(OR(BI203="Awaiting Approval",BI203="Approved - PO Pending"),N(AB203)&gt;Settings!$B$7),"Negotiate price: "&amp;TEXT(AB203,"0%")&amp;" above budget; ","")&amp;IF(LEFT(AX203,12)="Short Closed","Short closed: claim balance / credit note"&amp;IF(N(AL203)&gt;0," BDT "&amp;TEXT(AL203,"#,##0"),"")&amp;"; ","")&amp;IF(BF203="Rejected","QC rejected: return / replace; ","")&amp;IF(AND(O203&lt;&gt;"",AY203="",N(AL203)&gt;0,N(BD203)&gt;0),"Advance at risk: BDT "&amp;TEXT(AL203,"#,##0")&amp;" paid, goods late; ","")&amp;IF(AND(BJ203&lt;&gt;"",BJ203&lt;&gt;"OK"),"Fix data entry (see Data Check); ",""))</f>
        <v/>
      </c>
      <c r="BL203" s="73" t="str">
        <f aca="false">IF(BK203="","",IF(OR(N(AP203)&gt;30,AND(AY203="",N(BD203)&gt;15),BF203="Rejected",AND(LEFT(AX203,12)="Short Closed",N(AL203)&gt;0),AND(O203&lt;&gt;"",AY203="",N(AL203)&gt;0,N(BD203)&gt;0)),"High",IF(OR(N(AP203)&gt;0,AND(AY203="",N(BD203)&gt;7),LEFT(AX203,12)="Short Closed",AND(BI203="Awaiting Approval",ISNUMBER(B203),Settings!$B$4-N(B203)&gt;2*Settings!$B$19),AND(BI203="Approved - PO Pending",ISNUMBER(J203),Settings!$B$4-N(J203)&gt;2*Settings!$B$20)),"Medium","Low")))</f>
        <v/>
      </c>
      <c r="BM203" s="77" t="str">
        <f aca="false">IF(BL203="","",IF(BL203="High",1,IF(BL203="Medium",2,3))*10000+ROW())</f>
        <v/>
      </c>
      <c r="BN203" s="62"/>
    </row>
    <row r="204" customFormat="false" ht="18" hidden="false" customHeight="true" outlineLevel="0" collapsed="false">
      <c r="A204" s="60"/>
      <c r="B204" s="61"/>
      <c r="C204" s="62"/>
      <c r="D204" s="62"/>
      <c r="E204" s="62"/>
      <c r="F204" s="62"/>
      <c r="G204" s="62"/>
      <c r="H204" s="60"/>
      <c r="I204" s="60"/>
      <c r="J204" s="61"/>
      <c r="K204" s="60"/>
      <c r="L204" s="60"/>
      <c r="M204" s="62"/>
      <c r="N204" s="60"/>
      <c r="O204" s="60"/>
      <c r="P204" s="61"/>
      <c r="Q204" s="63"/>
      <c r="R204" s="60"/>
      <c r="S204" s="64"/>
      <c r="T204" s="60"/>
      <c r="U204" s="65" t="str">
        <f aca="false">IF(AND(T204="",S204=""),"",IF(T204="",1,IFERROR(INDEX(Settings!$B$12:$B$16,MATCH(T204,Settings!$A$12:$A$16,0)),1)))</f>
        <v/>
      </c>
      <c r="V204" s="64"/>
      <c r="W204" s="66" t="str">
        <f aca="false">IF(OR(Q204="",S204=""),"",Q204*S204*U204)</f>
        <v/>
      </c>
      <c r="X204" s="65" t="str">
        <f aca="false">IF(OR(W204="",N(Q204)=0),"",W204/Q204)</f>
        <v/>
      </c>
      <c r="Y204" s="65" t="str">
        <f aca="false">IF(OR(X204="",P204="",E204=""),"",IF(_xlfn.MAXIFS($P$6:$P$205,$E$6:$E$205,E204,$P$6:$P$205,"&lt;"&amp;P204,$X$6:$X$205,"&gt;0")=0,"",IFERROR(AVERAGEIFS($X$6:$X$205,$E$6:$E$205,E204,$P$6:$P$205,_xlfn.MAXIFS($P$6:$P$205,$E$6:$E$205,E204,$P$6:$P$205,"&lt;"&amp;P204,$X$6:$X$205,"&gt;0"),$X$6:$X$205,"&gt;0"),"")))</f>
        <v/>
      </c>
      <c r="Z204" s="67" t="str">
        <f aca="false">IF(OR(Y204="",X204=""),"",X204/Y204-1)</f>
        <v/>
      </c>
      <c r="AA204" s="68" t="str">
        <f aca="false">IF(OR(W204="",V204=""),"",W204-Q204*V204)</f>
        <v/>
      </c>
      <c r="AB204" s="69" t="str">
        <f aca="false">IF(AA204="","",IF(N(V204)*N(Q204)=0,"",AA204/(Q204*V204)))</f>
        <v/>
      </c>
      <c r="AC204" s="70"/>
      <c r="AD204" s="66" t="str">
        <f aca="false">IF(W204="","",W204*(1+N(AC204)))</f>
        <v/>
      </c>
      <c r="AE204" s="62"/>
      <c r="AF204" s="71"/>
      <c r="AG204" s="71"/>
      <c r="AH204" s="71"/>
      <c r="AI204" s="66" t="str">
        <f aca="false">IF(A204="","",N(AF204)+N(AG204)+N(AH204))</f>
        <v/>
      </c>
      <c r="AJ204" s="72" t="str">
        <f aca="false">IF(AD204="","",IF(N(AD204)=0,"",AI204/AD204))</f>
        <v/>
      </c>
      <c r="AK204" s="66" t="str">
        <f aca="false">IF(AD204="","",IF(AD204-AI204&lt;1,0,ROUND(AD204-AI204,2)))</f>
        <v/>
      </c>
      <c r="AL204" s="66" t="str">
        <f aca="false">IF(OR(O204="",AD204=""),"",MAX(0,ROUND(N(AI204)-(AD204-N(AW204)),0)))</f>
        <v/>
      </c>
      <c r="AM204" s="73" t="str">
        <f aca="false">IF(A204="","",IF(O204="","No PO Yet",IF(AI204=0,"Not Paid",IF(N(AJ204)&gt;=0.999,"Fully Paid",IF(N(AG204)+N(AH204)&gt;0,"Partially Paid","Initial / Advance Paid")))))</f>
        <v/>
      </c>
      <c r="AN204" s="61"/>
      <c r="AO204" s="61"/>
      <c r="AP204" s="74" t="str">
        <f aca="false">IF(AK204="","",IF(OR(N(AK204)=0,AO204=""),"",MAX(0,Settings!$B$4-AO204)))</f>
        <v/>
      </c>
      <c r="AQ204" s="73" t="str">
        <f aca="false">IF(AK204="","",IF(N(AK204)&lt;=0,"",IF(AO204="","No Due Date",IF(Settings!$B$4&lt;=AO204,"Not Yet Due",IF(Settings!$B$4-AO204&lt;=30,"1-30 Days",IF(Settings!$B$4-AO204&lt;=60,"31-60 Days",IF(Settings!$B$4-AO204&lt;=90,"61-90 Days","90+ Days")))))))</f>
        <v/>
      </c>
      <c r="AR204" s="61"/>
      <c r="AS204" s="61"/>
      <c r="AT204" s="63"/>
      <c r="AU204" s="72" t="str">
        <f aca="false">IF(Q204="","",IF(N(Q204)=0,"",N(AT204)/Q204))</f>
        <v/>
      </c>
      <c r="AV204" s="75" t="str">
        <f aca="false">IF(OR(A204="",O204="",Q204=""),"",MAX(0,Q204-N(AT204)))</f>
        <v/>
      </c>
      <c r="AW204" s="66" t="str">
        <f aca="false">IF(OR(AV204="",W204=""),"",IF(N(Q204)=0,0,AV204/Q204*AD204))</f>
        <v/>
      </c>
      <c r="AX204" s="76" t="str">
        <f aca="false">IF(A204="","",IF(O204="","No PO Yet",IF(Q204="","Order Qty Missing",IF(N(AT204)&gt;=Q204,IF(N(AT204)&gt;Q204,"All In-house (+"&amp;TEXT(N(AT204)-Q204,"#,##0")&amp;" "&amp;R204&amp;" excess)","All In-house"),IF(AY204&lt;&gt;"","Short Closed - "&amp;TEXT(AV204,"#,##0")&amp;" "&amp;R204&amp;" not received",IF(N(AT204)=0,"Not Started - "&amp;TEXT(AV204,"#,##0")&amp;" "&amp;R204&amp;" pending","Pending "&amp;TEXT(AV204,"#,##0")&amp;" "&amp;R204&amp;" ("&amp;TEXT(AU204,"0%")&amp;" received)"))))))</f>
        <v/>
      </c>
      <c r="AY204" s="61"/>
      <c r="AZ204" s="77" t="str">
        <f aca="false">IF(OR(B204="",J204=""),"",J204-B204)</f>
        <v/>
      </c>
      <c r="BA204" s="77" t="str">
        <f aca="false">IF(OR(J204="",P204=""),"",P204-J204)</f>
        <v/>
      </c>
      <c r="BB204" s="77" t="str">
        <f aca="false">IF(OR(P204="",AY204=""),"",AY204-P204)</f>
        <v/>
      </c>
      <c r="BC204" s="77" t="str">
        <f aca="false">IF(OR(B204="",AY204=""),"",AY204-B204)</f>
        <v/>
      </c>
      <c r="BD204" s="74" t="str">
        <f aca="false">IF(OR(AR204="",O204=""),"",MAX(0,IF(AY204="",Settings!$B$4,AY204)-AR204))</f>
        <v/>
      </c>
      <c r="BE204" s="73" t="str">
        <f aca="false">IF(OR(AY204="",AR204=""),"",IF(AND(AY204&lt;=AR204,N(AU204)&gt;=Settings!$B$6),"OTIF","Not OTIF"))</f>
        <v/>
      </c>
      <c r="BF204" s="60"/>
      <c r="BG204" s="62"/>
      <c r="BH204" s="78"/>
      <c r="BI204" s="76" t="str">
        <f aca="false">IF(A204="","",IF(K204="Rejected","Rejected",IF(K204&lt;&gt;"Approved","Awaiting Approval",IF(O204="","Approved - PO Pending",IF(AY204&lt;&gt;"",IF(N(AJ204)&gt;=0.999,"Closed","In-house Closed - Payment Due"),IF(AS204&lt;&gt;"","Receiving In-house","PO Issued - Awaiting Delivery"))))))</f>
        <v/>
      </c>
      <c r="BJ204" s="76" t="str">
        <f aca="false">IF(A204="","",IF(IF(AND(A204&lt;&gt;"",OR(B204="",C204="",E204="",F204="",H204="")),"PR info missing; ","")&amp;IF(AND(K204="Approved",OR(J204="",I204="")),"Approval ref/date missing; ","")&amp;IF(AND(O204&lt;&gt;"",K204&lt;&gt;"Approved"),"PO without approval; ","")&amp;IF(AND(O204&lt;&gt;"",OR(P204="",M204="",Q204="",S204="",T204="")),"PO details missing; ","")&amp;IF(AND(O204&lt;&gt;"",AR204=""),"Committed date missing; ","")&amp;IF(AND(ISNUMBER(J204),ISNUMBER(B204),N(J204)&lt;N(B204)),"Approval dated before PR; ","")&amp;IF(AND(ISNUMBER(P204),ISNUMBER(J204),N(P204)&lt;N(J204)),"PO dated before approval; ","")&amp;IF(AND(ISNUMBER(AY204),ISNUMBER(AS204),N(AY204)&lt;N(AS204)),"Close before in-house start; ","")&amp;IF(AND(AY204&lt;&gt;"",AS204=""),"In-house start date missing; ","")&amp;IF(AND(AY204&lt;&gt;"",AT204=""),"Qty received missing; ","")&amp;IF(AND(AY204&lt;&gt;"",BF204=""),"QC status missing; ","")&amp;IF(N(AT204)&gt;N(Q204)*1.05,"Received &gt; ordered +5%; ","")&amp;IF(AND(N(AI204)&gt;0,AE204=""),"Payment terms missing; ","")&amp;IF(N(AI204)&gt;N(AD204)+1,"Overpaid vs PO; ","")&amp;IF(AND(N(AK204)&gt;0,AY204&lt;&gt;"",AO204=""),"Payment due date missing; ","")="","OK",IF(AND(A204&lt;&gt;"",OR(B204="",C204="",E204="",F204="",H204="")),"PR info missing; ","")&amp;IF(AND(K204="Approved",OR(J204="",I204="")),"Approval ref/date missing; ","")&amp;IF(AND(O204&lt;&gt;"",K204&lt;&gt;"Approved"),"PO without approval; ","")&amp;IF(AND(O204&lt;&gt;"",OR(P204="",M204="",Q204="",S204="",T204="")),"PO details missing; ","")&amp;IF(AND(O204&lt;&gt;"",AR204=""),"Committed date missing; ","")&amp;IF(AND(ISNUMBER(J204),ISNUMBER(B204),N(J204)&lt;N(B204)),"Approval dated before PR; ","")&amp;IF(AND(ISNUMBER(P204),ISNUMBER(J204),N(P204)&lt;N(J204)),"PO dated before approval; ","")&amp;IF(AND(ISNUMBER(AY204),ISNUMBER(AS204),N(AY204)&lt;N(AS204)),"Close before in-house start; ","")&amp;IF(AND(AY204&lt;&gt;"",AS204=""),"In-house start date missing; ","")&amp;IF(AND(AY204&lt;&gt;"",AT204=""),"Qty received missing; ","")&amp;IF(AND(AY204&lt;&gt;"",BF204=""),"QC status missing; ","")&amp;IF(N(AT204)&gt;N(Q204)*1.05,"Received &gt; ordered +5%; ","")&amp;IF(AND(N(AI204)&gt;0,AE204=""),"Payment terms missing; ","")&amp;IF(N(AI204)&gt;N(AD204)+1,"Overpaid vs PO; ","")&amp;IF(AND(N(AK204)&gt;0,AY204&lt;&gt;"",AO204=""),"Payment due date missing; ","")))</f>
        <v/>
      </c>
      <c r="BK204" s="76" t="str">
        <f aca="false">IF(A204="","",IF(N(AP204)&gt;0,"Pay supplier: "&amp;N(AP204)&amp;" days overdue; ","")&amp;IF(AND(O204&lt;&gt;"",AY204="",N(BD204)&gt;0),"Expedite delivery: "&amp;N(BD204)&amp;" days late; ","")&amp;IF(AND(BI204="Awaiting Approval",ISNUMBER(B204),Settings!$B$4-N(B204)&gt;Settings!$B$19),"Get approval: PR waiting "&amp;(Settings!$B$4-N(B204))&amp;" days; ","")&amp;IF(AND(BI204="Approved - PO Pending",ISNUMBER(J204),Settings!$B$4-N(J204)&gt;Settings!$B$20),"Issue PO: approved "&amp;(Settings!$B$4-N(J204))&amp;" days ago; ","")&amp;IF(AND(OR(BI204="Awaiting Approval",BI204="Approved - PO Pending"),N(AB204)&gt;Settings!$B$7),"Negotiate price: "&amp;TEXT(AB204,"0%")&amp;" above budget; ","")&amp;IF(LEFT(AX204,12)="Short Closed","Short closed: claim balance / credit note"&amp;IF(N(AL204)&gt;0," BDT "&amp;TEXT(AL204,"#,##0"),"")&amp;"; ","")&amp;IF(BF204="Rejected","QC rejected: return / replace; ","")&amp;IF(AND(O204&lt;&gt;"",AY204="",N(AL204)&gt;0,N(BD204)&gt;0),"Advance at risk: BDT "&amp;TEXT(AL204,"#,##0")&amp;" paid, goods late; ","")&amp;IF(AND(BJ204&lt;&gt;"",BJ204&lt;&gt;"OK"),"Fix data entry (see Data Check); ",""))</f>
        <v/>
      </c>
      <c r="BL204" s="73" t="str">
        <f aca="false">IF(BK204="","",IF(OR(N(AP204)&gt;30,AND(AY204="",N(BD204)&gt;15),BF204="Rejected",AND(LEFT(AX204,12)="Short Closed",N(AL204)&gt;0),AND(O204&lt;&gt;"",AY204="",N(AL204)&gt;0,N(BD204)&gt;0)),"High",IF(OR(N(AP204)&gt;0,AND(AY204="",N(BD204)&gt;7),LEFT(AX204,12)="Short Closed",AND(BI204="Awaiting Approval",ISNUMBER(B204),Settings!$B$4-N(B204)&gt;2*Settings!$B$19),AND(BI204="Approved - PO Pending",ISNUMBER(J204),Settings!$B$4-N(J204)&gt;2*Settings!$B$20)),"Medium","Low")))</f>
        <v/>
      </c>
      <c r="BM204" s="77" t="str">
        <f aca="false">IF(BL204="","",IF(BL204="High",1,IF(BL204="Medium",2,3))*10000+ROW())</f>
        <v/>
      </c>
      <c r="BN204" s="62"/>
    </row>
    <row r="205" customFormat="false" ht="18" hidden="false" customHeight="true" outlineLevel="0" collapsed="false">
      <c r="A205" s="60"/>
      <c r="B205" s="61"/>
      <c r="C205" s="62"/>
      <c r="D205" s="62"/>
      <c r="E205" s="62"/>
      <c r="F205" s="62"/>
      <c r="G205" s="62"/>
      <c r="H205" s="60"/>
      <c r="I205" s="60"/>
      <c r="J205" s="61"/>
      <c r="K205" s="60"/>
      <c r="L205" s="60"/>
      <c r="M205" s="62"/>
      <c r="N205" s="60"/>
      <c r="O205" s="60"/>
      <c r="P205" s="61"/>
      <c r="Q205" s="63"/>
      <c r="R205" s="60"/>
      <c r="S205" s="64"/>
      <c r="T205" s="60"/>
      <c r="U205" s="65" t="str">
        <f aca="false">IF(AND(T205="",S205=""),"",IF(T205="",1,IFERROR(INDEX(Settings!$B$12:$B$16,MATCH(T205,Settings!$A$12:$A$16,0)),1)))</f>
        <v/>
      </c>
      <c r="V205" s="64"/>
      <c r="W205" s="66" t="str">
        <f aca="false">IF(OR(Q205="",S205=""),"",Q205*S205*U205)</f>
        <v/>
      </c>
      <c r="X205" s="65" t="str">
        <f aca="false">IF(OR(W205="",N(Q205)=0),"",W205/Q205)</f>
        <v/>
      </c>
      <c r="Y205" s="65" t="str">
        <f aca="false">IF(OR(X205="",P205="",E205=""),"",IF(_xlfn.MAXIFS($P$6:$P$205,$E$6:$E$205,E205,$P$6:$P$205,"&lt;"&amp;P205,$X$6:$X$205,"&gt;0")=0,"",IFERROR(AVERAGEIFS($X$6:$X$205,$E$6:$E$205,E205,$P$6:$P$205,_xlfn.MAXIFS($P$6:$P$205,$E$6:$E$205,E205,$P$6:$P$205,"&lt;"&amp;P205,$X$6:$X$205,"&gt;0"),$X$6:$X$205,"&gt;0"),"")))</f>
        <v/>
      </c>
      <c r="Z205" s="67" t="str">
        <f aca="false">IF(OR(Y205="",X205=""),"",X205/Y205-1)</f>
        <v/>
      </c>
      <c r="AA205" s="68" t="str">
        <f aca="false">IF(OR(W205="",V205=""),"",W205-Q205*V205)</f>
        <v/>
      </c>
      <c r="AB205" s="69" t="str">
        <f aca="false">IF(AA205="","",IF(N(V205)*N(Q205)=0,"",AA205/(Q205*V205)))</f>
        <v/>
      </c>
      <c r="AC205" s="70"/>
      <c r="AD205" s="66" t="str">
        <f aca="false">IF(W205="","",W205*(1+N(AC205)))</f>
        <v/>
      </c>
      <c r="AE205" s="62"/>
      <c r="AF205" s="71"/>
      <c r="AG205" s="71"/>
      <c r="AH205" s="71"/>
      <c r="AI205" s="66" t="str">
        <f aca="false">IF(A205="","",N(AF205)+N(AG205)+N(AH205))</f>
        <v/>
      </c>
      <c r="AJ205" s="72" t="str">
        <f aca="false">IF(AD205="","",IF(N(AD205)=0,"",AI205/AD205))</f>
        <v/>
      </c>
      <c r="AK205" s="66" t="str">
        <f aca="false">IF(AD205="","",IF(AD205-AI205&lt;1,0,ROUND(AD205-AI205,2)))</f>
        <v/>
      </c>
      <c r="AL205" s="66" t="str">
        <f aca="false">IF(OR(O205="",AD205=""),"",MAX(0,ROUND(N(AI205)-(AD205-N(AW205)),0)))</f>
        <v/>
      </c>
      <c r="AM205" s="73" t="str">
        <f aca="false">IF(A205="","",IF(O205="","No PO Yet",IF(AI205=0,"Not Paid",IF(N(AJ205)&gt;=0.999,"Fully Paid",IF(N(AG205)+N(AH205)&gt;0,"Partially Paid","Initial / Advance Paid")))))</f>
        <v/>
      </c>
      <c r="AN205" s="61"/>
      <c r="AO205" s="61"/>
      <c r="AP205" s="74" t="str">
        <f aca="false">IF(AK205="","",IF(OR(N(AK205)=0,AO205=""),"",MAX(0,Settings!$B$4-AO205)))</f>
        <v/>
      </c>
      <c r="AQ205" s="73" t="str">
        <f aca="false">IF(AK205="","",IF(N(AK205)&lt;=0,"",IF(AO205="","No Due Date",IF(Settings!$B$4&lt;=AO205,"Not Yet Due",IF(Settings!$B$4-AO205&lt;=30,"1-30 Days",IF(Settings!$B$4-AO205&lt;=60,"31-60 Days",IF(Settings!$B$4-AO205&lt;=90,"61-90 Days","90+ Days")))))))</f>
        <v/>
      </c>
      <c r="AR205" s="61"/>
      <c r="AS205" s="61"/>
      <c r="AT205" s="63"/>
      <c r="AU205" s="72" t="str">
        <f aca="false">IF(Q205="","",IF(N(Q205)=0,"",N(AT205)/Q205))</f>
        <v/>
      </c>
      <c r="AV205" s="75" t="str">
        <f aca="false">IF(OR(A205="",O205="",Q205=""),"",MAX(0,Q205-N(AT205)))</f>
        <v/>
      </c>
      <c r="AW205" s="66" t="str">
        <f aca="false">IF(OR(AV205="",W205=""),"",IF(N(Q205)=0,0,AV205/Q205*AD205))</f>
        <v/>
      </c>
      <c r="AX205" s="76" t="str">
        <f aca="false">IF(A205="","",IF(O205="","No PO Yet",IF(Q205="","Order Qty Missing",IF(N(AT205)&gt;=Q205,IF(N(AT205)&gt;Q205,"All In-house (+"&amp;TEXT(N(AT205)-Q205,"#,##0")&amp;" "&amp;R205&amp;" excess)","All In-house"),IF(AY205&lt;&gt;"","Short Closed - "&amp;TEXT(AV205,"#,##0")&amp;" "&amp;R205&amp;" not received",IF(N(AT205)=0,"Not Started - "&amp;TEXT(AV205,"#,##0")&amp;" "&amp;R205&amp;" pending","Pending "&amp;TEXT(AV205,"#,##0")&amp;" "&amp;R205&amp;" ("&amp;TEXT(AU205,"0%")&amp;" received)"))))))</f>
        <v/>
      </c>
      <c r="AY205" s="61"/>
      <c r="AZ205" s="77" t="str">
        <f aca="false">IF(OR(B205="",J205=""),"",J205-B205)</f>
        <v/>
      </c>
      <c r="BA205" s="77" t="str">
        <f aca="false">IF(OR(J205="",P205=""),"",P205-J205)</f>
        <v/>
      </c>
      <c r="BB205" s="77" t="str">
        <f aca="false">IF(OR(P205="",AY205=""),"",AY205-P205)</f>
        <v/>
      </c>
      <c r="BC205" s="77" t="str">
        <f aca="false">IF(OR(B205="",AY205=""),"",AY205-B205)</f>
        <v/>
      </c>
      <c r="BD205" s="74" t="str">
        <f aca="false">IF(OR(AR205="",O205=""),"",MAX(0,IF(AY205="",Settings!$B$4,AY205)-AR205))</f>
        <v/>
      </c>
      <c r="BE205" s="73" t="str">
        <f aca="false">IF(OR(AY205="",AR205=""),"",IF(AND(AY205&lt;=AR205,N(AU205)&gt;=Settings!$B$6),"OTIF","Not OTIF"))</f>
        <v/>
      </c>
      <c r="BF205" s="60"/>
      <c r="BG205" s="62"/>
      <c r="BH205" s="78"/>
      <c r="BI205" s="76" t="str">
        <f aca="false">IF(A205="","",IF(K205="Rejected","Rejected",IF(K205&lt;&gt;"Approved","Awaiting Approval",IF(O205="","Approved - PO Pending",IF(AY205&lt;&gt;"",IF(N(AJ205)&gt;=0.999,"Closed","In-house Closed - Payment Due"),IF(AS205&lt;&gt;"","Receiving In-house","PO Issued - Awaiting Delivery"))))))</f>
        <v/>
      </c>
      <c r="BJ205" s="76" t="str">
        <f aca="false">IF(A205="","",IF(IF(AND(A205&lt;&gt;"",OR(B205="",C205="",E205="",F205="",H205="")),"PR info missing; ","")&amp;IF(AND(K205="Approved",OR(J205="",I205="")),"Approval ref/date missing; ","")&amp;IF(AND(O205&lt;&gt;"",K205&lt;&gt;"Approved"),"PO without approval; ","")&amp;IF(AND(O205&lt;&gt;"",OR(P205="",M205="",Q205="",S205="",T205="")),"PO details missing; ","")&amp;IF(AND(O205&lt;&gt;"",AR205=""),"Committed date missing; ","")&amp;IF(AND(ISNUMBER(J205),ISNUMBER(B205),N(J205)&lt;N(B205)),"Approval dated before PR; ","")&amp;IF(AND(ISNUMBER(P205),ISNUMBER(J205),N(P205)&lt;N(J205)),"PO dated before approval; ","")&amp;IF(AND(ISNUMBER(AY205),ISNUMBER(AS205),N(AY205)&lt;N(AS205)),"Close before in-house start; ","")&amp;IF(AND(AY205&lt;&gt;"",AS205=""),"In-house start date missing; ","")&amp;IF(AND(AY205&lt;&gt;"",AT205=""),"Qty received missing; ","")&amp;IF(AND(AY205&lt;&gt;"",BF205=""),"QC status missing; ","")&amp;IF(N(AT205)&gt;N(Q205)*1.05,"Received &gt; ordered +5%; ","")&amp;IF(AND(N(AI205)&gt;0,AE205=""),"Payment terms missing; ","")&amp;IF(N(AI205)&gt;N(AD205)+1,"Overpaid vs PO; ","")&amp;IF(AND(N(AK205)&gt;0,AY205&lt;&gt;"",AO205=""),"Payment due date missing; ","")="","OK",IF(AND(A205&lt;&gt;"",OR(B205="",C205="",E205="",F205="",H205="")),"PR info missing; ","")&amp;IF(AND(K205="Approved",OR(J205="",I205="")),"Approval ref/date missing; ","")&amp;IF(AND(O205&lt;&gt;"",K205&lt;&gt;"Approved"),"PO without approval; ","")&amp;IF(AND(O205&lt;&gt;"",OR(P205="",M205="",Q205="",S205="",T205="")),"PO details missing; ","")&amp;IF(AND(O205&lt;&gt;"",AR205=""),"Committed date missing; ","")&amp;IF(AND(ISNUMBER(J205),ISNUMBER(B205),N(J205)&lt;N(B205)),"Approval dated before PR; ","")&amp;IF(AND(ISNUMBER(P205),ISNUMBER(J205),N(P205)&lt;N(J205)),"PO dated before approval; ","")&amp;IF(AND(ISNUMBER(AY205),ISNUMBER(AS205),N(AY205)&lt;N(AS205)),"Close before in-house start; ","")&amp;IF(AND(AY205&lt;&gt;"",AS205=""),"In-house start date missing; ","")&amp;IF(AND(AY205&lt;&gt;"",AT205=""),"Qty received missing; ","")&amp;IF(AND(AY205&lt;&gt;"",BF205=""),"QC status missing; ","")&amp;IF(N(AT205)&gt;N(Q205)*1.05,"Received &gt; ordered +5%; ","")&amp;IF(AND(N(AI205)&gt;0,AE205=""),"Payment terms missing; ","")&amp;IF(N(AI205)&gt;N(AD205)+1,"Overpaid vs PO; ","")&amp;IF(AND(N(AK205)&gt;0,AY205&lt;&gt;"",AO205=""),"Payment due date missing; ","")))</f>
        <v/>
      </c>
      <c r="BK205" s="76" t="str">
        <f aca="false">IF(A205="","",IF(N(AP205)&gt;0,"Pay supplier: "&amp;N(AP205)&amp;" days overdue; ","")&amp;IF(AND(O205&lt;&gt;"",AY205="",N(BD205)&gt;0),"Expedite delivery: "&amp;N(BD205)&amp;" days late; ","")&amp;IF(AND(BI205="Awaiting Approval",ISNUMBER(B205),Settings!$B$4-N(B205)&gt;Settings!$B$19),"Get approval: PR waiting "&amp;(Settings!$B$4-N(B205))&amp;" days; ","")&amp;IF(AND(BI205="Approved - PO Pending",ISNUMBER(J205),Settings!$B$4-N(J205)&gt;Settings!$B$20),"Issue PO: approved "&amp;(Settings!$B$4-N(J205))&amp;" days ago; ","")&amp;IF(AND(OR(BI205="Awaiting Approval",BI205="Approved - PO Pending"),N(AB205)&gt;Settings!$B$7),"Negotiate price: "&amp;TEXT(AB205,"0%")&amp;" above budget; ","")&amp;IF(LEFT(AX205,12)="Short Closed","Short closed: claim balance / credit note"&amp;IF(N(AL205)&gt;0," BDT "&amp;TEXT(AL205,"#,##0"),"")&amp;"; ","")&amp;IF(BF205="Rejected","QC rejected: return / replace; ","")&amp;IF(AND(O205&lt;&gt;"",AY205="",N(AL205)&gt;0,N(BD205)&gt;0),"Advance at risk: BDT "&amp;TEXT(AL205,"#,##0")&amp;" paid, goods late; ","")&amp;IF(AND(BJ205&lt;&gt;"",BJ205&lt;&gt;"OK"),"Fix data entry (see Data Check); ",""))</f>
        <v/>
      </c>
      <c r="BL205" s="73" t="str">
        <f aca="false">IF(BK205="","",IF(OR(N(AP205)&gt;30,AND(AY205="",N(BD205)&gt;15),BF205="Rejected",AND(LEFT(AX205,12)="Short Closed",N(AL205)&gt;0),AND(O205&lt;&gt;"",AY205="",N(AL205)&gt;0,N(BD205)&gt;0)),"High",IF(OR(N(AP205)&gt;0,AND(AY205="",N(BD205)&gt;7),LEFT(AX205,12)="Short Closed",AND(BI205="Awaiting Approval",ISNUMBER(B205),Settings!$B$4-N(B205)&gt;2*Settings!$B$19),AND(BI205="Approved - PO Pending",ISNUMBER(J205),Settings!$B$4-N(J205)&gt;2*Settings!$B$20)),"Medium","Low")))</f>
        <v/>
      </c>
      <c r="BM205" s="77" t="str">
        <f aca="false">IF(BL205="","",IF(BL205="High",1,IF(BL205="Medium",2,3))*10000+ROW())</f>
        <v/>
      </c>
      <c r="BN205" s="62"/>
    </row>
  </sheetData>
  <sheetProtection sheet="true" formatCells="false" formatColumns="false" formatRows="false" sort="false" autoFilter="false"/>
  <autoFilter ref="A5:BN205"/>
  <mergeCells count="5">
    <mergeCell ref="A4:L4"/>
    <mergeCell ref="M4:AD4"/>
    <mergeCell ref="AE4:AQ4"/>
    <mergeCell ref="AR4:BE4"/>
    <mergeCell ref="BF4:BN4"/>
  </mergeCells>
  <conditionalFormatting sqref="B6:B205">
    <cfRule type="expression" priority="2" aboveAverage="0" equalAverage="0" bottom="0" percent="0" rank="0" text="" dxfId="27">
      <formula>AND($A6&lt;&gt;"",B6="")</formula>
    </cfRule>
  </conditionalFormatting>
  <conditionalFormatting sqref="C6:C205">
    <cfRule type="expression" priority="3" aboveAverage="0" equalAverage="0" bottom="0" percent="0" rank="0" text="" dxfId="27">
      <formula>AND($A6&lt;&gt;"",C6="")</formula>
    </cfRule>
  </conditionalFormatting>
  <conditionalFormatting sqref="D6:D205">
    <cfRule type="expression" priority="4" aboveAverage="0" equalAverage="0" bottom="0" percent="0" rank="0" text="" dxfId="27">
      <formula>AND($A6&lt;&gt;"",D6="")</formula>
    </cfRule>
  </conditionalFormatting>
  <conditionalFormatting sqref="E6:E205">
    <cfRule type="expression" priority="5" aboveAverage="0" equalAverage="0" bottom="0" percent="0" rank="0" text="" dxfId="27">
      <formula>AND($A6&lt;&gt;"",E6="")</formula>
    </cfRule>
  </conditionalFormatting>
  <conditionalFormatting sqref="F6:F205">
    <cfRule type="expression" priority="6" aboveAverage="0" equalAverage="0" bottom="0" percent="0" rank="0" text="" dxfId="27">
      <formula>AND($A6&lt;&gt;"",F6="")</formula>
    </cfRule>
  </conditionalFormatting>
  <conditionalFormatting sqref="H6:H205">
    <cfRule type="expression" priority="7" aboveAverage="0" equalAverage="0" bottom="0" percent="0" rank="0" text="" dxfId="27">
      <formula>AND($A6&lt;&gt;"",H6="")</formula>
    </cfRule>
  </conditionalFormatting>
  <conditionalFormatting sqref="K6:K205">
    <cfRule type="expression" priority="8" aboveAverage="0" equalAverage="0" bottom="0" percent="0" rank="0" text="" dxfId="27">
      <formula>AND($A6&lt;&gt;"",K6="")</formula>
    </cfRule>
  </conditionalFormatting>
  <conditionalFormatting sqref="I6:I205">
    <cfRule type="expression" priority="9" aboveAverage="0" equalAverage="0" bottom="0" percent="0" rank="0" text="" dxfId="27">
      <formula>AND($K6="Approved",I6="")</formula>
    </cfRule>
  </conditionalFormatting>
  <conditionalFormatting sqref="J6:J205">
    <cfRule type="expression" priority="10" aboveAverage="0" equalAverage="0" bottom="0" percent="0" rank="0" text="" dxfId="27">
      <formula>AND($K6="Approved",J6="")</formula>
    </cfRule>
  </conditionalFormatting>
  <conditionalFormatting sqref="L6:L205">
    <cfRule type="expression" priority="11" aboveAverage="0" equalAverage="0" bottom="0" percent="0" rank="0" text="" dxfId="27">
      <formula>AND($K6="Approved",L6="")</formula>
    </cfRule>
  </conditionalFormatting>
  <conditionalFormatting sqref="M6:M205">
    <cfRule type="expression" priority="12" aboveAverage="0" equalAverage="0" bottom="0" percent="0" rank="0" text="" dxfId="27">
      <formula>AND($O6&lt;&gt;"",M6="")</formula>
    </cfRule>
  </conditionalFormatting>
  <conditionalFormatting sqref="N6:N205">
    <cfRule type="expression" priority="13" aboveAverage="0" equalAverage="0" bottom="0" percent="0" rank="0" text="" dxfId="27">
      <formula>AND($O6&lt;&gt;"",N6="")</formula>
    </cfRule>
  </conditionalFormatting>
  <conditionalFormatting sqref="P6:P205">
    <cfRule type="expression" priority="14" aboveAverage="0" equalAverage="0" bottom="0" percent="0" rank="0" text="" dxfId="27">
      <formula>AND($O6&lt;&gt;"",P6="")</formula>
    </cfRule>
  </conditionalFormatting>
  <conditionalFormatting sqref="Q6:Q205">
    <cfRule type="expression" priority="15" aboveAverage="0" equalAverage="0" bottom="0" percent="0" rank="0" text="" dxfId="27">
      <formula>AND($O6&lt;&gt;"",Q6="")</formula>
    </cfRule>
  </conditionalFormatting>
  <conditionalFormatting sqref="R6:R205">
    <cfRule type="expression" priority="16" aboveAverage="0" equalAverage="0" bottom="0" percent="0" rank="0" text="" dxfId="27">
      <formula>AND($O6&lt;&gt;"",R6="")</formula>
    </cfRule>
  </conditionalFormatting>
  <conditionalFormatting sqref="S6:S205">
    <cfRule type="expression" priority="17" aboveAverage="0" equalAverage="0" bottom="0" percent="0" rank="0" text="" dxfId="27">
      <formula>AND($O6&lt;&gt;"",S6="")</formula>
    </cfRule>
  </conditionalFormatting>
  <conditionalFormatting sqref="T6:T205">
    <cfRule type="expression" priority="18" aboveAverage="0" equalAverage="0" bottom="0" percent="0" rank="0" text="" dxfId="27">
      <formula>AND($O6&lt;&gt;"",T6="")</formula>
    </cfRule>
  </conditionalFormatting>
  <conditionalFormatting sqref="V6:V205">
    <cfRule type="expression" priority="19" aboveAverage="0" equalAverage="0" bottom="0" percent="0" rank="0" text="" dxfId="27">
      <formula>AND($O6&lt;&gt;"",V6="")</formula>
    </cfRule>
  </conditionalFormatting>
  <conditionalFormatting sqref="AC6:AC205">
    <cfRule type="expression" priority="20" aboveAverage="0" equalAverage="0" bottom="0" percent="0" rank="0" text="" dxfId="27">
      <formula>AND($O6&lt;&gt;"",AC6="")</formula>
    </cfRule>
  </conditionalFormatting>
  <conditionalFormatting sqref="AE6:AE205">
    <cfRule type="expression" priority="21" aboveAverage="0" equalAverage="0" bottom="0" percent="0" rank="0" text="" dxfId="27">
      <formula>AND($O6&lt;&gt;"",AE6="")</formula>
    </cfRule>
  </conditionalFormatting>
  <conditionalFormatting sqref="AR6:AR205">
    <cfRule type="expression" priority="22" aboveAverage="0" equalAverage="0" bottom="0" percent="0" rank="0" text="" dxfId="27">
      <formula>AND($O6&lt;&gt;"",AR6="")</formula>
    </cfRule>
  </conditionalFormatting>
  <conditionalFormatting sqref="AS6:AS205">
    <cfRule type="expression" priority="23" aboveAverage="0" equalAverage="0" bottom="0" percent="0" rank="0" text="" dxfId="27">
      <formula>AND($AY6&lt;&gt;"",AS6="")</formula>
    </cfRule>
  </conditionalFormatting>
  <conditionalFormatting sqref="AT6:AT205">
    <cfRule type="expression" priority="24" aboveAverage="0" equalAverage="0" bottom="0" percent="0" rank="0" text="" dxfId="27">
      <formula>AND($AY6&lt;&gt;"",AT6="")</formula>
    </cfRule>
  </conditionalFormatting>
  <conditionalFormatting sqref="BF6:BF205">
    <cfRule type="expression" priority="25" aboveAverage="0" equalAverage="0" bottom="0" percent="0" rank="0" text="" dxfId="27">
      <formula>AND($AY6&lt;&gt;"",BF6="")</formula>
    </cfRule>
  </conditionalFormatting>
  <conditionalFormatting sqref="AO6:AO205">
    <cfRule type="expression" priority="26" aboveAverage="0" equalAverage="0" bottom="0" percent="0" rank="0" text="" dxfId="27">
      <formula>AND(AND($AY6&lt;&gt;"",N($AK6)&gt;0),AO6="")</formula>
    </cfRule>
  </conditionalFormatting>
  <conditionalFormatting sqref="BJ6:BJ205">
    <cfRule type="expression" priority="27" aboveAverage="0" equalAverage="0" bottom="0" percent="0" rank="0" text="" dxfId="28">
      <formula>$BJ6="OK"</formula>
    </cfRule>
    <cfRule type="expression" priority="28" aboveAverage="0" equalAverage="0" bottom="0" percent="0" rank="0" text="" dxfId="29">
      <formula>AND($BJ6&lt;&gt;"",$BJ6&lt;&gt;"OK")</formula>
    </cfRule>
  </conditionalFormatting>
  <conditionalFormatting sqref="AM6:AM205">
    <cfRule type="expression" priority="29" aboveAverage="0" equalAverage="0" bottom="0" percent="0" rank="0" text="" dxfId="30">
      <formula>$AM6="Fully Paid"</formula>
    </cfRule>
    <cfRule type="expression" priority="30" aboveAverage="0" equalAverage="0" bottom="0" percent="0" rank="0" text="" dxfId="31">
      <formula>$AM6="Partially Paid"</formula>
    </cfRule>
    <cfRule type="expression" priority="31" aboveAverage="0" equalAverage="0" bottom="0" percent="0" rank="0" text="" dxfId="32">
      <formula>$AM6="Initial / Advance Paid"</formula>
    </cfRule>
    <cfRule type="expression" priority="32" aboveAverage="0" equalAverage="0" bottom="0" percent="0" rank="0" text="" dxfId="33">
      <formula>$AM6="Not Paid"</formula>
    </cfRule>
  </conditionalFormatting>
  <conditionalFormatting sqref="BI6:BI205">
    <cfRule type="expression" priority="33" aboveAverage="0" equalAverage="0" bottom="0" percent="0" rank="0" text="" dxfId="30">
      <formula>$BI6="Closed"</formula>
    </cfRule>
    <cfRule type="expression" priority="34" aboveAverage="0" equalAverage="0" bottom="0" percent="0" rank="0" text="" dxfId="31">
      <formula>$BI6="Awaiting Approval"</formula>
    </cfRule>
    <cfRule type="expression" priority="35" aboveAverage="0" equalAverage="0" bottom="0" percent="0" rank="0" text="" dxfId="33">
      <formula>$BI6="Rejected"</formula>
    </cfRule>
    <cfRule type="expression" priority="36" aboveAverage="0" equalAverage="0" bottom="0" percent="0" rank="0" text="" dxfId="32">
      <formula>$BI6="In-house Closed - Payment Due"</formula>
    </cfRule>
    <cfRule type="expression" priority="37" aboveAverage="0" equalAverage="0" bottom="0" percent="0" rank="0" text="" dxfId="34">
      <formula>$BI6="Receiving In-house"</formula>
    </cfRule>
  </conditionalFormatting>
  <conditionalFormatting sqref="BE6:BE205">
    <cfRule type="expression" priority="38" aboveAverage="0" equalAverage="0" bottom="0" percent="0" rank="0" text="" dxfId="30">
      <formula>$BE6="OTIF"</formula>
    </cfRule>
    <cfRule type="expression" priority="39" aboveAverage="0" equalAverage="0" bottom="0" percent="0" rank="0" text="" dxfId="33">
      <formula>$BE6="Not OTIF"</formula>
    </cfRule>
  </conditionalFormatting>
  <conditionalFormatting sqref="BL6:BL205">
    <cfRule type="expression" priority="40" aboveAverage="0" equalAverage="0" bottom="0" percent="0" rank="0" text="" dxfId="35">
      <formula>$BL6="High"</formula>
    </cfRule>
    <cfRule type="expression" priority="41" aboveAverage="0" equalAverage="0" bottom="0" percent="0" rank="0" text="" dxfId="31">
      <formula>$BL6="Medium"</formula>
    </cfRule>
    <cfRule type="expression" priority="42" aboveAverage="0" equalAverage="0" bottom="0" percent="0" rank="0" text="" dxfId="32">
      <formula>$BL6="Low"</formula>
    </cfRule>
  </conditionalFormatting>
  <conditionalFormatting sqref="Z6:Z205">
    <cfRule type="expression" priority="43" aboveAverage="0" equalAverage="0" bottom="0" percent="0" rank="0" text="" dxfId="35">
      <formula>AND(ISNUMBER($Z6),$Z6&gt;Settings!$B$7)</formula>
    </cfRule>
  </conditionalFormatting>
  <conditionalFormatting sqref="AL6:AL205">
    <cfRule type="expression" priority="44" aboveAverage="0" equalAverage="0" bottom="0" percent="0" rank="0" text="" dxfId="31">
      <formula>AND(ISNUMBER($AL6),$AL6&gt;0)</formula>
    </cfRule>
  </conditionalFormatting>
  <conditionalFormatting sqref="AX6:AX205">
    <cfRule type="expression" priority="45" aboveAverage="0" equalAverage="0" bottom="0" percent="0" rank="0" text="" dxfId="30">
      <formula>LEFT($AX6,12)="All In-house"</formula>
    </cfRule>
    <cfRule type="expression" priority="46" aboveAverage="0" equalAverage="0" bottom="0" percent="0" rank="0" text="" dxfId="31">
      <formula>LEFT($AX6,7)="Pending"</formula>
    </cfRule>
    <cfRule type="expression" priority="47" aboveAverage="0" equalAverage="0" bottom="0" percent="0" rank="0" text="" dxfId="32">
      <formula>LEFT($AX6,11)="Not Started"</formula>
    </cfRule>
    <cfRule type="expression" priority="48" aboveAverage="0" equalAverage="0" bottom="0" percent="0" rank="0" text="" dxfId="33">
      <formula>LEFT($AX6,12)="Short Closed"</formula>
    </cfRule>
  </conditionalFormatting>
  <conditionalFormatting sqref="AV6:AV205">
    <cfRule type="expression" priority="49" aboveAverage="0" equalAverage="0" bottom="0" percent="0" rank="0" text="" dxfId="31">
      <formula>AND(ISNUMBER($AV6),$AV6&gt;0)</formula>
    </cfRule>
  </conditionalFormatting>
  <conditionalFormatting sqref="AP6:AP205">
    <cfRule type="expression" priority="50" aboveAverage="0" equalAverage="0" bottom="0" percent="0" rank="0" text="" dxfId="33">
      <formula>AND(ISNUMBER($AP6),$AP6&gt;0)</formula>
    </cfRule>
  </conditionalFormatting>
  <conditionalFormatting sqref="AB6:AB205">
    <cfRule type="expression" priority="51" aboveAverage="0" equalAverage="0" bottom="0" percent="0" rank="0" text="" dxfId="36">
      <formula>AND(ISNUMBER($AB6),$AB6&gt;Settings!$B$7)</formula>
    </cfRule>
  </conditionalFormatting>
  <conditionalFormatting sqref="BD6:BD205">
    <cfRule type="expression" priority="52" aboveAverage="0" equalAverage="0" bottom="0" percent="0" rank="0" text="" dxfId="37">
      <formula>AND(ISNUMBER($BD6),$BD6&gt;0)</formula>
    </cfRule>
  </conditionalFormatting>
  <conditionalFormatting sqref="AJ6:AJ205">
    <cfRule type="dataBar" priority="53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{39D8B5BF-3A30-4762-96E4-432F40E5BA30}</x14:id>
        </ext>
      </extLst>
    </cfRule>
  </conditionalFormatting>
  <conditionalFormatting sqref="AU6:AU205">
    <cfRule type="dataBar" priority="54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{F69FDE98-A3F6-4624-9298-6D139D9BF7BD}</x14:id>
        </ext>
      </extLst>
    </cfRule>
  </conditionalFormatting>
  <dataValidations count="28">
    <dataValidation allowBlank="true" error="Choose a Department from the dropdown (maintained on the Lists sheet)." errorStyle="stop" errorTitle="Not in the list" operator="between" prompt="Pick from the list. New values: add them to the Department column on the Lists sheet." promptTitle="Department" showDropDown="false" showErrorMessage="true" showInputMessage="true" sqref="C6:C205" type="list">
      <formula1>Lists!$A$2:$A$41</formula1>
      <formula2>0</formula2>
    </dataValidation>
    <dataValidation allowBlank="true" error="Choose a Category from the dropdown (maintained on the Lists sheet)." errorStyle="stop" errorTitle="Not in the list" operator="between" prompt="Pick from the list. New values: add them to the Category column on the Lists sheet." promptTitle="Category" showDropDown="false" showErrorMessage="true" showInputMessage="true" sqref="F6:F205" type="list">
      <formula1>Lists!$B$2:$B$41</formula1>
      <formula2>0</formula2>
    </dataValidation>
    <dataValidation allowBlank="true" error="Choose a Spend Type from the dropdown (maintained on the Lists sheet)." errorStyle="stop" errorTitle="Not in the list" operator="between" prompt="Pick from the list. New values: add them to the Spend Type column on the Lists sheet." promptTitle="Spend Type" showDropDown="false" showErrorMessage="true" showInputMessage="true" sqref="H6:H205" type="list">
      <formula1>Lists!$C$2:$C$41</formula1>
      <formula2>0</formula2>
    </dataValidation>
    <dataValidation allowBlank="true" error="Choose a Approval Status from the dropdown (maintained on the Lists sheet)." errorStyle="stop" errorTitle="Not in the list" operator="between" prompt="Pick from the list. New values: add them to the Approval Status column on the Lists sheet." promptTitle="Approval Status" showDropDown="false" showErrorMessage="true" showInputMessage="true" sqref="K6:K205" type="list">
      <formula1>Lists!$D$2:$D$41</formula1>
      <formula2>0</formula2>
    </dataValidation>
    <dataValidation allowBlank="true" error="Choose a Origin from the dropdown (maintained on the Lists sheet)." errorStyle="stop" errorTitle="Not in the list" operator="between" prompt="Pick from the list. New values: add them to the Origin column on the Lists sheet." promptTitle="Origin" showDropDown="false" showErrorMessage="true" showInputMessage="true" sqref="N6:N205" type="list">
      <formula1>Lists!$E$2:$E$41</formula1>
      <formula2>0</formula2>
    </dataValidation>
    <dataValidation allowBlank="true" error="Choose a UOM from the dropdown (maintained on the Lists sheet)." errorStyle="stop" errorTitle="Not in the list" operator="between" prompt="Pick from the list. New values: add them to the UOM column on the Lists sheet." promptTitle="UOM" showDropDown="false" showErrorMessage="true" showInputMessage="true" sqref="R6:R205" type="list">
      <formula1>Lists!$F$2:$F$41</formula1>
      <formula2>0</formula2>
    </dataValidation>
    <dataValidation allowBlank="true" error="Choose a Currency from the dropdown (maintained on the Lists sheet)." errorStyle="stop" errorTitle="Not in the list" operator="between" prompt="Pick from the list. New values: add them to the Currency column on the Lists sheet." promptTitle="Currency" showDropDown="false" showErrorMessage="true" showInputMessage="true" sqref="T6:T205" type="list">
      <formula1>Lists!$G$2:$G$41</formula1>
      <formula2>0</formula2>
    </dataValidation>
    <dataValidation allowBlank="true" error="Choose a Payment Terms from the dropdown (maintained on the Lists sheet)." errorStyle="stop" errorTitle="Not in the list" operator="between" prompt="Pick from the list. New values: add them to the Payment Terms column on the Lists sheet." promptTitle="Payment Terms" showDropDown="false" showErrorMessage="true" showInputMessage="true" sqref="AE6:AE205" type="list">
      <formula1>Lists!$H$2:$H$41</formula1>
      <formula2>0</formula2>
    </dataValidation>
    <dataValidation allowBlank="true" error="Choose a QC / Material Approval from the dropdown (maintained on the Lists sheet)." errorStyle="stop" errorTitle="Not in the list" operator="between" prompt="Pick from the list. New values: add them to the QC / Material Approval column on the Lists sheet." promptTitle="QC / Material Approval" showDropDown="false" showErrorMessage="true" showInputMessage="true" sqref="BF6:BF205" type="list">
      <formula1>Lists!$I$2:$I$41</formula1>
      <formula2>0</formula2>
    </dataValidation>
    <dataValidation allowBlank="true" error="Choose a Supplier from the dropdown (maintained on the Lists sheet)." errorStyle="stop" errorTitle="Not in the list" operator="between" prompt="Pick from the list. New values: add them to the Supplier column on the Lists sheet." promptTitle="Supplier" showDropDown="false" showErrorMessage="true" showInputMessage="true" sqref="M6:M205" type="list">
      <formula1>Lists!$J$2:$J$41</formula1>
      <formula2>0</formula2>
    </dataValidation>
    <dataValidation allowBlank="true" error="Enter a real date (2024–2035). Text such as 'next week' is not accepted." errorStyle="stop" errorTitle="Invalid date" operator="between" prompt="Enter the PR received date as a date, e.g. 13-Oct-26." promptTitle="Date" showDropDown="false" showErrorMessage="true" showInputMessage="true" sqref="B6:B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OPEX/CAPEX approval date as a date, e.g. 13-Oct-26." promptTitle="Date" showDropDown="false" showErrorMessage="true" showInputMessage="true" sqref="J6:J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PO date as a date, e.g. 13-Oct-26." promptTitle="Date" showDropDown="false" showErrorMessage="true" showInputMessage="true" sqref="P6:P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last payment date as a date, e.g. 13-Oct-26." promptTitle="Date" showDropDown="false" showErrorMessage="true" showInputMessage="true" sqref="AN6:AN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next payment due date as a date, e.g. 13-Oct-26." promptTitle="Date" showDropDown="false" showErrorMessage="true" showInputMessage="true" sqref="AO6:AO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supplier committed delivery date as a date, e.g. 13-Oct-26." promptTitle="Date" showDropDown="false" showErrorMessage="true" showInputMessage="true" sqref="AR6:AR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first receipt in-house date as a date, e.g. 13-Oct-26." promptTitle="Date" showDropDown="false" showErrorMessage="true" showInputMessage="true" sqref="AS6:AS205" type="date">
      <formula1>DATE(2024,1,1)</formula1>
      <formula2>DATE(2035,12,31)</formula2>
    </dataValidation>
    <dataValidation allowBlank="true" error="Enter a real date (2024–2035). Text such as 'next week' is not accepted." errorStyle="stop" errorTitle="Invalid date" operator="between" prompt="Enter the final in-house closing date as a date, e.g. 13-Oct-26." promptTitle="Date" showDropDown="false" showErrorMessage="true" showInputMessage="true" sqref="AY6:AY205" type="date">
      <formula1>DATE(2024,1,1)</formula1>
      <formula2>DATE(2035,12,31)</formula2>
    </dataValidation>
    <dataValidation allowBlank="true" error="Enter a number of 0 or more." errorStyle="stop" errorTitle="Invalid number" operator="greaterThanOrEqual" prompt="Order quantity. Numbers only, no text or currency symbol." promptTitle="Number" showDropDown="false" showErrorMessage="true" showInputMessage="true" sqref="Q6:Q205" type="decimal">
      <formula1>0</formula1>
      <formula2>0</formula2>
    </dataValidation>
    <dataValidation allowBlank="true" error="Enter a number of 0 or more." errorStyle="stop" errorTitle="Invalid number" operator="greaterThanOrEqual" prompt="Unit price in PO currency. Numbers only, no text or currency symbol." promptTitle="Number" showDropDown="false" showErrorMessage="true" showInputMessage="true" sqref="S6:S205" type="decimal">
      <formula1>0</formula1>
      <formula2>0</formula2>
    </dataValidation>
    <dataValidation allowBlank="true" error="Enter a number of 0 or more." errorStyle="stop" errorTitle="Invalid number" operator="greaterThanOrEqual" prompt="Budget / standard unit price in BDT. Numbers only, no text or currency symbol." promptTitle="Number" showDropDown="false" showErrorMessage="true" showInputMessage="true" sqref="V6:V205" type="decimal">
      <formula1>0</formula1>
      <formula2>0</formula2>
    </dataValidation>
    <dataValidation allowBlank="true" error="Enter a number of 0 or more." errorStyle="stop" errorTitle="Invalid number" operator="greaterThanOrEqual" prompt="Initial / advance amount paid in BDT. Numbers only, no text or currency symbol." promptTitle="Number" showDropDown="false" showErrorMessage="true" showInputMessage="true" sqref="AF6:AF205" type="decimal">
      <formula1>0</formula1>
      <formula2>0</formula2>
    </dataValidation>
    <dataValidation allowBlank="true" error="Enter a number of 0 or more." errorStyle="stop" errorTitle="Invalid number" operator="greaterThanOrEqual" prompt="Interim amount paid in BDT. Numbers only, no text or currency symbol." promptTitle="Number" showDropDown="false" showErrorMessage="true" showInputMessage="true" sqref="AG6:AG205" type="decimal">
      <formula1>0</formula1>
      <formula2>0</formula2>
    </dataValidation>
    <dataValidation allowBlank="true" error="Enter a number of 0 or more." errorStyle="stop" errorTitle="Invalid number" operator="greaterThanOrEqual" prompt="Closing amount paid in BDT. Numbers only, no text or currency symbol." promptTitle="Number" showDropDown="false" showErrorMessage="true" showInputMessage="true" sqref="AH6:AH205" type="decimal">
      <formula1>0</formula1>
      <formula2>0</formula2>
    </dataValidation>
    <dataValidation allowBlank="true" error="Enter a number of 0 or more." errorStyle="stop" errorTitle="Invalid number" operator="greaterThanOrEqual" prompt="Quantity received in-house (cumulative). Numbers only, no text or currency symbol." promptTitle="Number" showDropDown="false" showErrorMessage="true" showInputMessage="true" sqref="AT6:AT205" type="decimal">
      <formula1>0</formula1>
      <formula2>0</formula2>
    </dataValidation>
    <dataValidation allowBlank="true" error="Enter a rate between 0% and 100%." errorStyle="stop" errorTitle="Invalid rate" operator="between" prompt="Enter as a percent, e.g. 7.5%." promptTitle="VAT / AIT / Duty %" showDropDown="false" showErrorMessage="true" showInputMessage="true" sqref="AC6:AC205" type="decimal">
      <formula1>0</formula1>
      <formula2>1</formula2>
    </dataValidation>
    <dataValidation allowBlank="true" error="This PR No already exists. Click Yes only if this is a second item line on the same PR." errorStyle="warning" errorTitle="Duplicate PR No" operator="between" prompt="Format PSIL-PR-YYYY-NNNN. One row per PR line." promptTitle="PR No" showDropDown="false" showErrorMessage="true" showInputMessage="true" sqref="A6:A205" type="custom">
      <formula1>COUNTIF($A$6:$A$205,A6)=1</formula1>
      <formula2>0</formula2>
    </dataValidation>
    <dataValidation allowBlank="true" error="Approval Status is not 'Approved'. A PO without approval is a control breach — get approval first." errorStyle="stop" errorTitle="No approval yet" operator="between" prompt="Enter only after the OPEX / CAPEX approval is marked Approved." promptTitle="PO No" showDropDown="false" showErrorMessage="true" showInputMessage="true" sqref="O6:O205" type="custom">
      <formula1>OR(O6="",K6="Approved")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D8B5BF-3A30-4762-96E4-432F40E5BA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AJ6:AJ205</xm:sqref>
        </x14:conditionalFormatting>
        <x14:conditionalFormatting xmlns:xm="http://schemas.microsoft.com/office/excel/2006/main">
          <x14:cfRule type="dataBar" id="{F69FDE98-A3F6-4624-9298-6D139D9BF7B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AU6:AU205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15"/>
    <col collapsed="false" customWidth="true" hidden="false" outlineLevel="0" max="7" min="7" style="0" width="9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8"/>
    <col collapsed="false" customWidth="true" hidden="false" outlineLevel="0" max="18" min="18" style="0" width="15"/>
    <col collapsed="false" customWidth="true" hidden="true" outlineLevel="0" max="19" min="19" style="0" width="13"/>
  </cols>
  <sheetData>
    <row r="1" customFormat="false" ht="17.35" hidden="false" customHeight="false" outlineLevel="0" collapsed="false">
      <c r="A1" s="39" t="s">
        <v>408</v>
      </c>
    </row>
    <row r="2" customFormat="false" ht="15" hidden="false" customHeight="false" outlineLevel="0" collapsed="false">
      <c r="A2" s="40" t="s">
        <v>409</v>
      </c>
    </row>
    <row r="4" customFormat="false" ht="42" hidden="false" customHeight="true" outlineLevel="0" collapsed="false">
      <c r="A4" s="28" t="s">
        <v>80</v>
      </c>
      <c r="B4" s="28" t="s">
        <v>410</v>
      </c>
      <c r="C4" s="28" t="s">
        <v>411</v>
      </c>
      <c r="D4" s="28" t="s">
        <v>412</v>
      </c>
      <c r="E4" s="28" t="s">
        <v>413</v>
      </c>
      <c r="F4" s="28" t="s">
        <v>414</v>
      </c>
      <c r="G4" s="28" t="s">
        <v>415</v>
      </c>
      <c r="H4" s="28" t="s">
        <v>41</v>
      </c>
      <c r="I4" s="28" t="s">
        <v>416</v>
      </c>
      <c r="J4" s="28" t="s">
        <v>417</v>
      </c>
      <c r="K4" s="28" t="s">
        <v>418</v>
      </c>
      <c r="L4" s="28" t="s">
        <v>419</v>
      </c>
      <c r="M4" s="28" t="s">
        <v>420</v>
      </c>
      <c r="N4" s="28" t="s">
        <v>421</v>
      </c>
      <c r="O4" s="28" t="s">
        <v>422</v>
      </c>
      <c r="P4" s="28" t="s">
        <v>423</v>
      </c>
      <c r="Q4" s="28" t="s">
        <v>42</v>
      </c>
      <c r="R4" s="28" t="s">
        <v>424</v>
      </c>
      <c r="S4" s="28" t="s">
        <v>425</v>
      </c>
    </row>
    <row r="5" customFormat="false" ht="15" hidden="false" customHeight="false" outlineLevel="0" collapsed="false">
      <c r="A5" s="79" t="str">
        <f aca="false">IF(Lists!$J$2="","",Lists!$J$2)</f>
        <v>Savar Leather Works Ltd</v>
      </c>
      <c r="B5" s="80" t="n">
        <f aca="false">IF($A5="","",COUNTIFS(Purchase_Register!$M$6:$M$205,$A5,Purchase_Register!$O$6:$O$205,"&lt;&gt;"))</f>
        <v>6</v>
      </c>
      <c r="C5" s="81" t="n">
        <f aca="false">IF($A5="","",SUMIFS(Purchase_Register!$AD$6:$AD$205,Purchase_Register!$M$6:$M$205,$A5))</f>
        <v>17829948.15</v>
      </c>
      <c r="D5" s="82" t="n">
        <f aca="false">IF(OR($A5="",SUM($C$5:$C$34)=0),"",C5/SUM($C$5:$C$34))</f>
        <v>0.315468215236237</v>
      </c>
      <c r="E5" s="81" t="n">
        <f aca="false">IF($A5="","",SUMIFS(Purchase_Register!$AI$6:$AI$205,Purchase_Register!$M$6:$M$205,$A5))</f>
        <v>11963532.73</v>
      </c>
      <c r="F5" s="81" t="n">
        <f aca="false">IF($A5="","",SUMIFS(Purchase_Register!$AK$6:$AK$205,Purchase_Register!$M$6:$M$205,$A5))</f>
        <v>5866415.42</v>
      </c>
      <c r="G5" s="80" t="n">
        <f aca="false">IF($A5="","",COUNTIFS(Purchase_Register!$M$6:$M$205,$A5,Purchase_Register!$BE$6:$BE$205,"*OTIF"))</f>
        <v>5</v>
      </c>
      <c r="H5" s="38" t="n">
        <f aca="false">IF(OR($A5="",N(G5)=0),"",COUNTIFS(Purchase_Register!$M$6:$M$205,$A5,Purchase_Register!$BE$6:$BE$205,"OTIF")/G5)</f>
        <v>0.6</v>
      </c>
      <c r="I5" s="38" t="n">
        <f aca="false">IF(OR($A5="",N(G5)=0),"",COUNTIFS(Purchase_Register!$M$6:$M$205,$A5,Purchase_Register!$BE$6:$BE$205,"*OTIF",Purchase_Register!$AX$6:$AX$205,"All In-house*")/G5)</f>
        <v>0.8</v>
      </c>
      <c r="J5" s="30" t="n">
        <f aca="false">IF($A5="","",IFERROR(AVERAGEIFS(Purchase_Register!$BB$6:$BB$205,Purchase_Register!$M$6:$M$205,$A5),""))</f>
        <v>15.6</v>
      </c>
      <c r="K5" s="30" t="n">
        <f aca="false">IF($A5="","",IFERROR(AVERAGEIFS(Purchase_Register!$BD$6:$BD$205,Purchase_Register!$M$6:$M$205,$A5,Purchase_Register!$AY$6:$AY$205,"&lt;&gt;"),""))</f>
        <v>2</v>
      </c>
      <c r="L5" s="80" t="n">
        <f aca="false">IF($A5="","",COUNTIFS(Purchase_Register!$M$6:$M$205,$A5,Purchase_Register!$O$6:$O$205,"&lt;&gt;",Purchase_Register!$AY$6:$AY$205,"",Purchase_Register!$BD$6:$BD$205,"&gt;0"))</f>
        <v>0</v>
      </c>
      <c r="M5" s="80" t="n">
        <f aca="false">IF($A5="","",COUNTIFS(Purchase_Register!$M$6:$M$205,$A5,Purchase_Register!$AX$6:$AX$205,"Short Closed*"))</f>
        <v>1</v>
      </c>
      <c r="N5" s="81" t="n">
        <f aca="false">IF($A5="","",SUMIFS(Purchase_Register!$AW$6:$AW$205,Purchase_Register!$M$6:$M$205,$A5,Purchase_Register!$AY$6:$AY$205,""))</f>
        <v>5241211.5</v>
      </c>
      <c r="O5" s="38" t="n">
        <f aca="false">IF($A5="","",IFERROR(COUNTIFS(Purchase_Register!$M$6:$M$205,$A5,Purchase_Register!$BF$6:$BF$205,"Approved*")/(COUNTIFS(Purchase_Register!$M$6:$M$205,$A5,Purchase_Register!$BF$6:$BF$205,"Approved*")+COUNTIFS(Purchase_Register!$M$6:$M$205,$A5,Purchase_Register!$BF$6:$BF$205,"Rejected")),""))</f>
        <v>0.6</v>
      </c>
      <c r="P5" s="83" t="n">
        <f aca="false">IF($A5="","",IFERROR(AVERAGEIFS(Purchase_Register!$AB$6:$AB$205,Purchase_Register!$M$6:$M$205,$A5),""))</f>
        <v>0.0268469721840104</v>
      </c>
      <c r="Q5" s="84" t="n">
        <f aca="false">IF(OR($A5="",H5="",O5=""),"",ROUND(40*H5+20*N(I5)+25*O5+15*(1-MIN(1,MAX(0,N(P5))/0.1)),0))</f>
        <v>66</v>
      </c>
      <c r="R5" s="31" t="str">
        <f aca="false">IF($A5="","",IF(Q5="","Not Rated",IF(Q5&gt;=80,"A — Preferred",IF(Q5&gt;=60,"B — Approved","C — Review"))))</f>
        <v>B — Approved</v>
      </c>
      <c r="S5" s="33" t="n">
        <f aca="false">IF($A5="",-ROW(),N(C5)+(1000-ROW())/1000000)</f>
        <v>17829948.150995</v>
      </c>
    </row>
    <row r="6" customFormat="false" ht="15" hidden="false" customHeight="false" outlineLevel="0" collapsed="false">
      <c r="A6" s="79" t="str">
        <f aca="false">IF(Lists!$J$3="","",Lists!$J$3)</f>
        <v>Bengal Sole Industries</v>
      </c>
      <c r="B6" s="80" t="n">
        <f aca="false">IF($A6="","",COUNTIFS(Purchase_Register!$M$6:$M$205,$A6,Purchase_Register!$O$6:$O$205,"&lt;&gt;"))</f>
        <v>4</v>
      </c>
      <c r="C6" s="81" t="n">
        <f aca="false">IF($A6="","",SUMIFS(Purchase_Register!$AD$6:$AD$205,Purchase_Register!$M$6:$M$205,$A6))</f>
        <v>8646225</v>
      </c>
      <c r="D6" s="82" t="n">
        <f aca="false">IF(OR($A6="",SUM($C$5:$C$34)=0),"",C6/SUM($C$5:$C$34))</f>
        <v>0.152979085880344</v>
      </c>
      <c r="E6" s="81" t="n">
        <f aca="false">IF($A6="","",SUMIFS(Purchase_Register!$AI$6:$AI$205,Purchase_Register!$M$6:$M$205,$A6))</f>
        <v>2583525</v>
      </c>
      <c r="F6" s="81" t="n">
        <f aca="false">IF($A6="","",SUMIFS(Purchase_Register!$AK$6:$AK$205,Purchase_Register!$M$6:$M$205,$A6))</f>
        <v>6062700</v>
      </c>
      <c r="G6" s="80" t="n">
        <f aca="false">IF($A6="","",COUNTIFS(Purchase_Register!$M$6:$M$205,$A6,Purchase_Register!$BE$6:$BE$205,"*OTIF"))</f>
        <v>4</v>
      </c>
      <c r="H6" s="38" t="n">
        <f aca="false">IF(OR($A6="",N(G6)=0),"",COUNTIFS(Purchase_Register!$M$6:$M$205,$A6,Purchase_Register!$BE$6:$BE$205,"OTIF")/G6)</f>
        <v>0.5</v>
      </c>
      <c r="I6" s="38" t="n">
        <f aca="false">IF(OR($A6="",N(G6)=0),"",COUNTIFS(Purchase_Register!$M$6:$M$205,$A6,Purchase_Register!$BE$6:$BE$205,"*OTIF",Purchase_Register!$AX$6:$AX$205,"All In-house*")/G6)</f>
        <v>0.5</v>
      </c>
      <c r="J6" s="30" t="n">
        <f aca="false">IF($A6="","",IFERROR(AVERAGEIFS(Purchase_Register!$BB$6:$BB$205,Purchase_Register!$M$6:$M$205,$A6),""))</f>
        <v>12.5</v>
      </c>
      <c r="K6" s="30" t="n">
        <f aca="false">IF($A6="","",IFERROR(AVERAGEIFS(Purchase_Register!$BD$6:$BD$205,Purchase_Register!$M$6:$M$205,$A6,Purchase_Register!$AY$6:$AY$205,"&lt;&gt;"),""))</f>
        <v>0</v>
      </c>
      <c r="L6" s="80" t="n">
        <f aca="false">IF($A6="","",COUNTIFS(Purchase_Register!$M$6:$M$205,$A6,Purchase_Register!$O$6:$O$205,"&lt;&gt;",Purchase_Register!$AY$6:$AY$205,"",Purchase_Register!$BD$6:$BD$205,"&gt;0"))</f>
        <v>0</v>
      </c>
      <c r="M6" s="80" t="n">
        <f aca="false">IF($A6="","",COUNTIFS(Purchase_Register!$M$6:$M$205,$A6,Purchase_Register!$AX$6:$AX$205,"Short Closed*"))</f>
        <v>2</v>
      </c>
      <c r="N6" s="81" t="n">
        <f aca="false">IF($A6="","",SUMIFS(Purchase_Register!$AW$6:$AW$205,Purchase_Register!$M$6:$M$205,$A6,Purchase_Register!$AY$6:$AY$205,""))</f>
        <v>0</v>
      </c>
      <c r="O6" s="38" t="n">
        <f aca="false">IF($A6="","",IFERROR(COUNTIFS(Purchase_Register!$M$6:$M$205,$A6,Purchase_Register!$BF$6:$BF$205,"Approved*")/(COUNTIFS(Purchase_Register!$M$6:$M$205,$A6,Purchase_Register!$BF$6:$BF$205,"Approved*")+COUNTIFS(Purchase_Register!$M$6:$M$205,$A6,Purchase_Register!$BF$6:$BF$205,"Rejected")),""))</f>
        <v>1</v>
      </c>
      <c r="P6" s="83" t="n">
        <f aca="false">IF($A6="","",IFERROR(AVERAGEIFS(Purchase_Register!$AB$6:$AB$205,Purchase_Register!$M$6:$M$205,$A6),""))</f>
        <v>0.0417152229939472</v>
      </c>
      <c r="Q6" s="84" t="n">
        <f aca="false">IF(OR($A6="",H6="",O6=""),"",ROUND(40*H6+20*N(I6)+25*O6+15*(1-MIN(1,MAX(0,N(P6))/0.1)),0))</f>
        <v>64</v>
      </c>
      <c r="R6" s="31" t="str">
        <f aca="false">IF($A6="","",IF(Q6="","Not Rated",IF(Q6&gt;=80,"A — Preferred",IF(Q6&gt;=60,"B — Approved","C — Review"))))</f>
        <v>B — Approved</v>
      </c>
      <c r="S6" s="33" t="n">
        <f aca="false">IF($A6="",-ROW(),N(C6)+(1000-ROW())/1000000)</f>
        <v>8646225.000994</v>
      </c>
    </row>
    <row r="7" customFormat="false" ht="15" hidden="false" customHeight="false" outlineLevel="0" collapsed="false">
      <c r="A7" s="79" t="str">
        <f aca="false">IF(Lists!$J$4="","",Lists!$J$4)</f>
        <v>Gazipur Chem Trade</v>
      </c>
      <c r="B7" s="80" t="n">
        <f aca="false">IF($A7="","",COUNTIFS(Purchase_Register!$M$6:$M$205,$A7,Purchase_Register!$O$6:$O$205,"&lt;&gt;"))</f>
        <v>4</v>
      </c>
      <c r="C7" s="81" t="n">
        <f aca="false">IF($A7="","",SUMIFS(Purchase_Register!$AD$6:$AD$205,Purchase_Register!$M$6:$M$205,$A7))</f>
        <v>2383920</v>
      </c>
      <c r="D7" s="82" t="n">
        <f aca="false">IF(OR($A7="",SUM($C$5:$C$34)=0),"",C7/SUM($C$5:$C$34))</f>
        <v>0.0421790899972959</v>
      </c>
      <c r="E7" s="81" t="n">
        <f aca="false">IF($A7="","",SUMIFS(Purchase_Register!$AI$6:$AI$205,Purchase_Register!$M$6:$M$205,$A7))</f>
        <v>935572.5</v>
      </c>
      <c r="F7" s="81" t="n">
        <f aca="false">IF($A7="","",SUMIFS(Purchase_Register!$AK$6:$AK$205,Purchase_Register!$M$6:$M$205,$A7))</f>
        <v>1448347.5</v>
      </c>
      <c r="G7" s="80" t="n">
        <f aca="false">IF($A7="","",COUNTIFS(Purchase_Register!$M$6:$M$205,$A7,Purchase_Register!$BE$6:$BE$205,"*OTIF"))</f>
        <v>4</v>
      </c>
      <c r="H7" s="38" t="n">
        <f aca="false">IF(OR($A7="",N(G7)=0),"",COUNTIFS(Purchase_Register!$M$6:$M$205,$A7,Purchase_Register!$BE$6:$BE$205,"OTIF")/G7)</f>
        <v>0.5</v>
      </c>
      <c r="I7" s="38" t="n">
        <f aca="false">IF(OR($A7="",N(G7)=0),"",COUNTIFS(Purchase_Register!$M$6:$M$205,$A7,Purchase_Register!$BE$6:$BE$205,"*OTIF",Purchase_Register!$AX$6:$AX$205,"All In-house*")/G7)</f>
        <v>0.5</v>
      </c>
      <c r="J7" s="30" t="n">
        <f aca="false">IF($A7="","",IFERROR(AVERAGEIFS(Purchase_Register!$BB$6:$BB$205,Purchase_Register!$M$6:$M$205,$A7),""))</f>
        <v>13.25</v>
      </c>
      <c r="K7" s="30" t="n">
        <f aca="false">IF($A7="","",IFERROR(AVERAGEIFS(Purchase_Register!$BD$6:$BD$205,Purchase_Register!$M$6:$M$205,$A7,Purchase_Register!$AY$6:$AY$205,"&lt;&gt;"),""))</f>
        <v>2.5</v>
      </c>
      <c r="L7" s="80" t="n">
        <f aca="false">IF($A7="","",COUNTIFS(Purchase_Register!$M$6:$M$205,$A7,Purchase_Register!$O$6:$O$205,"&lt;&gt;",Purchase_Register!$AY$6:$AY$205,"",Purchase_Register!$BD$6:$BD$205,"&gt;0"))</f>
        <v>0</v>
      </c>
      <c r="M7" s="80" t="n">
        <f aca="false">IF($A7="","",COUNTIFS(Purchase_Register!$M$6:$M$205,$A7,Purchase_Register!$AX$6:$AX$205,"Short Closed*"))</f>
        <v>2</v>
      </c>
      <c r="N7" s="81" t="n">
        <f aca="false">IF($A7="","",SUMIFS(Purchase_Register!$AW$6:$AW$205,Purchase_Register!$M$6:$M$205,$A7,Purchase_Register!$AY$6:$AY$205,""))</f>
        <v>0</v>
      </c>
      <c r="O7" s="38" t="n">
        <f aca="false">IF($A7="","",IFERROR(COUNTIFS(Purchase_Register!$M$6:$M$205,$A7,Purchase_Register!$BF$6:$BF$205,"Approved*")/(COUNTIFS(Purchase_Register!$M$6:$M$205,$A7,Purchase_Register!$BF$6:$BF$205,"Approved*")+COUNTIFS(Purchase_Register!$M$6:$M$205,$A7,Purchase_Register!$BF$6:$BF$205,"Rejected")),""))</f>
        <v>0.5</v>
      </c>
      <c r="P7" s="83" t="n">
        <f aca="false">IF($A7="","",IFERROR(AVERAGEIFS(Purchase_Register!$AB$6:$AB$205,Purchase_Register!$M$6:$M$205,$A7),""))</f>
        <v>0.0449425406458429</v>
      </c>
      <c r="Q7" s="84" t="n">
        <f aca="false">IF(OR($A7="",H7="",O7=""),"",ROUND(40*H7+20*N(I7)+25*O7+15*(1-MIN(1,MAX(0,N(P7))/0.1)),0))</f>
        <v>51</v>
      </c>
      <c r="R7" s="31" t="str">
        <f aca="false">IF($A7="","",IF(Q7="","Not Rated",IF(Q7&gt;=80,"A — Preferred",IF(Q7&gt;=60,"B — Approved","C — Review"))))</f>
        <v>C — Review</v>
      </c>
      <c r="S7" s="33" t="n">
        <f aca="false">IF($A7="",-ROW(),N(C7)+(1000-ROW())/1000000)</f>
        <v>2383920.000993</v>
      </c>
    </row>
    <row r="8" customFormat="false" ht="15" hidden="false" customHeight="false" outlineLevel="0" collapsed="false">
      <c r="A8" s="79" t="str">
        <f aca="false">IF(Lists!$J$5="","",Lists!$J$5)</f>
        <v>Chattogram Packaging Ltd</v>
      </c>
      <c r="B8" s="80" t="n">
        <f aca="false">IF($A8="","",COUNTIFS(Purchase_Register!$M$6:$M$205,$A8,Purchase_Register!$O$6:$O$205,"&lt;&gt;"))</f>
        <v>2</v>
      </c>
      <c r="C8" s="81" t="n">
        <f aca="false">IF($A8="","",SUMIFS(Purchase_Register!$AD$6:$AD$205,Purchase_Register!$M$6:$M$205,$A8))</f>
        <v>934506.3</v>
      </c>
      <c r="D8" s="82" t="n">
        <f aca="false">IF(OR($A8="",SUM($C$5:$C$34)=0),"",C8/SUM($C$5:$C$34))</f>
        <v>0.0165343741949143</v>
      </c>
      <c r="E8" s="81" t="n">
        <f aca="false">IF($A8="","",SUMIFS(Purchase_Register!$AI$6:$AI$205,Purchase_Register!$M$6:$M$205,$A8))</f>
        <v>934506.3</v>
      </c>
      <c r="F8" s="81" t="n">
        <f aca="false">IF($A8="","",SUMIFS(Purchase_Register!$AK$6:$AK$205,Purchase_Register!$M$6:$M$205,$A8))</f>
        <v>0</v>
      </c>
      <c r="G8" s="80" t="n">
        <f aca="false">IF($A8="","",COUNTIFS(Purchase_Register!$M$6:$M$205,$A8,Purchase_Register!$BE$6:$BE$205,"*OTIF"))</f>
        <v>2</v>
      </c>
      <c r="H8" s="38" t="n">
        <f aca="false">IF(OR($A8="",N(G8)=0),"",COUNTIFS(Purchase_Register!$M$6:$M$205,$A8,Purchase_Register!$BE$6:$BE$205,"OTIF")/G8)</f>
        <v>1</v>
      </c>
      <c r="I8" s="38" t="n">
        <f aca="false">IF(OR($A8="",N(G8)=0),"",COUNTIFS(Purchase_Register!$M$6:$M$205,$A8,Purchase_Register!$BE$6:$BE$205,"*OTIF",Purchase_Register!$AX$6:$AX$205,"All In-house*")/G8)</f>
        <v>1</v>
      </c>
      <c r="J8" s="30" t="n">
        <f aca="false">IF($A8="","",IFERROR(AVERAGEIFS(Purchase_Register!$BB$6:$BB$205,Purchase_Register!$M$6:$M$205,$A8),""))</f>
        <v>16.5</v>
      </c>
      <c r="K8" s="30" t="n">
        <f aca="false">IF($A8="","",IFERROR(AVERAGEIFS(Purchase_Register!$BD$6:$BD$205,Purchase_Register!$M$6:$M$205,$A8,Purchase_Register!$AY$6:$AY$205,"&lt;&gt;"),""))</f>
        <v>0</v>
      </c>
      <c r="L8" s="80" t="n">
        <f aca="false">IF($A8="","",COUNTIFS(Purchase_Register!$M$6:$M$205,$A8,Purchase_Register!$O$6:$O$205,"&lt;&gt;",Purchase_Register!$AY$6:$AY$205,"",Purchase_Register!$BD$6:$BD$205,"&gt;0"))</f>
        <v>0</v>
      </c>
      <c r="M8" s="80" t="n">
        <f aca="false">IF($A8="","",COUNTIFS(Purchase_Register!$M$6:$M$205,$A8,Purchase_Register!$AX$6:$AX$205,"Short Closed*"))</f>
        <v>0</v>
      </c>
      <c r="N8" s="81" t="n">
        <f aca="false">IF($A8="","",SUMIFS(Purchase_Register!$AW$6:$AW$205,Purchase_Register!$M$6:$M$205,$A8,Purchase_Register!$AY$6:$AY$205,""))</f>
        <v>0</v>
      </c>
      <c r="O8" s="38" t="n">
        <f aca="false">IF($A8="","",IFERROR(COUNTIFS(Purchase_Register!$M$6:$M$205,$A8,Purchase_Register!$BF$6:$BF$205,"Approved*")/(COUNTIFS(Purchase_Register!$M$6:$M$205,$A8,Purchase_Register!$BF$6:$BF$205,"Approved*")+COUNTIFS(Purchase_Register!$M$6:$M$205,$A8,Purchase_Register!$BF$6:$BF$205,"Rejected")),""))</f>
        <v>1</v>
      </c>
      <c r="P8" s="83" t="n">
        <f aca="false">IF($A8="","",IFERROR(AVERAGEIFS(Purchase_Register!$AB$6:$AB$205,Purchase_Register!$M$6:$M$205,$A8),""))</f>
        <v>-0.00958281230061837</v>
      </c>
      <c r="Q8" s="84" t="n">
        <f aca="false">IF(OR($A8="",H8="",O8=""),"",ROUND(40*H8+20*N(I8)+25*O8+15*(1-MIN(1,MAX(0,N(P8))/0.1)),0))</f>
        <v>100</v>
      </c>
      <c r="R8" s="31" t="str">
        <f aca="false">IF($A8="","",IF(Q8="","Not Rated",IF(Q8&gt;=80,"A — Preferred",IF(Q8&gt;=60,"B — Approved","C — Review"))))</f>
        <v>A — Preferred</v>
      </c>
      <c r="S8" s="33" t="n">
        <f aca="false">IF($A8="",-ROW(),N(C8)+(1000-ROW())/1000000)</f>
        <v>934506.300992</v>
      </c>
    </row>
    <row r="9" customFormat="false" ht="15" hidden="false" customHeight="false" outlineLevel="0" collapsed="false">
      <c r="A9" s="79" t="str">
        <f aca="false">IF(Lists!$J$6="","",Lists!$J$6)</f>
        <v>Delta Thread &amp; Trims</v>
      </c>
      <c r="B9" s="80" t="n">
        <f aca="false">IF($A9="","",COUNTIFS(Purchase_Register!$M$6:$M$205,$A9,Purchase_Register!$O$6:$O$205,"&lt;&gt;"))</f>
        <v>5</v>
      </c>
      <c r="C9" s="81" t="n">
        <f aca="false">IF($A9="","",SUMIFS(Purchase_Register!$AD$6:$AD$205,Purchase_Register!$M$6:$M$205,$A9))</f>
        <v>1331038.8</v>
      </c>
      <c r="D9" s="82" t="n">
        <f aca="false">IF(OR($A9="",SUM($C$5:$C$34)=0),"",C9/SUM($C$5:$C$34))</f>
        <v>0.0235502891603295</v>
      </c>
      <c r="E9" s="81" t="n">
        <f aca="false">IF($A9="","",SUMIFS(Purchase_Register!$AI$6:$AI$205,Purchase_Register!$M$6:$M$205,$A9))</f>
        <v>728620.2</v>
      </c>
      <c r="F9" s="81" t="n">
        <f aca="false">IF($A9="","",SUMIFS(Purchase_Register!$AK$6:$AK$205,Purchase_Register!$M$6:$M$205,$A9))</f>
        <v>602418.6</v>
      </c>
      <c r="G9" s="80" t="n">
        <f aca="false">IF($A9="","",COUNTIFS(Purchase_Register!$M$6:$M$205,$A9,Purchase_Register!$BE$6:$BE$205,"*OTIF"))</f>
        <v>5</v>
      </c>
      <c r="H9" s="38" t="n">
        <f aca="false">IF(OR($A9="",N(G9)=0),"",COUNTIFS(Purchase_Register!$M$6:$M$205,$A9,Purchase_Register!$BE$6:$BE$205,"OTIF")/G9)</f>
        <v>0.4</v>
      </c>
      <c r="I9" s="38" t="n">
        <f aca="false">IF(OR($A9="",N(G9)=0),"",COUNTIFS(Purchase_Register!$M$6:$M$205,$A9,Purchase_Register!$BE$6:$BE$205,"*OTIF",Purchase_Register!$AX$6:$AX$205,"All In-house*")/G9)</f>
        <v>0.8</v>
      </c>
      <c r="J9" s="30" t="n">
        <f aca="false">IF($A9="","",IFERROR(AVERAGEIFS(Purchase_Register!$BB$6:$BB$205,Purchase_Register!$M$6:$M$205,$A9),""))</f>
        <v>16.8</v>
      </c>
      <c r="K9" s="30" t="n">
        <f aca="false">IF($A9="","",IFERROR(AVERAGEIFS(Purchase_Register!$BD$6:$BD$205,Purchase_Register!$M$6:$M$205,$A9,Purchase_Register!$AY$6:$AY$205,"&lt;&gt;"),""))</f>
        <v>1.2</v>
      </c>
      <c r="L9" s="80" t="n">
        <f aca="false">IF($A9="","",COUNTIFS(Purchase_Register!$M$6:$M$205,$A9,Purchase_Register!$O$6:$O$205,"&lt;&gt;",Purchase_Register!$AY$6:$AY$205,"",Purchase_Register!$BD$6:$BD$205,"&gt;0"))</f>
        <v>0</v>
      </c>
      <c r="M9" s="80" t="n">
        <f aca="false">IF($A9="","",COUNTIFS(Purchase_Register!$M$6:$M$205,$A9,Purchase_Register!$AX$6:$AX$205,"Short Closed*"))</f>
        <v>1</v>
      </c>
      <c r="N9" s="81" t="n">
        <f aca="false">IF($A9="","",SUMIFS(Purchase_Register!$AW$6:$AW$205,Purchase_Register!$M$6:$M$205,$A9,Purchase_Register!$AY$6:$AY$205,""))</f>
        <v>0</v>
      </c>
      <c r="O9" s="38" t="n">
        <f aca="false">IF($A9="","",IFERROR(COUNTIFS(Purchase_Register!$M$6:$M$205,$A9,Purchase_Register!$BF$6:$BF$205,"Approved*")/(COUNTIFS(Purchase_Register!$M$6:$M$205,$A9,Purchase_Register!$BF$6:$BF$205,"Approved*")+COUNTIFS(Purchase_Register!$M$6:$M$205,$A9,Purchase_Register!$BF$6:$BF$205,"Rejected")),""))</f>
        <v>0.8</v>
      </c>
      <c r="P9" s="83" t="n">
        <f aca="false">IF($A9="","",IFERROR(AVERAGEIFS(Purchase_Register!$AB$6:$AB$205,Purchase_Register!$M$6:$M$205,$A9),""))</f>
        <v>0.0164174236848398</v>
      </c>
      <c r="Q9" s="84" t="n">
        <f aca="false">IF(OR($A9="",H9="",O9=""),"",ROUND(40*H9+20*N(I9)+25*O9+15*(1-MIN(1,MAX(0,N(P9))/0.1)),0))</f>
        <v>65</v>
      </c>
      <c r="R9" s="31" t="str">
        <f aca="false">IF($A9="","",IF(Q9="","Not Rated",IF(Q9&gt;=80,"A — Preferred",IF(Q9&gt;=60,"B — Approved","C — Review"))))</f>
        <v>B — Approved</v>
      </c>
      <c r="S9" s="33" t="n">
        <f aca="false">IF($A9="",-ROW(),N(C9)+(1000-ROW())/1000000)</f>
        <v>1331038.800991</v>
      </c>
    </row>
    <row r="10" customFormat="false" ht="15" hidden="false" customHeight="false" outlineLevel="0" collapsed="false">
      <c r="A10" s="79" t="str">
        <f aca="false">IF(Lists!$J$7="","",Lists!$J$7)</f>
        <v>Narayanganj Board Mills</v>
      </c>
      <c r="B10" s="80" t="n">
        <f aca="false">IF($A10="","",COUNTIFS(Purchase_Register!$M$6:$M$205,$A10,Purchase_Register!$O$6:$O$205,"&lt;&gt;"))</f>
        <v>2</v>
      </c>
      <c r="C10" s="81" t="n">
        <f aca="false">IF($A10="","",SUMIFS(Purchase_Register!$AD$6:$AD$205,Purchase_Register!$M$6:$M$205,$A10))</f>
        <v>1268400</v>
      </c>
      <c r="D10" s="82" t="n">
        <f aca="false">IF(OR($A10="",SUM($C$5:$C$34)=0),"",C10/SUM($C$5:$C$34))</f>
        <v>0.0224420105341497</v>
      </c>
      <c r="E10" s="81" t="n">
        <f aca="false">IF($A10="","",SUMIFS(Purchase_Register!$AI$6:$AI$205,Purchase_Register!$M$6:$M$205,$A10))</f>
        <v>915600</v>
      </c>
      <c r="F10" s="81" t="n">
        <f aca="false">IF($A10="","",SUMIFS(Purchase_Register!$AK$6:$AK$205,Purchase_Register!$M$6:$M$205,$A10))</f>
        <v>352800</v>
      </c>
      <c r="G10" s="80" t="n">
        <f aca="false">IF($A10="","",COUNTIFS(Purchase_Register!$M$6:$M$205,$A10,Purchase_Register!$BE$6:$BE$205,"*OTIF"))</f>
        <v>1</v>
      </c>
      <c r="H10" s="38" t="n">
        <f aca="false">IF(OR($A10="",N(G10)=0),"",COUNTIFS(Purchase_Register!$M$6:$M$205,$A10,Purchase_Register!$BE$6:$BE$205,"OTIF")/G10)</f>
        <v>0</v>
      </c>
      <c r="I10" s="38" t="n">
        <f aca="false">IF(OR($A10="",N(G10)=0),"",COUNTIFS(Purchase_Register!$M$6:$M$205,$A10,Purchase_Register!$BE$6:$BE$205,"*OTIF",Purchase_Register!$AX$6:$AX$205,"All In-house*")/G10)</f>
        <v>1</v>
      </c>
      <c r="J10" s="30" t="n">
        <f aca="false">IF($A10="","",IFERROR(AVERAGEIFS(Purchase_Register!$BB$6:$BB$205,Purchase_Register!$M$6:$M$205,$A10),""))</f>
        <v>31</v>
      </c>
      <c r="K10" s="30" t="n">
        <f aca="false">IF($A10="","",IFERROR(AVERAGEIFS(Purchase_Register!$BD$6:$BD$205,Purchase_Register!$M$6:$M$205,$A10,Purchase_Register!$AY$6:$AY$205,"&lt;&gt;"),""))</f>
        <v>8</v>
      </c>
      <c r="L10" s="80" t="n">
        <f aca="false">IF($A10="","",COUNTIFS(Purchase_Register!$M$6:$M$205,$A10,Purchase_Register!$O$6:$O$205,"&lt;&gt;",Purchase_Register!$AY$6:$AY$205,"",Purchase_Register!$BD$6:$BD$205,"&gt;0"))</f>
        <v>0</v>
      </c>
      <c r="M10" s="80" t="n">
        <f aca="false">IF($A10="","",COUNTIFS(Purchase_Register!$M$6:$M$205,$A10,Purchase_Register!$AX$6:$AX$205,"Short Closed*"))</f>
        <v>0</v>
      </c>
      <c r="N10" s="81" t="n">
        <f aca="false">IF($A10="","",SUMIFS(Purchase_Register!$AW$6:$AW$205,Purchase_Register!$M$6:$M$205,$A10,Purchase_Register!$AY$6:$AY$205,""))</f>
        <v>190296.75</v>
      </c>
      <c r="O10" s="38" t="n">
        <f aca="false">IF($A10="","",IFERROR(COUNTIFS(Purchase_Register!$M$6:$M$205,$A10,Purchase_Register!$BF$6:$BF$205,"Approved*")/(COUNTIFS(Purchase_Register!$M$6:$M$205,$A10,Purchase_Register!$BF$6:$BF$205,"Approved*")+COUNTIFS(Purchase_Register!$M$6:$M$205,$A10,Purchase_Register!$BF$6:$BF$205,"Rejected")),""))</f>
        <v>1</v>
      </c>
      <c r="P10" s="83" t="n">
        <f aca="false">IF($A10="","",IFERROR(AVERAGEIFS(Purchase_Register!$AB$6:$AB$205,Purchase_Register!$M$6:$M$205,$A10),""))</f>
        <v>0.00557126493108712</v>
      </c>
      <c r="Q10" s="84" t="n">
        <f aca="false">IF(OR($A10="",H10="",O10=""),"",ROUND(40*H10+20*N(I10)+25*O10+15*(1-MIN(1,MAX(0,N(P10))/0.1)),0))</f>
        <v>59</v>
      </c>
      <c r="R10" s="31" t="str">
        <f aca="false">IF($A10="","",IF(Q10="","Not Rated",IF(Q10&gt;=80,"A — Preferred",IF(Q10&gt;=60,"B — Approved","C — Review"))))</f>
        <v>C — Review</v>
      </c>
      <c r="S10" s="33" t="n">
        <f aca="false">IF($A10="",-ROW(),N(C10)+(1000-ROW())/1000000)</f>
        <v>1268400.00099</v>
      </c>
    </row>
    <row r="11" customFormat="false" ht="15" hidden="false" customHeight="false" outlineLevel="0" collapsed="false">
      <c r="A11" s="79" t="str">
        <f aca="false">IF(Lists!$J$8="","",Lists!$J$8)</f>
        <v>Dongguan Sole Tech Co.</v>
      </c>
      <c r="B11" s="80" t="n">
        <f aca="false">IF($A11="","",COUNTIFS(Purchase_Register!$M$6:$M$205,$A11,Purchase_Register!$O$6:$O$205,"&lt;&gt;"))</f>
        <v>6</v>
      </c>
      <c r="C11" s="81" t="n">
        <f aca="false">IF($A11="","",SUMIFS(Purchase_Register!$AD$6:$AD$205,Purchase_Register!$M$6:$M$205,$A11))</f>
        <v>10589896.9</v>
      </c>
      <c r="D11" s="82" t="n">
        <f aca="false">IF(OR($A11="",SUM($C$5:$C$34)=0),"",C11/SUM($C$5:$C$34))</f>
        <v>0.187368793586691</v>
      </c>
      <c r="E11" s="81" t="n">
        <f aca="false">IF($A11="","",SUMIFS(Purchase_Register!$AI$6:$AI$205,Purchase_Register!$M$6:$M$205,$A11))</f>
        <v>8133529.1</v>
      </c>
      <c r="F11" s="81" t="n">
        <f aca="false">IF($A11="","",SUMIFS(Purchase_Register!$AK$6:$AK$205,Purchase_Register!$M$6:$M$205,$A11))</f>
        <v>2456367.8</v>
      </c>
      <c r="G11" s="80" t="n">
        <f aca="false">IF($A11="","",COUNTIFS(Purchase_Register!$M$6:$M$205,$A11,Purchase_Register!$BE$6:$BE$205,"*OTIF"))</f>
        <v>3</v>
      </c>
      <c r="H11" s="38" t="n">
        <f aca="false">IF(OR($A11="",N(G11)=0),"",COUNTIFS(Purchase_Register!$M$6:$M$205,$A11,Purchase_Register!$BE$6:$BE$205,"OTIF")/G11)</f>
        <v>1</v>
      </c>
      <c r="I11" s="38" t="n">
        <f aca="false">IF(OR($A11="",N(G11)=0),"",COUNTIFS(Purchase_Register!$M$6:$M$205,$A11,Purchase_Register!$BE$6:$BE$205,"*OTIF",Purchase_Register!$AX$6:$AX$205,"All In-house*")/G11)</f>
        <v>1</v>
      </c>
      <c r="J11" s="30" t="n">
        <f aca="false">IF($A11="","",IFERROR(AVERAGEIFS(Purchase_Register!$BB$6:$BB$205,Purchase_Register!$M$6:$M$205,$A11),""))</f>
        <v>44</v>
      </c>
      <c r="K11" s="30" t="n">
        <f aca="false">IF($A11="","",IFERROR(AVERAGEIFS(Purchase_Register!$BD$6:$BD$205,Purchase_Register!$M$6:$M$205,$A11,Purchase_Register!$AY$6:$AY$205,"&lt;&gt;"),""))</f>
        <v>0</v>
      </c>
      <c r="L11" s="80" t="n">
        <f aca="false">IF($A11="","",COUNTIFS(Purchase_Register!$M$6:$M$205,$A11,Purchase_Register!$O$6:$O$205,"&lt;&gt;",Purchase_Register!$AY$6:$AY$205,"",Purchase_Register!$BD$6:$BD$205,"&gt;0"))</f>
        <v>0</v>
      </c>
      <c r="M11" s="80" t="n">
        <f aca="false">IF($A11="","",COUNTIFS(Purchase_Register!$M$6:$M$205,$A11,Purchase_Register!$AX$6:$AX$205,"Short Closed*"))</f>
        <v>0</v>
      </c>
      <c r="N11" s="81" t="n">
        <f aca="false">IF($A11="","",SUMIFS(Purchase_Register!$AW$6:$AW$205,Purchase_Register!$M$6:$M$205,$A11,Purchase_Register!$AY$6:$AY$205,""))</f>
        <v>4674230.2</v>
      </c>
      <c r="O11" s="38" t="n">
        <f aca="false">IF($A11="","",IFERROR(COUNTIFS(Purchase_Register!$M$6:$M$205,$A11,Purchase_Register!$BF$6:$BF$205,"Approved*")/(COUNTIFS(Purchase_Register!$M$6:$M$205,$A11,Purchase_Register!$BF$6:$BF$205,"Approved*")+COUNTIFS(Purchase_Register!$M$6:$M$205,$A11,Purchase_Register!$BF$6:$BF$205,"Rejected")),""))</f>
        <v>1</v>
      </c>
      <c r="P11" s="83" t="n">
        <f aca="false">IF($A11="","",IFERROR(AVERAGEIFS(Purchase_Register!$AB$6:$AB$205,Purchase_Register!$M$6:$M$205,$A11),""))</f>
        <v>0.0116151568110383</v>
      </c>
      <c r="Q11" s="84" t="n">
        <f aca="false">IF(OR($A11="",H11="",O11=""),"",ROUND(40*H11+20*N(I11)+25*O11+15*(1-MIN(1,MAX(0,N(P11))/0.1)),0))</f>
        <v>98</v>
      </c>
      <c r="R11" s="31" t="str">
        <f aca="false">IF($A11="","",IF(Q11="","Not Rated",IF(Q11&gt;=80,"A — Preferred",IF(Q11&gt;=60,"B — Approved","C — Review"))))</f>
        <v>A — Preferred</v>
      </c>
      <c r="S11" s="33" t="n">
        <f aca="false">IF($A11="",-ROW(),N(C11)+(1000-ROW())/1000000)</f>
        <v>10589896.900989</v>
      </c>
    </row>
    <row r="12" customFormat="false" ht="15" hidden="false" customHeight="false" outlineLevel="0" collapsed="false">
      <c r="A12" s="79" t="str">
        <f aca="false">IF(Lists!$J$9="","",Lists!$J$9)</f>
        <v>Jiangsu Footwear Machinery Co.</v>
      </c>
      <c r="B12" s="80" t="n">
        <f aca="false">IF($A12="","",COUNTIFS(Purchase_Register!$M$6:$M$205,$A12,Purchase_Register!$O$6:$O$205,"&lt;&gt;"))</f>
        <v>3</v>
      </c>
      <c r="C12" s="81" t="n">
        <f aca="false">IF($A12="","",SUMIFS(Purchase_Register!$AD$6:$AD$205,Purchase_Register!$M$6:$M$205,$A12))</f>
        <v>10184712.72</v>
      </c>
      <c r="D12" s="82" t="n">
        <f aca="false">IF(OR($A12="",SUM($C$5:$C$34)=0),"",C12/SUM($C$5:$C$34))</f>
        <v>0.18019980301918</v>
      </c>
      <c r="E12" s="81" t="n">
        <f aca="false">IF($A12="","",SUMIFS(Purchase_Register!$AI$6:$AI$205,Purchase_Register!$M$6:$M$205,$A12))</f>
        <v>5092356.36</v>
      </c>
      <c r="F12" s="81" t="n">
        <f aca="false">IF($A12="","",SUMIFS(Purchase_Register!$AK$6:$AK$205,Purchase_Register!$M$6:$M$205,$A12))</f>
        <v>5092356.36</v>
      </c>
      <c r="G12" s="80" t="n">
        <f aca="false">IF($A12="","",COUNTIFS(Purchase_Register!$M$6:$M$205,$A12,Purchase_Register!$BE$6:$BE$205,"*OTIF"))</f>
        <v>3</v>
      </c>
      <c r="H12" s="38" t="n">
        <f aca="false">IF(OR($A12="",N(G12)=0),"",COUNTIFS(Purchase_Register!$M$6:$M$205,$A12,Purchase_Register!$BE$6:$BE$205,"OTIF")/G12)</f>
        <v>0</v>
      </c>
      <c r="I12" s="38" t="n">
        <f aca="false">IF(OR($A12="",N(G12)=0),"",COUNTIFS(Purchase_Register!$M$6:$M$205,$A12,Purchase_Register!$BE$6:$BE$205,"*OTIF",Purchase_Register!$AX$6:$AX$205,"All In-house*")/G12)</f>
        <v>0.666666666666667</v>
      </c>
      <c r="J12" s="30" t="n">
        <f aca="false">IF($A12="","",IFERROR(AVERAGEIFS(Purchase_Register!$BB$6:$BB$205,Purchase_Register!$M$6:$M$205,$A12),""))</f>
        <v>52.6666666666667</v>
      </c>
      <c r="K12" s="30" t="n">
        <f aca="false">IF($A12="","",IFERROR(AVERAGEIFS(Purchase_Register!$BD$6:$BD$205,Purchase_Register!$M$6:$M$205,$A12,Purchase_Register!$AY$6:$AY$205,"&lt;&gt;"),""))</f>
        <v>3.33333333333333</v>
      </c>
      <c r="L12" s="80" t="n">
        <f aca="false">IF($A12="","",COUNTIFS(Purchase_Register!$M$6:$M$205,$A12,Purchase_Register!$O$6:$O$205,"&lt;&gt;",Purchase_Register!$AY$6:$AY$205,"",Purchase_Register!$BD$6:$BD$205,"&gt;0"))</f>
        <v>0</v>
      </c>
      <c r="M12" s="80" t="n">
        <f aca="false">IF($A12="","",COUNTIFS(Purchase_Register!$M$6:$M$205,$A12,Purchase_Register!$AX$6:$AX$205,"Short Closed*"))</f>
        <v>1</v>
      </c>
      <c r="N12" s="81" t="n">
        <f aca="false">IF($A12="","",SUMIFS(Purchase_Register!$AW$6:$AW$205,Purchase_Register!$M$6:$M$205,$A12,Purchase_Register!$AY$6:$AY$205,""))</f>
        <v>0</v>
      </c>
      <c r="O12" s="38" t="n">
        <f aca="false">IF($A12="","",IFERROR(COUNTIFS(Purchase_Register!$M$6:$M$205,$A12,Purchase_Register!$BF$6:$BF$205,"Approved*")/(COUNTIFS(Purchase_Register!$M$6:$M$205,$A12,Purchase_Register!$BF$6:$BF$205,"Approved*")+COUNTIFS(Purchase_Register!$M$6:$M$205,$A12,Purchase_Register!$BF$6:$BF$205,"Rejected")),""))</f>
        <v>1</v>
      </c>
      <c r="P12" s="83" t="n">
        <f aca="false">IF($A12="","",IFERROR(AVERAGEIFS(Purchase_Register!$AB$6:$AB$205,Purchase_Register!$M$6:$M$205,$A12),""))</f>
        <v>-0.00295604642186042</v>
      </c>
      <c r="Q12" s="84" t="n">
        <f aca="false">IF(OR($A12="",H12="",O12=""),"",ROUND(40*H12+20*N(I12)+25*O12+15*(1-MIN(1,MAX(0,N(P12))/0.1)),0))</f>
        <v>53</v>
      </c>
      <c r="R12" s="31" t="str">
        <f aca="false">IF($A12="","",IF(Q12="","Not Rated",IF(Q12&gt;=80,"A — Preferred",IF(Q12&gt;=60,"B — Approved","C — Review"))))</f>
        <v>C — Review</v>
      </c>
      <c r="S12" s="33" t="n">
        <f aca="false">IF($A12="",-ROW(),N(C12)+(1000-ROW())/1000000)</f>
        <v>10184712.720988</v>
      </c>
    </row>
    <row r="13" customFormat="false" ht="15" hidden="false" customHeight="false" outlineLevel="0" collapsed="false">
      <c r="A13" s="79" t="str">
        <f aca="false">IF(Lists!$J$10="","",Lists!$J$10)</f>
        <v>Dhaka Spares &amp; Tools</v>
      </c>
      <c r="B13" s="80" t="n">
        <f aca="false">IF($A13="","",COUNTIFS(Purchase_Register!$M$6:$M$205,$A13,Purchase_Register!$O$6:$O$205,"&lt;&gt;"))</f>
        <v>6</v>
      </c>
      <c r="C13" s="81" t="n">
        <f aca="false">IF($A13="","",SUMIFS(Purchase_Register!$AD$6:$AD$205,Purchase_Register!$M$6:$M$205,$A13))</f>
        <v>2588532.275</v>
      </c>
      <c r="D13" s="82" t="n">
        <f aca="false">IF(OR($A13="",SUM($C$5:$C$34)=0),"",C13/SUM($C$5:$C$34))</f>
        <v>0.0457993287476636</v>
      </c>
      <c r="E13" s="81" t="n">
        <f aca="false">IF($A13="","",SUMIFS(Purchase_Register!$AI$6:$AI$205,Purchase_Register!$M$6:$M$205,$A13))</f>
        <v>2179163.68</v>
      </c>
      <c r="F13" s="81" t="n">
        <f aca="false">IF($A13="","",SUMIFS(Purchase_Register!$AK$6:$AK$205,Purchase_Register!$M$6:$M$205,$A13))</f>
        <v>409368.6</v>
      </c>
      <c r="G13" s="80" t="n">
        <f aca="false">IF($A13="","",COUNTIFS(Purchase_Register!$M$6:$M$205,$A13,Purchase_Register!$BE$6:$BE$205,"*OTIF"))</f>
        <v>6</v>
      </c>
      <c r="H13" s="38" t="n">
        <f aca="false">IF(OR($A13="",N(G13)=0),"",COUNTIFS(Purchase_Register!$M$6:$M$205,$A13,Purchase_Register!$BE$6:$BE$205,"OTIF")/G13)</f>
        <v>0.333333333333333</v>
      </c>
      <c r="I13" s="38" t="n">
        <f aca="false">IF(OR($A13="",N(G13)=0),"",COUNTIFS(Purchase_Register!$M$6:$M$205,$A13,Purchase_Register!$BE$6:$BE$205,"*OTIF",Purchase_Register!$AX$6:$AX$205,"All In-house*")/G13)</f>
        <v>1</v>
      </c>
      <c r="J13" s="30" t="n">
        <f aca="false">IF($A13="","",IFERROR(AVERAGEIFS(Purchase_Register!$BB$6:$BB$205,Purchase_Register!$M$6:$M$205,$A13),""))</f>
        <v>18.3333333333333</v>
      </c>
      <c r="K13" s="30" t="n">
        <f aca="false">IF($A13="","",IFERROR(AVERAGEIFS(Purchase_Register!$BD$6:$BD$205,Purchase_Register!$M$6:$M$205,$A13,Purchase_Register!$AY$6:$AY$205,"&lt;&gt;"),""))</f>
        <v>2.83333333333333</v>
      </c>
      <c r="L13" s="80" t="n">
        <f aca="false">IF($A13="","",COUNTIFS(Purchase_Register!$M$6:$M$205,$A13,Purchase_Register!$O$6:$O$205,"&lt;&gt;",Purchase_Register!$AY$6:$AY$205,"",Purchase_Register!$BD$6:$BD$205,"&gt;0"))</f>
        <v>0</v>
      </c>
      <c r="M13" s="80" t="n">
        <f aca="false">IF($A13="","",COUNTIFS(Purchase_Register!$M$6:$M$205,$A13,Purchase_Register!$AX$6:$AX$205,"Short Closed*"))</f>
        <v>0</v>
      </c>
      <c r="N13" s="81" t="n">
        <f aca="false">IF($A13="","",SUMIFS(Purchase_Register!$AW$6:$AW$205,Purchase_Register!$M$6:$M$205,$A13,Purchase_Register!$AY$6:$AY$205,""))</f>
        <v>0</v>
      </c>
      <c r="O13" s="38" t="n">
        <f aca="false">IF($A13="","",IFERROR(COUNTIFS(Purchase_Register!$M$6:$M$205,$A13,Purchase_Register!$BF$6:$BF$205,"Approved*")/(COUNTIFS(Purchase_Register!$M$6:$M$205,$A13,Purchase_Register!$BF$6:$BF$205,"Approved*")+COUNTIFS(Purchase_Register!$M$6:$M$205,$A13,Purchase_Register!$BF$6:$BF$205,"Rejected")),""))</f>
        <v>0.833333333333333</v>
      </c>
      <c r="P13" s="83" t="n">
        <f aca="false">IF($A13="","",IFERROR(AVERAGEIFS(Purchase_Register!$AB$6:$AB$205,Purchase_Register!$M$6:$M$205,$A13),""))</f>
        <v>0.0263321663043403</v>
      </c>
      <c r="Q13" s="84" t="n">
        <f aca="false">IF(OR($A13="",H13="",O13=""),"",ROUND(40*H13+20*N(I13)+25*O13+15*(1-MIN(1,MAX(0,N(P13))/0.1)),0))</f>
        <v>65</v>
      </c>
      <c r="R13" s="31" t="str">
        <f aca="false">IF($A13="","",IF(Q13="","Not Rated",IF(Q13&gt;=80,"A — Preferred",IF(Q13&gt;=60,"B — Approved","C — Review"))))</f>
        <v>B — Approved</v>
      </c>
      <c r="S13" s="33" t="n">
        <f aca="false">IF($A13="",-ROW(),N(C13)+(1000-ROW())/1000000)</f>
        <v>2588532.275987</v>
      </c>
    </row>
    <row r="14" customFormat="false" ht="15" hidden="false" customHeight="false" outlineLevel="0" collapsed="false">
      <c r="A14" s="79" t="str">
        <f aca="false">IF(Lists!$J$11="","",Lists!$J$11)</f>
        <v>Tech Point BD</v>
      </c>
      <c r="B14" s="80" t="n">
        <f aca="false">IF($A14="","",COUNTIFS(Purchase_Register!$M$6:$M$205,$A14,Purchase_Register!$O$6:$O$205,"&lt;&gt;"))</f>
        <v>1</v>
      </c>
      <c r="C14" s="81" t="n">
        <f aca="false">IF($A14="","",SUMIFS(Purchase_Register!$AD$6:$AD$205,Purchase_Register!$M$6:$M$205,$A14))</f>
        <v>761820.15</v>
      </c>
      <c r="D14" s="82" t="n">
        <f aca="false">IF(OR($A14="",SUM($C$5:$C$34)=0),"",C14/SUM($C$5:$C$34))</f>
        <v>0.0134790096431942</v>
      </c>
      <c r="E14" s="81" t="n">
        <f aca="false">IF($A14="","",SUMIFS(Purchase_Register!$AI$6:$AI$205,Purchase_Register!$M$6:$M$205,$A14))</f>
        <v>380910.08</v>
      </c>
      <c r="F14" s="81" t="n">
        <f aca="false">IF($A14="","",SUMIFS(Purchase_Register!$AK$6:$AK$205,Purchase_Register!$M$6:$M$205,$A14))</f>
        <v>380910.07</v>
      </c>
      <c r="G14" s="80" t="n">
        <f aca="false">IF($A14="","",COUNTIFS(Purchase_Register!$M$6:$M$205,$A14,Purchase_Register!$BE$6:$BE$205,"*OTIF"))</f>
        <v>1</v>
      </c>
      <c r="H14" s="38" t="n">
        <f aca="false">IF(OR($A14="",N(G14)=0),"",COUNTIFS(Purchase_Register!$M$6:$M$205,$A14,Purchase_Register!$BE$6:$BE$205,"OTIF")/G14)</f>
        <v>1</v>
      </c>
      <c r="I14" s="38" t="n">
        <f aca="false">IF(OR($A14="",N(G14)=0),"",COUNTIFS(Purchase_Register!$M$6:$M$205,$A14,Purchase_Register!$BE$6:$BE$205,"*OTIF",Purchase_Register!$AX$6:$AX$205,"All In-house*")/G14)</f>
        <v>1</v>
      </c>
      <c r="J14" s="30" t="n">
        <f aca="false">IF($A14="","",IFERROR(AVERAGEIFS(Purchase_Register!$BB$6:$BB$205,Purchase_Register!$M$6:$M$205,$A14),""))</f>
        <v>11</v>
      </c>
      <c r="K14" s="30" t="n">
        <f aca="false">IF($A14="","",IFERROR(AVERAGEIFS(Purchase_Register!$BD$6:$BD$205,Purchase_Register!$M$6:$M$205,$A14,Purchase_Register!$AY$6:$AY$205,"&lt;&gt;"),""))</f>
        <v>0</v>
      </c>
      <c r="L14" s="80" t="n">
        <f aca="false">IF($A14="","",COUNTIFS(Purchase_Register!$M$6:$M$205,$A14,Purchase_Register!$O$6:$O$205,"&lt;&gt;",Purchase_Register!$AY$6:$AY$205,"",Purchase_Register!$BD$6:$BD$205,"&gt;0"))</f>
        <v>0</v>
      </c>
      <c r="M14" s="80" t="n">
        <f aca="false">IF($A14="","",COUNTIFS(Purchase_Register!$M$6:$M$205,$A14,Purchase_Register!$AX$6:$AX$205,"Short Closed*"))</f>
        <v>0</v>
      </c>
      <c r="N14" s="81" t="n">
        <f aca="false">IF($A14="","",SUMIFS(Purchase_Register!$AW$6:$AW$205,Purchase_Register!$M$6:$M$205,$A14,Purchase_Register!$AY$6:$AY$205,""))</f>
        <v>0</v>
      </c>
      <c r="O14" s="38" t="n">
        <f aca="false">IF($A14="","",IFERROR(COUNTIFS(Purchase_Register!$M$6:$M$205,$A14,Purchase_Register!$BF$6:$BF$205,"Approved*")/(COUNTIFS(Purchase_Register!$M$6:$M$205,$A14,Purchase_Register!$BF$6:$BF$205,"Approved*")+COUNTIFS(Purchase_Register!$M$6:$M$205,$A14,Purchase_Register!$BF$6:$BF$205,"Rejected")),""))</f>
        <v>1</v>
      </c>
      <c r="P14" s="83" t="n">
        <f aca="false">IF($A14="","",IFERROR(AVERAGEIFS(Purchase_Register!$AB$6:$AB$205,Purchase_Register!$M$6:$M$205,$A14),""))</f>
        <v>0.0832436630940707</v>
      </c>
      <c r="Q14" s="84" t="n">
        <f aca="false">IF(OR($A14="",H14="",O14=""),"",ROUND(40*H14+20*N(I14)+25*O14+15*(1-MIN(1,MAX(0,N(P14))/0.1)),0))</f>
        <v>88</v>
      </c>
      <c r="R14" s="31" t="str">
        <f aca="false">IF($A14="","",IF(Q14="","Not Rated",IF(Q14&gt;=80,"A — Preferred",IF(Q14&gt;=60,"B — Approved","C — Review"))))</f>
        <v>A — Preferred</v>
      </c>
      <c r="S14" s="33" t="n">
        <f aca="false">IF($A14="",-ROW(),N(C14)+(1000-ROW())/1000000)</f>
        <v>761820.150986</v>
      </c>
    </row>
    <row r="15" customFormat="false" ht="15" hidden="false" customHeight="false" outlineLevel="0" collapsed="false">
      <c r="A15" s="79" t="str">
        <f aca="false">IF(Lists!$J$12="","",Lists!$J$12)</f>
        <v/>
      </c>
      <c r="B15" s="80" t="str">
        <f aca="false">IF($A15="","",COUNTIFS(Purchase_Register!$M$6:$M$205,$A15,Purchase_Register!$O$6:$O$205,"&lt;&gt;"))</f>
        <v/>
      </c>
      <c r="C15" s="81" t="str">
        <f aca="false">IF($A15="","",SUMIFS(Purchase_Register!$AD$6:$AD$205,Purchase_Register!$M$6:$M$205,$A15))</f>
        <v/>
      </c>
      <c r="D15" s="82" t="str">
        <f aca="false">IF(OR($A15="",SUM($C$5:$C$34)=0),"",C15/SUM($C$5:$C$34))</f>
        <v/>
      </c>
      <c r="E15" s="81" t="str">
        <f aca="false">IF($A15="","",SUMIFS(Purchase_Register!$AI$6:$AI$205,Purchase_Register!$M$6:$M$205,$A15))</f>
        <v/>
      </c>
      <c r="F15" s="81" t="str">
        <f aca="false">IF($A15="","",SUMIFS(Purchase_Register!$AK$6:$AK$205,Purchase_Register!$M$6:$M$205,$A15))</f>
        <v/>
      </c>
      <c r="G15" s="80" t="str">
        <f aca="false">IF($A15="","",COUNTIFS(Purchase_Register!$M$6:$M$205,$A15,Purchase_Register!$BE$6:$BE$205,"*OTIF"))</f>
        <v/>
      </c>
      <c r="H15" s="38" t="str">
        <f aca="false">IF(OR($A15="",N(G15)=0),"",COUNTIFS(Purchase_Register!$M$6:$M$205,$A15,Purchase_Register!$BE$6:$BE$205,"OTIF")/G15)</f>
        <v/>
      </c>
      <c r="I15" s="38" t="str">
        <f aca="false">IF(OR($A15="",N(G15)=0),"",COUNTIFS(Purchase_Register!$M$6:$M$205,$A15,Purchase_Register!$BE$6:$BE$205,"*OTIF",Purchase_Register!$AX$6:$AX$205,"All In-house*")/G15)</f>
        <v/>
      </c>
      <c r="J15" s="30" t="str">
        <f aca="false">IF($A15="","",IFERROR(AVERAGEIFS(Purchase_Register!$BB$6:$BB$205,Purchase_Register!$M$6:$M$205,$A15),""))</f>
        <v/>
      </c>
      <c r="K15" s="30" t="str">
        <f aca="false">IF($A15="","",IFERROR(AVERAGEIFS(Purchase_Register!$BD$6:$BD$205,Purchase_Register!$M$6:$M$205,$A15,Purchase_Register!$AY$6:$AY$205,"&lt;&gt;"),""))</f>
        <v/>
      </c>
      <c r="L15" s="80" t="str">
        <f aca="false">IF($A15="","",COUNTIFS(Purchase_Register!$M$6:$M$205,$A15,Purchase_Register!$O$6:$O$205,"&lt;&gt;",Purchase_Register!$AY$6:$AY$205,"",Purchase_Register!$BD$6:$BD$205,"&gt;0"))</f>
        <v/>
      </c>
      <c r="M15" s="80" t="str">
        <f aca="false">IF($A15="","",COUNTIFS(Purchase_Register!$M$6:$M$205,$A15,Purchase_Register!$AX$6:$AX$205,"Short Closed*"))</f>
        <v/>
      </c>
      <c r="N15" s="81" t="str">
        <f aca="false">IF($A15="","",SUMIFS(Purchase_Register!$AW$6:$AW$205,Purchase_Register!$M$6:$M$205,$A15,Purchase_Register!$AY$6:$AY$205,""))</f>
        <v/>
      </c>
      <c r="O15" s="38" t="str">
        <f aca="false">IF($A15="","",IFERROR(COUNTIFS(Purchase_Register!$M$6:$M$205,$A15,Purchase_Register!$BF$6:$BF$205,"Approved*")/(COUNTIFS(Purchase_Register!$M$6:$M$205,$A15,Purchase_Register!$BF$6:$BF$205,"Approved*")+COUNTIFS(Purchase_Register!$M$6:$M$205,$A15,Purchase_Register!$BF$6:$BF$205,"Rejected")),""))</f>
        <v/>
      </c>
      <c r="P15" s="83" t="str">
        <f aca="false">IF($A15="","",IFERROR(AVERAGEIFS(Purchase_Register!$AB$6:$AB$205,Purchase_Register!$M$6:$M$205,$A15),""))</f>
        <v/>
      </c>
      <c r="Q15" s="84" t="str">
        <f aca="false">IF(OR($A15="",H15="",O15=""),"",ROUND(40*H15+20*N(I15)+25*O15+15*(1-MIN(1,MAX(0,N(P15))/0.1)),0))</f>
        <v/>
      </c>
      <c r="R15" s="31" t="str">
        <f aca="false">IF($A15="","",IF(Q15="","Not Rated",IF(Q15&gt;=80,"A — Preferred",IF(Q15&gt;=60,"B — Approved","C — Review"))))</f>
        <v/>
      </c>
      <c r="S15" s="33" t="n">
        <f aca="false">IF($A15="",-ROW(),N(C15)+(1000-ROW())/1000000)</f>
        <v>-15</v>
      </c>
    </row>
    <row r="16" customFormat="false" ht="15" hidden="false" customHeight="false" outlineLevel="0" collapsed="false">
      <c r="A16" s="79" t="str">
        <f aca="false">IF(Lists!$J$13="","",Lists!$J$13)</f>
        <v/>
      </c>
      <c r="B16" s="80" t="str">
        <f aca="false">IF($A16="","",COUNTIFS(Purchase_Register!$M$6:$M$205,$A16,Purchase_Register!$O$6:$O$205,"&lt;&gt;"))</f>
        <v/>
      </c>
      <c r="C16" s="81" t="str">
        <f aca="false">IF($A16="","",SUMIFS(Purchase_Register!$AD$6:$AD$205,Purchase_Register!$M$6:$M$205,$A16))</f>
        <v/>
      </c>
      <c r="D16" s="82" t="str">
        <f aca="false">IF(OR($A16="",SUM($C$5:$C$34)=0),"",C16/SUM($C$5:$C$34))</f>
        <v/>
      </c>
      <c r="E16" s="81" t="str">
        <f aca="false">IF($A16="","",SUMIFS(Purchase_Register!$AI$6:$AI$205,Purchase_Register!$M$6:$M$205,$A16))</f>
        <v/>
      </c>
      <c r="F16" s="81" t="str">
        <f aca="false">IF($A16="","",SUMIFS(Purchase_Register!$AK$6:$AK$205,Purchase_Register!$M$6:$M$205,$A16))</f>
        <v/>
      </c>
      <c r="G16" s="80" t="str">
        <f aca="false">IF($A16="","",COUNTIFS(Purchase_Register!$M$6:$M$205,$A16,Purchase_Register!$BE$6:$BE$205,"*OTIF"))</f>
        <v/>
      </c>
      <c r="H16" s="38" t="str">
        <f aca="false">IF(OR($A16="",N(G16)=0),"",COUNTIFS(Purchase_Register!$M$6:$M$205,$A16,Purchase_Register!$BE$6:$BE$205,"OTIF")/G16)</f>
        <v/>
      </c>
      <c r="I16" s="38" t="str">
        <f aca="false">IF(OR($A16="",N(G16)=0),"",COUNTIFS(Purchase_Register!$M$6:$M$205,$A16,Purchase_Register!$BE$6:$BE$205,"*OTIF",Purchase_Register!$AX$6:$AX$205,"All In-house*")/G16)</f>
        <v/>
      </c>
      <c r="J16" s="30" t="str">
        <f aca="false">IF($A16="","",IFERROR(AVERAGEIFS(Purchase_Register!$BB$6:$BB$205,Purchase_Register!$M$6:$M$205,$A16),""))</f>
        <v/>
      </c>
      <c r="K16" s="30" t="str">
        <f aca="false">IF($A16="","",IFERROR(AVERAGEIFS(Purchase_Register!$BD$6:$BD$205,Purchase_Register!$M$6:$M$205,$A16,Purchase_Register!$AY$6:$AY$205,"&lt;&gt;"),""))</f>
        <v/>
      </c>
      <c r="L16" s="80" t="str">
        <f aca="false">IF($A16="","",COUNTIFS(Purchase_Register!$M$6:$M$205,$A16,Purchase_Register!$O$6:$O$205,"&lt;&gt;",Purchase_Register!$AY$6:$AY$205,"",Purchase_Register!$BD$6:$BD$205,"&gt;0"))</f>
        <v/>
      </c>
      <c r="M16" s="80" t="str">
        <f aca="false">IF($A16="","",COUNTIFS(Purchase_Register!$M$6:$M$205,$A16,Purchase_Register!$AX$6:$AX$205,"Short Closed*"))</f>
        <v/>
      </c>
      <c r="N16" s="81" t="str">
        <f aca="false">IF($A16="","",SUMIFS(Purchase_Register!$AW$6:$AW$205,Purchase_Register!$M$6:$M$205,$A16,Purchase_Register!$AY$6:$AY$205,""))</f>
        <v/>
      </c>
      <c r="O16" s="38" t="str">
        <f aca="false">IF($A16="","",IFERROR(COUNTIFS(Purchase_Register!$M$6:$M$205,$A16,Purchase_Register!$BF$6:$BF$205,"Approved*")/(COUNTIFS(Purchase_Register!$M$6:$M$205,$A16,Purchase_Register!$BF$6:$BF$205,"Approved*")+COUNTIFS(Purchase_Register!$M$6:$M$205,$A16,Purchase_Register!$BF$6:$BF$205,"Rejected")),""))</f>
        <v/>
      </c>
      <c r="P16" s="83" t="str">
        <f aca="false">IF($A16="","",IFERROR(AVERAGEIFS(Purchase_Register!$AB$6:$AB$205,Purchase_Register!$M$6:$M$205,$A16),""))</f>
        <v/>
      </c>
      <c r="Q16" s="84" t="str">
        <f aca="false">IF(OR($A16="",H16="",O16=""),"",ROUND(40*H16+20*N(I16)+25*O16+15*(1-MIN(1,MAX(0,N(P16))/0.1)),0))</f>
        <v/>
      </c>
      <c r="R16" s="31" t="str">
        <f aca="false">IF($A16="","",IF(Q16="","Not Rated",IF(Q16&gt;=80,"A — Preferred",IF(Q16&gt;=60,"B — Approved","C — Review"))))</f>
        <v/>
      </c>
      <c r="S16" s="33" t="n">
        <f aca="false">IF($A16="",-ROW(),N(C16)+(1000-ROW())/1000000)</f>
        <v>-16</v>
      </c>
    </row>
    <row r="17" customFormat="false" ht="15" hidden="false" customHeight="false" outlineLevel="0" collapsed="false">
      <c r="A17" s="79" t="str">
        <f aca="false">IF(Lists!$J$14="","",Lists!$J$14)</f>
        <v/>
      </c>
      <c r="B17" s="80" t="str">
        <f aca="false">IF($A17="","",COUNTIFS(Purchase_Register!$M$6:$M$205,$A17,Purchase_Register!$O$6:$O$205,"&lt;&gt;"))</f>
        <v/>
      </c>
      <c r="C17" s="81" t="str">
        <f aca="false">IF($A17="","",SUMIFS(Purchase_Register!$AD$6:$AD$205,Purchase_Register!$M$6:$M$205,$A17))</f>
        <v/>
      </c>
      <c r="D17" s="82" t="str">
        <f aca="false">IF(OR($A17="",SUM($C$5:$C$34)=0),"",C17/SUM($C$5:$C$34))</f>
        <v/>
      </c>
      <c r="E17" s="81" t="str">
        <f aca="false">IF($A17="","",SUMIFS(Purchase_Register!$AI$6:$AI$205,Purchase_Register!$M$6:$M$205,$A17))</f>
        <v/>
      </c>
      <c r="F17" s="81" t="str">
        <f aca="false">IF($A17="","",SUMIFS(Purchase_Register!$AK$6:$AK$205,Purchase_Register!$M$6:$M$205,$A17))</f>
        <v/>
      </c>
      <c r="G17" s="80" t="str">
        <f aca="false">IF($A17="","",COUNTIFS(Purchase_Register!$M$6:$M$205,$A17,Purchase_Register!$BE$6:$BE$205,"*OTIF"))</f>
        <v/>
      </c>
      <c r="H17" s="38" t="str">
        <f aca="false">IF(OR($A17="",N(G17)=0),"",COUNTIFS(Purchase_Register!$M$6:$M$205,$A17,Purchase_Register!$BE$6:$BE$205,"OTIF")/G17)</f>
        <v/>
      </c>
      <c r="I17" s="38" t="str">
        <f aca="false">IF(OR($A17="",N(G17)=0),"",COUNTIFS(Purchase_Register!$M$6:$M$205,$A17,Purchase_Register!$BE$6:$BE$205,"*OTIF",Purchase_Register!$AX$6:$AX$205,"All In-house*")/G17)</f>
        <v/>
      </c>
      <c r="J17" s="30" t="str">
        <f aca="false">IF($A17="","",IFERROR(AVERAGEIFS(Purchase_Register!$BB$6:$BB$205,Purchase_Register!$M$6:$M$205,$A17),""))</f>
        <v/>
      </c>
      <c r="K17" s="30" t="str">
        <f aca="false">IF($A17="","",IFERROR(AVERAGEIFS(Purchase_Register!$BD$6:$BD$205,Purchase_Register!$M$6:$M$205,$A17,Purchase_Register!$AY$6:$AY$205,"&lt;&gt;"),""))</f>
        <v/>
      </c>
      <c r="L17" s="80" t="str">
        <f aca="false">IF($A17="","",COUNTIFS(Purchase_Register!$M$6:$M$205,$A17,Purchase_Register!$O$6:$O$205,"&lt;&gt;",Purchase_Register!$AY$6:$AY$205,"",Purchase_Register!$BD$6:$BD$205,"&gt;0"))</f>
        <v/>
      </c>
      <c r="M17" s="80" t="str">
        <f aca="false">IF($A17="","",COUNTIFS(Purchase_Register!$M$6:$M$205,$A17,Purchase_Register!$AX$6:$AX$205,"Short Closed*"))</f>
        <v/>
      </c>
      <c r="N17" s="81" t="str">
        <f aca="false">IF($A17="","",SUMIFS(Purchase_Register!$AW$6:$AW$205,Purchase_Register!$M$6:$M$205,$A17,Purchase_Register!$AY$6:$AY$205,""))</f>
        <v/>
      </c>
      <c r="O17" s="38" t="str">
        <f aca="false">IF($A17="","",IFERROR(COUNTIFS(Purchase_Register!$M$6:$M$205,$A17,Purchase_Register!$BF$6:$BF$205,"Approved*")/(COUNTIFS(Purchase_Register!$M$6:$M$205,$A17,Purchase_Register!$BF$6:$BF$205,"Approved*")+COUNTIFS(Purchase_Register!$M$6:$M$205,$A17,Purchase_Register!$BF$6:$BF$205,"Rejected")),""))</f>
        <v/>
      </c>
      <c r="P17" s="83" t="str">
        <f aca="false">IF($A17="","",IFERROR(AVERAGEIFS(Purchase_Register!$AB$6:$AB$205,Purchase_Register!$M$6:$M$205,$A17),""))</f>
        <v/>
      </c>
      <c r="Q17" s="84" t="str">
        <f aca="false">IF(OR($A17="",H17="",O17=""),"",ROUND(40*H17+20*N(I17)+25*O17+15*(1-MIN(1,MAX(0,N(P17))/0.1)),0))</f>
        <v/>
      </c>
      <c r="R17" s="31" t="str">
        <f aca="false">IF($A17="","",IF(Q17="","Not Rated",IF(Q17&gt;=80,"A — Preferred",IF(Q17&gt;=60,"B — Approved","C — Review"))))</f>
        <v/>
      </c>
      <c r="S17" s="33" t="n">
        <f aca="false">IF($A17="",-ROW(),N(C17)+(1000-ROW())/1000000)</f>
        <v>-17</v>
      </c>
    </row>
    <row r="18" customFormat="false" ht="15" hidden="false" customHeight="false" outlineLevel="0" collapsed="false">
      <c r="A18" s="79" t="str">
        <f aca="false">IF(Lists!$J$15="","",Lists!$J$15)</f>
        <v/>
      </c>
      <c r="B18" s="80" t="str">
        <f aca="false">IF($A18="","",COUNTIFS(Purchase_Register!$M$6:$M$205,$A18,Purchase_Register!$O$6:$O$205,"&lt;&gt;"))</f>
        <v/>
      </c>
      <c r="C18" s="81" t="str">
        <f aca="false">IF($A18="","",SUMIFS(Purchase_Register!$AD$6:$AD$205,Purchase_Register!$M$6:$M$205,$A18))</f>
        <v/>
      </c>
      <c r="D18" s="82" t="str">
        <f aca="false">IF(OR($A18="",SUM($C$5:$C$34)=0),"",C18/SUM($C$5:$C$34))</f>
        <v/>
      </c>
      <c r="E18" s="81" t="str">
        <f aca="false">IF($A18="","",SUMIFS(Purchase_Register!$AI$6:$AI$205,Purchase_Register!$M$6:$M$205,$A18))</f>
        <v/>
      </c>
      <c r="F18" s="81" t="str">
        <f aca="false">IF($A18="","",SUMIFS(Purchase_Register!$AK$6:$AK$205,Purchase_Register!$M$6:$M$205,$A18))</f>
        <v/>
      </c>
      <c r="G18" s="80" t="str">
        <f aca="false">IF($A18="","",COUNTIFS(Purchase_Register!$M$6:$M$205,$A18,Purchase_Register!$BE$6:$BE$205,"*OTIF"))</f>
        <v/>
      </c>
      <c r="H18" s="38" t="str">
        <f aca="false">IF(OR($A18="",N(G18)=0),"",COUNTIFS(Purchase_Register!$M$6:$M$205,$A18,Purchase_Register!$BE$6:$BE$205,"OTIF")/G18)</f>
        <v/>
      </c>
      <c r="I18" s="38" t="str">
        <f aca="false">IF(OR($A18="",N(G18)=0),"",COUNTIFS(Purchase_Register!$M$6:$M$205,$A18,Purchase_Register!$BE$6:$BE$205,"*OTIF",Purchase_Register!$AX$6:$AX$205,"All In-house*")/G18)</f>
        <v/>
      </c>
      <c r="J18" s="30" t="str">
        <f aca="false">IF($A18="","",IFERROR(AVERAGEIFS(Purchase_Register!$BB$6:$BB$205,Purchase_Register!$M$6:$M$205,$A18),""))</f>
        <v/>
      </c>
      <c r="K18" s="30" t="str">
        <f aca="false">IF($A18="","",IFERROR(AVERAGEIFS(Purchase_Register!$BD$6:$BD$205,Purchase_Register!$M$6:$M$205,$A18,Purchase_Register!$AY$6:$AY$205,"&lt;&gt;"),""))</f>
        <v/>
      </c>
      <c r="L18" s="80" t="str">
        <f aca="false">IF($A18="","",COUNTIFS(Purchase_Register!$M$6:$M$205,$A18,Purchase_Register!$O$6:$O$205,"&lt;&gt;",Purchase_Register!$AY$6:$AY$205,"",Purchase_Register!$BD$6:$BD$205,"&gt;0"))</f>
        <v/>
      </c>
      <c r="M18" s="80" t="str">
        <f aca="false">IF($A18="","",COUNTIFS(Purchase_Register!$M$6:$M$205,$A18,Purchase_Register!$AX$6:$AX$205,"Short Closed*"))</f>
        <v/>
      </c>
      <c r="N18" s="81" t="str">
        <f aca="false">IF($A18="","",SUMIFS(Purchase_Register!$AW$6:$AW$205,Purchase_Register!$M$6:$M$205,$A18,Purchase_Register!$AY$6:$AY$205,""))</f>
        <v/>
      </c>
      <c r="O18" s="38" t="str">
        <f aca="false">IF($A18="","",IFERROR(COUNTIFS(Purchase_Register!$M$6:$M$205,$A18,Purchase_Register!$BF$6:$BF$205,"Approved*")/(COUNTIFS(Purchase_Register!$M$6:$M$205,$A18,Purchase_Register!$BF$6:$BF$205,"Approved*")+COUNTIFS(Purchase_Register!$M$6:$M$205,$A18,Purchase_Register!$BF$6:$BF$205,"Rejected")),""))</f>
        <v/>
      </c>
      <c r="P18" s="83" t="str">
        <f aca="false">IF($A18="","",IFERROR(AVERAGEIFS(Purchase_Register!$AB$6:$AB$205,Purchase_Register!$M$6:$M$205,$A18),""))</f>
        <v/>
      </c>
      <c r="Q18" s="84" t="str">
        <f aca="false">IF(OR($A18="",H18="",O18=""),"",ROUND(40*H18+20*N(I18)+25*O18+15*(1-MIN(1,MAX(0,N(P18))/0.1)),0))</f>
        <v/>
      </c>
      <c r="R18" s="31" t="str">
        <f aca="false">IF($A18="","",IF(Q18="","Not Rated",IF(Q18&gt;=80,"A — Preferred",IF(Q18&gt;=60,"B — Approved","C — Review"))))</f>
        <v/>
      </c>
      <c r="S18" s="33" t="n">
        <f aca="false">IF($A18="",-ROW(),N(C18)+(1000-ROW())/1000000)</f>
        <v>-18</v>
      </c>
    </row>
    <row r="19" customFormat="false" ht="15" hidden="false" customHeight="false" outlineLevel="0" collapsed="false">
      <c r="A19" s="79" t="str">
        <f aca="false">IF(Lists!$J$16="","",Lists!$J$16)</f>
        <v/>
      </c>
      <c r="B19" s="80" t="str">
        <f aca="false">IF($A19="","",COUNTIFS(Purchase_Register!$M$6:$M$205,$A19,Purchase_Register!$O$6:$O$205,"&lt;&gt;"))</f>
        <v/>
      </c>
      <c r="C19" s="81" t="str">
        <f aca="false">IF($A19="","",SUMIFS(Purchase_Register!$AD$6:$AD$205,Purchase_Register!$M$6:$M$205,$A19))</f>
        <v/>
      </c>
      <c r="D19" s="82" t="str">
        <f aca="false">IF(OR($A19="",SUM($C$5:$C$34)=0),"",C19/SUM($C$5:$C$34))</f>
        <v/>
      </c>
      <c r="E19" s="81" t="str">
        <f aca="false">IF($A19="","",SUMIFS(Purchase_Register!$AI$6:$AI$205,Purchase_Register!$M$6:$M$205,$A19))</f>
        <v/>
      </c>
      <c r="F19" s="81" t="str">
        <f aca="false">IF($A19="","",SUMIFS(Purchase_Register!$AK$6:$AK$205,Purchase_Register!$M$6:$M$205,$A19))</f>
        <v/>
      </c>
      <c r="G19" s="80" t="str">
        <f aca="false">IF($A19="","",COUNTIFS(Purchase_Register!$M$6:$M$205,$A19,Purchase_Register!$BE$6:$BE$205,"*OTIF"))</f>
        <v/>
      </c>
      <c r="H19" s="38" t="str">
        <f aca="false">IF(OR($A19="",N(G19)=0),"",COUNTIFS(Purchase_Register!$M$6:$M$205,$A19,Purchase_Register!$BE$6:$BE$205,"OTIF")/G19)</f>
        <v/>
      </c>
      <c r="I19" s="38" t="str">
        <f aca="false">IF(OR($A19="",N(G19)=0),"",COUNTIFS(Purchase_Register!$M$6:$M$205,$A19,Purchase_Register!$BE$6:$BE$205,"*OTIF",Purchase_Register!$AX$6:$AX$205,"All In-house*")/G19)</f>
        <v/>
      </c>
      <c r="J19" s="30" t="str">
        <f aca="false">IF($A19="","",IFERROR(AVERAGEIFS(Purchase_Register!$BB$6:$BB$205,Purchase_Register!$M$6:$M$205,$A19),""))</f>
        <v/>
      </c>
      <c r="K19" s="30" t="str">
        <f aca="false">IF($A19="","",IFERROR(AVERAGEIFS(Purchase_Register!$BD$6:$BD$205,Purchase_Register!$M$6:$M$205,$A19,Purchase_Register!$AY$6:$AY$205,"&lt;&gt;"),""))</f>
        <v/>
      </c>
      <c r="L19" s="80" t="str">
        <f aca="false">IF($A19="","",COUNTIFS(Purchase_Register!$M$6:$M$205,$A19,Purchase_Register!$O$6:$O$205,"&lt;&gt;",Purchase_Register!$AY$6:$AY$205,"",Purchase_Register!$BD$6:$BD$205,"&gt;0"))</f>
        <v/>
      </c>
      <c r="M19" s="80" t="str">
        <f aca="false">IF($A19="","",COUNTIFS(Purchase_Register!$M$6:$M$205,$A19,Purchase_Register!$AX$6:$AX$205,"Short Closed*"))</f>
        <v/>
      </c>
      <c r="N19" s="81" t="str">
        <f aca="false">IF($A19="","",SUMIFS(Purchase_Register!$AW$6:$AW$205,Purchase_Register!$M$6:$M$205,$A19,Purchase_Register!$AY$6:$AY$205,""))</f>
        <v/>
      </c>
      <c r="O19" s="38" t="str">
        <f aca="false">IF($A19="","",IFERROR(COUNTIFS(Purchase_Register!$M$6:$M$205,$A19,Purchase_Register!$BF$6:$BF$205,"Approved*")/(COUNTIFS(Purchase_Register!$M$6:$M$205,$A19,Purchase_Register!$BF$6:$BF$205,"Approved*")+COUNTIFS(Purchase_Register!$M$6:$M$205,$A19,Purchase_Register!$BF$6:$BF$205,"Rejected")),""))</f>
        <v/>
      </c>
      <c r="P19" s="83" t="str">
        <f aca="false">IF($A19="","",IFERROR(AVERAGEIFS(Purchase_Register!$AB$6:$AB$205,Purchase_Register!$M$6:$M$205,$A19),""))</f>
        <v/>
      </c>
      <c r="Q19" s="84" t="str">
        <f aca="false">IF(OR($A19="",H19="",O19=""),"",ROUND(40*H19+20*N(I19)+25*O19+15*(1-MIN(1,MAX(0,N(P19))/0.1)),0))</f>
        <v/>
      </c>
      <c r="R19" s="31" t="str">
        <f aca="false">IF($A19="","",IF(Q19="","Not Rated",IF(Q19&gt;=80,"A — Preferred",IF(Q19&gt;=60,"B — Approved","C — Review"))))</f>
        <v/>
      </c>
      <c r="S19" s="33" t="n">
        <f aca="false">IF($A19="",-ROW(),N(C19)+(1000-ROW())/1000000)</f>
        <v>-19</v>
      </c>
    </row>
    <row r="20" customFormat="false" ht="15" hidden="false" customHeight="false" outlineLevel="0" collapsed="false">
      <c r="A20" s="79" t="str">
        <f aca="false">IF(Lists!$J$17="","",Lists!$J$17)</f>
        <v/>
      </c>
      <c r="B20" s="80" t="str">
        <f aca="false">IF($A20="","",COUNTIFS(Purchase_Register!$M$6:$M$205,$A20,Purchase_Register!$O$6:$O$205,"&lt;&gt;"))</f>
        <v/>
      </c>
      <c r="C20" s="81" t="str">
        <f aca="false">IF($A20="","",SUMIFS(Purchase_Register!$AD$6:$AD$205,Purchase_Register!$M$6:$M$205,$A20))</f>
        <v/>
      </c>
      <c r="D20" s="82" t="str">
        <f aca="false">IF(OR($A20="",SUM($C$5:$C$34)=0),"",C20/SUM($C$5:$C$34))</f>
        <v/>
      </c>
      <c r="E20" s="81" t="str">
        <f aca="false">IF($A20="","",SUMIFS(Purchase_Register!$AI$6:$AI$205,Purchase_Register!$M$6:$M$205,$A20))</f>
        <v/>
      </c>
      <c r="F20" s="81" t="str">
        <f aca="false">IF($A20="","",SUMIFS(Purchase_Register!$AK$6:$AK$205,Purchase_Register!$M$6:$M$205,$A20))</f>
        <v/>
      </c>
      <c r="G20" s="80" t="str">
        <f aca="false">IF($A20="","",COUNTIFS(Purchase_Register!$M$6:$M$205,$A20,Purchase_Register!$BE$6:$BE$205,"*OTIF"))</f>
        <v/>
      </c>
      <c r="H20" s="38" t="str">
        <f aca="false">IF(OR($A20="",N(G20)=0),"",COUNTIFS(Purchase_Register!$M$6:$M$205,$A20,Purchase_Register!$BE$6:$BE$205,"OTIF")/G20)</f>
        <v/>
      </c>
      <c r="I20" s="38" t="str">
        <f aca="false">IF(OR($A20="",N(G20)=0),"",COUNTIFS(Purchase_Register!$M$6:$M$205,$A20,Purchase_Register!$BE$6:$BE$205,"*OTIF",Purchase_Register!$AX$6:$AX$205,"All In-house*")/G20)</f>
        <v/>
      </c>
      <c r="J20" s="30" t="str">
        <f aca="false">IF($A20="","",IFERROR(AVERAGEIFS(Purchase_Register!$BB$6:$BB$205,Purchase_Register!$M$6:$M$205,$A20),""))</f>
        <v/>
      </c>
      <c r="K20" s="30" t="str">
        <f aca="false">IF($A20="","",IFERROR(AVERAGEIFS(Purchase_Register!$BD$6:$BD$205,Purchase_Register!$M$6:$M$205,$A20,Purchase_Register!$AY$6:$AY$205,"&lt;&gt;"),""))</f>
        <v/>
      </c>
      <c r="L20" s="80" t="str">
        <f aca="false">IF($A20="","",COUNTIFS(Purchase_Register!$M$6:$M$205,$A20,Purchase_Register!$O$6:$O$205,"&lt;&gt;",Purchase_Register!$AY$6:$AY$205,"",Purchase_Register!$BD$6:$BD$205,"&gt;0"))</f>
        <v/>
      </c>
      <c r="M20" s="80" t="str">
        <f aca="false">IF($A20="","",COUNTIFS(Purchase_Register!$M$6:$M$205,$A20,Purchase_Register!$AX$6:$AX$205,"Short Closed*"))</f>
        <v/>
      </c>
      <c r="N20" s="81" t="str">
        <f aca="false">IF($A20="","",SUMIFS(Purchase_Register!$AW$6:$AW$205,Purchase_Register!$M$6:$M$205,$A20,Purchase_Register!$AY$6:$AY$205,""))</f>
        <v/>
      </c>
      <c r="O20" s="38" t="str">
        <f aca="false">IF($A20="","",IFERROR(COUNTIFS(Purchase_Register!$M$6:$M$205,$A20,Purchase_Register!$BF$6:$BF$205,"Approved*")/(COUNTIFS(Purchase_Register!$M$6:$M$205,$A20,Purchase_Register!$BF$6:$BF$205,"Approved*")+COUNTIFS(Purchase_Register!$M$6:$M$205,$A20,Purchase_Register!$BF$6:$BF$205,"Rejected")),""))</f>
        <v/>
      </c>
      <c r="P20" s="83" t="str">
        <f aca="false">IF($A20="","",IFERROR(AVERAGEIFS(Purchase_Register!$AB$6:$AB$205,Purchase_Register!$M$6:$M$205,$A20),""))</f>
        <v/>
      </c>
      <c r="Q20" s="84" t="str">
        <f aca="false">IF(OR($A20="",H20="",O20=""),"",ROUND(40*H20+20*N(I20)+25*O20+15*(1-MIN(1,MAX(0,N(P20))/0.1)),0))</f>
        <v/>
      </c>
      <c r="R20" s="31" t="str">
        <f aca="false">IF($A20="","",IF(Q20="","Not Rated",IF(Q20&gt;=80,"A — Preferred",IF(Q20&gt;=60,"B — Approved","C — Review"))))</f>
        <v/>
      </c>
      <c r="S20" s="33" t="n">
        <f aca="false">IF($A20="",-ROW(),N(C20)+(1000-ROW())/1000000)</f>
        <v>-20</v>
      </c>
    </row>
    <row r="21" customFormat="false" ht="15" hidden="false" customHeight="false" outlineLevel="0" collapsed="false">
      <c r="A21" s="79" t="str">
        <f aca="false">IF(Lists!$J$18="","",Lists!$J$18)</f>
        <v/>
      </c>
      <c r="B21" s="80" t="str">
        <f aca="false">IF($A21="","",COUNTIFS(Purchase_Register!$M$6:$M$205,$A21,Purchase_Register!$O$6:$O$205,"&lt;&gt;"))</f>
        <v/>
      </c>
      <c r="C21" s="81" t="str">
        <f aca="false">IF($A21="","",SUMIFS(Purchase_Register!$AD$6:$AD$205,Purchase_Register!$M$6:$M$205,$A21))</f>
        <v/>
      </c>
      <c r="D21" s="82" t="str">
        <f aca="false">IF(OR($A21="",SUM($C$5:$C$34)=0),"",C21/SUM($C$5:$C$34))</f>
        <v/>
      </c>
      <c r="E21" s="81" t="str">
        <f aca="false">IF($A21="","",SUMIFS(Purchase_Register!$AI$6:$AI$205,Purchase_Register!$M$6:$M$205,$A21))</f>
        <v/>
      </c>
      <c r="F21" s="81" t="str">
        <f aca="false">IF($A21="","",SUMIFS(Purchase_Register!$AK$6:$AK$205,Purchase_Register!$M$6:$M$205,$A21))</f>
        <v/>
      </c>
      <c r="G21" s="80" t="str">
        <f aca="false">IF($A21="","",COUNTIFS(Purchase_Register!$M$6:$M$205,$A21,Purchase_Register!$BE$6:$BE$205,"*OTIF"))</f>
        <v/>
      </c>
      <c r="H21" s="38" t="str">
        <f aca="false">IF(OR($A21="",N(G21)=0),"",COUNTIFS(Purchase_Register!$M$6:$M$205,$A21,Purchase_Register!$BE$6:$BE$205,"OTIF")/G21)</f>
        <v/>
      </c>
      <c r="I21" s="38" t="str">
        <f aca="false">IF(OR($A21="",N(G21)=0),"",COUNTIFS(Purchase_Register!$M$6:$M$205,$A21,Purchase_Register!$BE$6:$BE$205,"*OTIF",Purchase_Register!$AX$6:$AX$205,"All In-house*")/G21)</f>
        <v/>
      </c>
      <c r="J21" s="30" t="str">
        <f aca="false">IF($A21="","",IFERROR(AVERAGEIFS(Purchase_Register!$BB$6:$BB$205,Purchase_Register!$M$6:$M$205,$A21),""))</f>
        <v/>
      </c>
      <c r="K21" s="30" t="str">
        <f aca="false">IF($A21="","",IFERROR(AVERAGEIFS(Purchase_Register!$BD$6:$BD$205,Purchase_Register!$M$6:$M$205,$A21,Purchase_Register!$AY$6:$AY$205,"&lt;&gt;"),""))</f>
        <v/>
      </c>
      <c r="L21" s="80" t="str">
        <f aca="false">IF($A21="","",COUNTIFS(Purchase_Register!$M$6:$M$205,$A21,Purchase_Register!$O$6:$O$205,"&lt;&gt;",Purchase_Register!$AY$6:$AY$205,"",Purchase_Register!$BD$6:$BD$205,"&gt;0"))</f>
        <v/>
      </c>
      <c r="M21" s="80" t="str">
        <f aca="false">IF($A21="","",COUNTIFS(Purchase_Register!$M$6:$M$205,$A21,Purchase_Register!$AX$6:$AX$205,"Short Closed*"))</f>
        <v/>
      </c>
      <c r="N21" s="81" t="str">
        <f aca="false">IF($A21="","",SUMIFS(Purchase_Register!$AW$6:$AW$205,Purchase_Register!$M$6:$M$205,$A21,Purchase_Register!$AY$6:$AY$205,""))</f>
        <v/>
      </c>
      <c r="O21" s="38" t="str">
        <f aca="false">IF($A21="","",IFERROR(COUNTIFS(Purchase_Register!$M$6:$M$205,$A21,Purchase_Register!$BF$6:$BF$205,"Approved*")/(COUNTIFS(Purchase_Register!$M$6:$M$205,$A21,Purchase_Register!$BF$6:$BF$205,"Approved*")+COUNTIFS(Purchase_Register!$M$6:$M$205,$A21,Purchase_Register!$BF$6:$BF$205,"Rejected")),""))</f>
        <v/>
      </c>
      <c r="P21" s="83" t="str">
        <f aca="false">IF($A21="","",IFERROR(AVERAGEIFS(Purchase_Register!$AB$6:$AB$205,Purchase_Register!$M$6:$M$205,$A21),""))</f>
        <v/>
      </c>
      <c r="Q21" s="84" t="str">
        <f aca="false">IF(OR($A21="",H21="",O21=""),"",ROUND(40*H21+20*N(I21)+25*O21+15*(1-MIN(1,MAX(0,N(P21))/0.1)),0))</f>
        <v/>
      </c>
      <c r="R21" s="31" t="str">
        <f aca="false">IF($A21="","",IF(Q21="","Not Rated",IF(Q21&gt;=80,"A — Preferred",IF(Q21&gt;=60,"B — Approved","C — Review"))))</f>
        <v/>
      </c>
      <c r="S21" s="33" t="n">
        <f aca="false">IF($A21="",-ROW(),N(C21)+(1000-ROW())/1000000)</f>
        <v>-21</v>
      </c>
    </row>
    <row r="22" customFormat="false" ht="15" hidden="false" customHeight="false" outlineLevel="0" collapsed="false">
      <c r="A22" s="79" t="str">
        <f aca="false">IF(Lists!$J$19="","",Lists!$J$19)</f>
        <v/>
      </c>
      <c r="B22" s="80" t="str">
        <f aca="false">IF($A22="","",COUNTIFS(Purchase_Register!$M$6:$M$205,$A22,Purchase_Register!$O$6:$O$205,"&lt;&gt;"))</f>
        <v/>
      </c>
      <c r="C22" s="81" t="str">
        <f aca="false">IF($A22="","",SUMIFS(Purchase_Register!$AD$6:$AD$205,Purchase_Register!$M$6:$M$205,$A22))</f>
        <v/>
      </c>
      <c r="D22" s="82" t="str">
        <f aca="false">IF(OR($A22="",SUM($C$5:$C$34)=0),"",C22/SUM($C$5:$C$34))</f>
        <v/>
      </c>
      <c r="E22" s="81" t="str">
        <f aca="false">IF($A22="","",SUMIFS(Purchase_Register!$AI$6:$AI$205,Purchase_Register!$M$6:$M$205,$A22))</f>
        <v/>
      </c>
      <c r="F22" s="81" t="str">
        <f aca="false">IF($A22="","",SUMIFS(Purchase_Register!$AK$6:$AK$205,Purchase_Register!$M$6:$M$205,$A22))</f>
        <v/>
      </c>
      <c r="G22" s="80" t="str">
        <f aca="false">IF($A22="","",COUNTIFS(Purchase_Register!$M$6:$M$205,$A22,Purchase_Register!$BE$6:$BE$205,"*OTIF"))</f>
        <v/>
      </c>
      <c r="H22" s="38" t="str">
        <f aca="false">IF(OR($A22="",N(G22)=0),"",COUNTIFS(Purchase_Register!$M$6:$M$205,$A22,Purchase_Register!$BE$6:$BE$205,"OTIF")/G22)</f>
        <v/>
      </c>
      <c r="I22" s="38" t="str">
        <f aca="false">IF(OR($A22="",N(G22)=0),"",COUNTIFS(Purchase_Register!$M$6:$M$205,$A22,Purchase_Register!$BE$6:$BE$205,"*OTIF",Purchase_Register!$AX$6:$AX$205,"All In-house*")/G22)</f>
        <v/>
      </c>
      <c r="J22" s="30" t="str">
        <f aca="false">IF($A22="","",IFERROR(AVERAGEIFS(Purchase_Register!$BB$6:$BB$205,Purchase_Register!$M$6:$M$205,$A22),""))</f>
        <v/>
      </c>
      <c r="K22" s="30" t="str">
        <f aca="false">IF($A22="","",IFERROR(AVERAGEIFS(Purchase_Register!$BD$6:$BD$205,Purchase_Register!$M$6:$M$205,$A22,Purchase_Register!$AY$6:$AY$205,"&lt;&gt;"),""))</f>
        <v/>
      </c>
      <c r="L22" s="80" t="str">
        <f aca="false">IF($A22="","",COUNTIFS(Purchase_Register!$M$6:$M$205,$A22,Purchase_Register!$O$6:$O$205,"&lt;&gt;",Purchase_Register!$AY$6:$AY$205,"",Purchase_Register!$BD$6:$BD$205,"&gt;0"))</f>
        <v/>
      </c>
      <c r="M22" s="80" t="str">
        <f aca="false">IF($A22="","",COUNTIFS(Purchase_Register!$M$6:$M$205,$A22,Purchase_Register!$AX$6:$AX$205,"Short Closed*"))</f>
        <v/>
      </c>
      <c r="N22" s="81" t="str">
        <f aca="false">IF($A22="","",SUMIFS(Purchase_Register!$AW$6:$AW$205,Purchase_Register!$M$6:$M$205,$A22,Purchase_Register!$AY$6:$AY$205,""))</f>
        <v/>
      </c>
      <c r="O22" s="38" t="str">
        <f aca="false">IF($A22="","",IFERROR(COUNTIFS(Purchase_Register!$M$6:$M$205,$A22,Purchase_Register!$BF$6:$BF$205,"Approved*")/(COUNTIFS(Purchase_Register!$M$6:$M$205,$A22,Purchase_Register!$BF$6:$BF$205,"Approved*")+COUNTIFS(Purchase_Register!$M$6:$M$205,$A22,Purchase_Register!$BF$6:$BF$205,"Rejected")),""))</f>
        <v/>
      </c>
      <c r="P22" s="83" t="str">
        <f aca="false">IF($A22="","",IFERROR(AVERAGEIFS(Purchase_Register!$AB$6:$AB$205,Purchase_Register!$M$6:$M$205,$A22),""))</f>
        <v/>
      </c>
      <c r="Q22" s="84" t="str">
        <f aca="false">IF(OR($A22="",H22="",O22=""),"",ROUND(40*H22+20*N(I22)+25*O22+15*(1-MIN(1,MAX(0,N(P22))/0.1)),0))</f>
        <v/>
      </c>
      <c r="R22" s="31" t="str">
        <f aca="false">IF($A22="","",IF(Q22="","Not Rated",IF(Q22&gt;=80,"A — Preferred",IF(Q22&gt;=60,"B — Approved","C — Review"))))</f>
        <v/>
      </c>
      <c r="S22" s="33" t="n">
        <f aca="false">IF($A22="",-ROW(),N(C22)+(1000-ROW())/1000000)</f>
        <v>-22</v>
      </c>
    </row>
    <row r="23" customFormat="false" ht="15" hidden="false" customHeight="false" outlineLevel="0" collapsed="false">
      <c r="A23" s="79" t="str">
        <f aca="false">IF(Lists!$J$20="","",Lists!$J$20)</f>
        <v/>
      </c>
      <c r="B23" s="80" t="str">
        <f aca="false">IF($A23="","",COUNTIFS(Purchase_Register!$M$6:$M$205,$A23,Purchase_Register!$O$6:$O$205,"&lt;&gt;"))</f>
        <v/>
      </c>
      <c r="C23" s="81" t="str">
        <f aca="false">IF($A23="","",SUMIFS(Purchase_Register!$AD$6:$AD$205,Purchase_Register!$M$6:$M$205,$A23))</f>
        <v/>
      </c>
      <c r="D23" s="82" t="str">
        <f aca="false">IF(OR($A23="",SUM($C$5:$C$34)=0),"",C23/SUM($C$5:$C$34))</f>
        <v/>
      </c>
      <c r="E23" s="81" t="str">
        <f aca="false">IF($A23="","",SUMIFS(Purchase_Register!$AI$6:$AI$205,Purchase_Register!$M$6:$M$205,$A23))</f>
        <v/>
      </c>
      <c r="F23" s="81" t="str">
        <f aca="false">IF($A23="","",SUMIFS(Purchase_Register!$AK$6:$AK$205,Purchase_Register!$M$6:$M$205,$A23))</f>
        <v/>
      </c>
      <c r="G23" s="80" t="str">
        <f aca="false">IF($A23="","",COUNTIFS(Purchase_Register!$M$6:$M$205,$A23,Purchase_Register!$BE$6:$BE$205,"*OTIF"))</f>
        <v/>
      </c>
      <c r="H23" s="38" t="str">
        <f aca="false">IF(OR($A23="",N(G23)=0),"",COUNTIFS(Purchase_Register!$M$6:$M$205,$A23,Purchase_Register!$BE$6:$BE$205,"OTIF")/G23)</f>
        <v/>
      </c>
      <c r="I23" s="38" t="str">
        <f aca="false">IF(OR($A23="",N(G23)=0),"",COUNTIFS(Purchase_Register!$M$6:$M$205,$A23,Purchase_Register!$BE$6:$BE$205,"*OTIF",Purchase_Register!$AX$6:$AX$205,"All In-house*")/G23)</f>
        <v/>
      </c>
      <c r="J23" s="30" t="str">
        <f aca="false">IF($A23="","",IFERROR(AVERAGEIFS(Purchase_Register!$BB$6:$BB$205,Purchase_Register!$M$6:$M$205,$A23),""))</f>
        <v/>
      </c>
      <c r="K23" s="30" t="str">
        <f aca="false">IF($A23="","",IFERROR(AVERAGEIFS(Purchase_Register!$BD$6:$BD$205,Purchase_Register!$M$6:$M$205,$A23,Purchase_Register!$AY$6:$AY$205,"&lt;&gt;"),""))</f>
        <v/>
      </c>
      <c r="L23" s="80" t="str">
        <f aca="false">IF($A23="","",COUNTIFS(Purchase_Register!$M$6:$M$205,$A23,Purchase_Register!$O$6:$O$205,"&lt;&gt;",Purchase_Register!$AY$6:$AY$205,"",Purchase_Register!$BD$6:$BD$205,"&gt;0"))</f>
        <v/>
      </c>
      <c r="M23" s="80" t="str">
        <f aca="false">IF($A23="","",COUNTIFS(Purchase_Register!$M$6:$M$205,$A23,Purchase_Register!$AX$6:$AX$205,"Short Closed*"))</f>
        <v/>
      </c>
      <c r="N23" s="81" t="str">
        <f aca="false">IF($A23="","",SUMIFS(Purchase_Register!$AW$6:$AW$205,Purchase_Register!$M$6:$M$205,$A23,Purchase_Register!$AY$6:$AY$205,""))</f>
        <v/>
      </c>
      <c r="O23" s="38" t="str">
        <f aca="false">IF($A23="","",IFERROR(COUNTIFS(Purchase_Register!$M$6:$M$205,$A23,Purchase_Register!$BF$6:$BF$205,"Approved*")/(COUNTIFS(Purchase_Register!$M$6:$M$205,$A23,Purchase_Register!$BF$6:$BF$205,"Approved*")+COUNTIFS(Purchase_Register!$M$6:$M$205,$A23,Purchase_Register!$BF$6:$BF$205,"Rejected")),""))</f>
        <v/>
      </c>
      <c r="P23" s="83" t="str">
        <f aca="false">IF($A23="","",IFERROR(AVERAGEIFS(Purchase_Register!$AB$6:$AB$205,Purchase_Register!$M$6:$M$205,$A23),""))</f>
        <v/>
      </c>
      <c r="Q23" s="84" t="str">
        <f aca="false">IF(OR($A23="",H23="",O23=""),"",ROUND(40*H23+20*N(I23)+25*O23+15*(1-MIN(1,MAX(0,N(P23))/0.1)),0))</f>
        <v/>
      </c>
      <c r="R23" s="31" t="str">
        <f aca="false">IF($A23="","",IF(Q23="","Not Rated",IF(Q23&gt;=80,"A — Preferred",IF(Q23&gt;=60,"B — Approved","C — Review"))))</f>
        <v/>
      </c>
      <c r="S23" s="33" t="n">
        <f aca="false">IF($A23="",-ROW(),N(C23)+(1000-ROW())/1000000)</f>
        <v>-23</v>
      </c>
    </row>
    <row r="24" customFormat="false" ht="15" hidden="false" customHeight="false" outlineLevel="0" collapsed="false">
      <c r="A24" s="79" t="str">
        <f aca="false">IF(Lists!$J$21="","",Lists!$J$21)</f>
        <v/>
      </c>
      <c r="B24" s="80" t="str">
        <f aca="false">IF($A24="","",COUNTIFS(Purchase_Register!$M$6:$M$205,$A24,Purchase_Register!$O$6:$O$205,"&lt;&gt;"))</f>
        <v/>
      </c>
      <c r="C24" s="81" t="str">
        <f aca="false">IF($A24="","",SUMIFS(Purchase_Register!$AD$6:$AD$205,Purchase_Register!$M$6:$M$205,$A24))</f>
        <v/>
      </c>
      <c r="D24" s="82" t="str">
        <f aca="false">IF(OR($A24="",SUM($C$5:$C$34)=0),"",C24/SUM($C$5:$C$34))</f>
        <v/>
      </c>
      <c r="E24" s="81" t="str">
        <f aca="false">IF($A24="","",SUMIFS(Purchase_Register!$AI$6:$AI$205,Purchase_Register!$M$6:$M$205,$A24))</f>
        <v/>
      </c>
      <c r="F24" s="81" t="str">
        <f aca="false">IF($A24="","",SUMIFS(Purchase_Register!$AK$6:$AK$205,Purchase_Register!$M$6:$M$205,$A24))</f>
        <v/>
      </c>
      <c r="G24" s="80" t="str">
        <f aca="false">IF($A24="","",COUNTIFS(Purchase_Register!$M$6:$M$205,$A24,Purchase_Register!$BE$6:$BE$205,"*OTIF"))</f>
        <v/>
      </c>
      <c r="H24" s="38" t="str">
        <f aca="false">IF(OR($A24="",N(G24)=0),"",COUNTIFS(Purchase_Register!$M$6:$M$205,$A24,Purchase_Register!$BE$6:$BE$205,"OTIF")/G24)</f>
        <v/>
      </c>
      <c r="I24" s="38" t="str">
        <f aca="false">IF(OR($A24="",N(G24)=0),"",COUNTIFS(Purchase_Register!$M$6:$M$205,$A24,Purchase_Register!$BE$6:$BE$205,"*OTIF",Purchase_Register!$AX$6:$AX$205,"All In-house*")/G24)</f>
        <v/>
      </c>
      <c r="J24" s="30" t="str">
        <f aca="false">IF($A24="","",IFERROR(AVERAGEIFS(Purchase_Register!$BB$6:$BB$205,Purchase_Register!$M$6:$M$205,$A24),""))</f>
        <v/>
      </c>
      <c r="K24" s="30" t="str">
        <f aca="false">IF($A24="","",IFERROR(AVERAGEIFS(Purchase_Register!$BD$6:$BD$205,Purchase_Register!$M$6:$M$205,$A24,Purchase_Register!$AY$6:$AY$205,"&lt;&gt;"),""))</f>
        <v/>
      </c>
      <c r="L24" s="80" t="str">
        <f aca="false">IF($A24="","",COUNTIFS(Purchase_Register!$M$6:$M$205,$A24,Purchase_Register!$O$6:$O$205,"&lt;&gt;",Purchase_Register!$AY$6:$AY$205,"",Purchase_Register!$BD$6:$BD$205,"&gt;0"))</f>
        <v/>
      </c>
      <c r="M24" s="80" t="str">
        <f aca="false">IF($A24="","",COUNTIFS(Purchase_Register!$M$6:$M$205,$A24,Purchase_Register!$AX$6:$AX$205,"Short Closed*"))</f>
        <v/>
      </c>
      <c r="N24" s="81" t="str">
        <f aca="false">IF($A24="","",SUMIFS(Purchase_Register!$AW$6:$AW$205,Purchase_Register!$M$6:$M$205,$A24,Purchase_Register!$AY$6:$AY$205,""))</f>
        <v/>
      </c>
      <c r="O24" s="38" t="str">
        <f aca="false">IF($A24="","",IFERROR(COUNTIFS(Purchase_Register!$M$6:$M$205,$A24,Purchase_Register!$BF$6:$BF$205,"Approved*")/(COUNTIFS(Purchase_Register!$M$6:$M$205,$A24,Purchase_Register!$BF$6:$BF$205,"Approved*")+COUNTIFS(Purchase_Register!$M$6:$M$205,$A24,Purchase_Register!$BF$6:$BF$205,"Rejected")),""))</f>
        <v/>
      </c>
      <c r="P24" s="83" t="str">
        <f aca="false">IF($A24="","",IFERROR(AVERAGEIFS(Purchase_Register!$AB$6:$AB$205,Purchase_Register!$M$6:$M$205,$A24),""))</f>
        <v/>
      </c>
      <c r="Q24" s="84" t="str">
        <f aca="false">IF(OR($A24="",H24="",O24=""),"",ROUND(40*H24+20*N(I24)+25*O24+15*(1-MIN(1,MAX(0,N(P24))/0.1)),0))</f>
        <v/>
      </c>
      <c r="R24" s="31" t="str">
        <f aca="false">IF($A24="","",IF(Q24="","Not Rated",IF(Q24&gt;=80,"A — Preferred",IF(Q24&gt;=60,"B — Approved","C — Review"))))</f>
        <v/>
      </c>
      <c r="S24" s="33" t="n">
        <f aca="false">IF($A24="",-ROW(),N(C24)+(1000-ROW())/1000000)</f>
        <v>-24</v>
      </c>
    </row>
    <row r="25" customFormat="false" ht="15" hidden="false" customHeight="false" outlineLevel="0" collapsed="false">
      <c r="A25" s="79" t="str">
        <f aca="false">IF(Lists!$J$22="","",Lists!$J$22)</f>
        <v/>
      </c>
      <c r="B25" s="80" t="str">
        <f aca="false">IF($A25="","",COUNTIFS(Purchase_Register!$M$6:$M$205,$A25,Purchase_Register!$O$6:$O$205,"&lt;&gt;"))</f>
        <v/>
      </c>
      <c r="C25" s="81" t="str">
        <f aca="false">IF($A25="","",SUMIFS(Purchase_Register!$AD$6:$AD$205,Purchase_Register!$M$6:$M$205,$A25))</f>
        <v/>
      </c>
      <c r="D25" s="82" t="str">
        <f aca="false">IF(OR($A25="",SUM($C$5:$C$34)=0),"",C25/SUM($C$5:$C$34))</f>
        <v/>
      </c>
      <c r="E25" s="81" t="str">
        <f aca="false">IF($A25="","",SUMIFS(Purchase_Register!$AI$6:$AI$205,Purchase_Register!$M$6:$M$205,$A25))</f>
        <v/>
      </c>
      <c r="F25" s="81" t="str">
        <f aca="false">IF($A25="","",SUMIFS(Purchase_Register!$AK$6:$AK$205,Purchase_Register!$M$6:$M$205,$A25))</f>
        <v/>
      </c>
      <c r="G25" s="80" t="str">
        <f aca="false">IF($A25="","",COUNTIFS(Purchase_Register!$M$6:$M$205,$A25,Purchase_Register!$BE$6:$BE$205,"*OTIF"))</f>
        <v/>
      </c>
      <c r="H25" s="38" t="str">
        <f aca="false">IF(OR($A25="",N(G25)=0),"",COUNTIFS(Purchase_Register!$M$6:$M$205,$A25,Purchase_Register!$BE$6:$BE$205,"OTIF")/G25)</f>
        <v/>
      </c>
      <c r="I25" s="38" t="str">
        <f aca="false">IF(OR($A25="",N(G25)=0),"",COUNTIFS(Purchase_Register!$M$6:$M$205,$A25,Purchase_Register!$BE$6:$BE$205,"*OTIF",Purchase_Register!$AX$6:$AX$205,"All In-house*")/G25)</f>
        <v/>
      </c>
      <c r="J25" s="30" t="str">
        <f aca="false">IF($A25="","",IFERROR(AVERAGEIFS(Purchase_Register!$BB$6:$BB$205,Purchase_Register!$M$6:$M$205,$A25),""))</f>
        <v/>
      </c>
      <c r="K25" s="30" t="str">
        <f aca="false">IF($A25="","",IFERROR(AVERAGEIFS(Purchase_Register!$BD$6:$BD$205,Purchase_Register!$M$6:$M$205,$A25,Purchase_Register!$AY$6:$AY$205,"&lt;&gt;"),""))</f>
        <v/>
      </c>
      <c r="L25" s="80" t="str">
        <f aca="false">IF($A25="","",COUNTIFS(Purchase_Register!$M$6:$M$205,$A25,Purchase_Register!$O$6:$O$205,"&lt;&gt;",Purchase_Register!$AY$6:$AY$205,"",Purchase_Register!$BD$6:$BD$205,"&gt;0"))</f>
        <v/>
      </c>
      <c r="M25" s="80" t="str">
        <f aca="false">IF($A25="","",COUNTIFS(Purchase_Register!$M$6:$M$205,$A25,Purchase_Register!$AX$6:$AX$205,"Short Closed*"))</f>
        <v/>
      </c>
      <c r="N25" s="81" t="str">
        <f aca="false">IF($A25="","",SUMIFS(Purchase_Register!$AW$6:$AW$205,Purchase_Register!$M$6:$M$205,$A25,Purchase_Register!$AY$6:$AY$205,""))</f>
        <v/>
      </c>
      <c r="O25" s="38" t="str">
        <f aca="false">IF($A25="","",IFERROR(COUNTIFS(Purchase_Register!$M$6:$M$205,$A25,Purchase_Register!$BF$6:$BF$205,"Approved*")/(COUNTIFS(Purchase_Register!$M$6:$M$205,$A25,Purchase_Register!$BF$6:$BF$205,"Approved*")+COUNTIFS(Purchase_Register!$M$6:$M$205,$A25,Purchase_Register!$BF$6:$BF$205,"Rejected")),""))</f>
        <v/>
      </c>
      <c r="P25" s="83" t="str">
        <f aca="false">IF($A25="","",IFERROR(AVERAGEIFS(Purchase_Register!$AB$6:$AB$205,Purchase_Register!$M$6:$M$205,$A25),""))</f>
        <v/>
      </c>
      <c r="Q25" s="84" t="str">
        <f aca="false">IF(OR($A25="",H25="",O25=""),"",ROUND(40*H25+20*N(I25)+25*O25+15*(1-MIN(1,MAX(0,N(P25))/0.1)),0))</f>
        <v/>
      </c>
      <c r="R25" s="31" t="str">
        <f aca="false">IF($A25="","",IF(Q25="","Not Rated",IF(Q25&gt;=80,"A — Preferred",IF(Q25&gt;=60,"B — Approved","C — Review"))))</f>
        <v/>
      </c>
      <c r="S25" s="33" t="n">
        <f aca="false">IF($A25="",-ROW(),N(C25)+(1000-ROW())/1000000)</f>
        <v>-25</v>
      </c>
    </row>
    <row r="26" customFormat="false" ht="15" hidden="false" customHeight="false" outlineLevel="0" collapsed="false">
      <c r="A26" s="79" t="str">
        <f aca="false">IF(Lists!$J$23="","",Lists!$J$23)</f>
        <v/>
      </c>
      <c r="B26" s="80" t="str">
        <f aca="false">IF($A26="","",COUNTIFS(Purchase_Register!$M$6:$M$205,$A26,Purchase_Register!$O$6:$O$205,"&lt;&gt;"))</f>
        <v/>
      </c>
      <c r="C26" s="81" t="str">
        <f aca="false">IF($A26="","",SUMIFS(Purchase_Register!$AD$6:$AD$205,Purchase_Register!$M$6:$M$205,$A26))</f>
        <v/>
      </c>
      <c r="D26" s="82" t="str">
        <f aca="false">IF(OR($A26="",SUM($C$5:$C$34)=0),"",C26/SUM($C$5:$C$34))</f>
        <v/>
      </c>
      <c r="E26" s="81" t="str">
        <f aca="false">IF($A26="","",SUMIFS(Purchase_Register!$AI$6:$AI$205,Purchase_Register!$M$6:$M$205,$A26))</f>
        <v/>
      </c>
      <c r="F26" s="81" t="str">
        <f aca="false">IF($A26="","",SUMIFS(Purchase_Register!$AK$6:$AK$205,Purchase_Register!$M$6:$M$205,$A26))</f>
        <v/>
      </c>
      <c r="G26" s="80" t="str">
        <f aca="false">IF($A26="","",COUNTIFS(Purchase_Register!$M$6:$M$205,$A26,Purchase_Register!$BE$6:$BE$205,"*OTIF"))</f>
        <v/>
      </c>
      <c r="H26" s="38" t="str">
        <f aca="false">IF(OR($A26="",N(G26)=0),"",COUNTIFS(Purchase_Register!$M$6:$M$205,$A26,Purchase_Register!$BE$6:$BE$205,"OTIF")/G26)</f>
        <v/>
      </c>
      <c r="I26" s="38" t="str">
        <f aca="false">IF(OR($A26="",N(G26)=0),"",COUNTIFS(Purchase_Register!$M$6:$M$205,$A26,Purchase_Register!$BE$6:$BE$205,"*OTIF",Purchase_Register!$AX$6:$AX$205,"All In-house*")/G26)</f>
        <v/>
      </c>
      <c r="J26" s="30" t="str">
        <f aca="false">IF($A26="","",IFERROR(AVERAGEIFS(Purchase_Register!$BB$6:$BB$205,Purchase_Register!$M$6:$M$205,$A26),""))</f>
        <v/>
      </c>
      <c r="K26" s="30" t="str">
        <f aca="false">IF($A26="","",IFERROR(AVERAGEIFS(Purchase_Register!$BD$6:$BD$205,Purchase_Register!$M$6:$M$205,$A26,Purchase_Register!$AY$6:$AY$205,"&lt;&gt;"),""))</f>
        <v/>
      </c>
      <c r="L26" s="80" t="str">
        <f aca="false">IF($A26="","",COUNTIFS(Purchase_Register!$M$6:$M$205,$A26,Purchase_Register!$O$6:$O$205,"&lt;&gt;",Purchase_Register!$AY$6:$AY$205,"",Purchase_Register!$BD$6:$BD$205,"&gt;0"))</f>
        <v/>
      </c>
      <c r="M26" s="80" t="str">
        <f aca="false">IF($A26="","",COUNTIFS(Purchase_Register!$M$6:$M$205,$A26,Purchase_Register!$AX$6:$AX$205,"Short Closed*"))</f>
        <v/>
      </c>
      <c r="N26" s="81" t="str">
        <f aca="false">IF($A26="","",SUMIFS(Purchase_Register!$AW$6:$AW$205,Purchase_Register!$M$6:$M$205,$A26,Purchase_Register!$AY$6:$AY$205,""))</f>
        <v/>
      </c>
      <c r="O26" s="38" t="str">
        <f aca="false">IF($A26="","",IFERROR(COUNTIFS(Purchase_Register!$M$6:$M$205,$A26,Purchase_Register!$BF$6:$BF$205,"Approved*")/(COUNTIFS(Purchase_Register!$M$6:$M$205,$A26,Purchase_Register!$BF$6:$BF$205,"Approved*")+COUNTIFS(Purchase_Register!$M$6:$M$205,$A26,Purchase_Register!$BF$6:$BF$205,"Rejected")),""))</f>
        <v/>
      </c>
      <c r="P26" s="83" t="str">
        <f aca="false">IF($A26="","",IFERROR(AVERAGEIFS(Purchase_Register!$AB$6:$AB$205,Purchase_Register!$M$6:$M$205,$A26),""))</f>
        <v/>
      </c>
      <c r="Q26" s="84" t="str">
        <f aca="false">IF(OR($A26="",H26="",O26=""),"",ROUND(40*H26+20*N(I26)+25*O26+15*(1-MIN(1,MAX(0,N(P26))/0.1)),0))</f>
        <v/>
      </c>
      <c r="R26" s="31" t="str">
        <f aca="false">IF($A26="","",IF(Q26="","Not Rated",IF(Q26&gt;=80,"A — Preferred",IF(Q26&gt;=60,"B — Approved","C — Review"))))</f>
        <v/>
      </c>
      <c r="S26" s="33" t="n">
        <f aca="false">IF($A26="",-ROW(),N(C26)+(1000-ROW())/1000000)</f>
        <v>-26</v>
      </c>
    </row>
    <row r="27" customFormat="false" ht="15" hidden="false" customHeight="false" outlineLevel="0" collapsed="false">
      <c r="A27" s="79" t="str">
        <f aca="false">IF(Lists!$J$24="","",Lists!$J$24)</f>
        <v/>
      </c>
      <c r="B27" s="80" t="str">
        <f aca="false">IF($A27="","",COUNTIFS(Purchase_Register!$M$6:$M$205,$A27,Purchase_Register!$O$6:$O$205,"&lt;&gt;"))</f>
        <v/>
      </c>
      <c r="C27" s="81" t="str">
        <f aca="false">IF($A27="","",SUMIFS(Purchase_Register!$AD$6:$AD$205,Purchase_Register!$M$6:$M$205,$A27))</f>
        <v/>
      </c>
      <c r="D27" s="82" t="str">
        <f aca="false">IF(OR($A27="",SUM($C$5:$C$34)=0),"",C27/SUM($C$5:$C$34))</f>
        <v/>
      </c>
      <c r="E27" s="81" t="str">
        <f aca="false">IF($A27="","",SUMIFS(Purchase_Register!$AI$6:$AI$205,Purchase_Register!$M$6:$M$205,$A27))</f>
        <v/>
      </c>
      <c r="F27" s="81" t="str">
        <f aca="false">IF($A27="","",SUMIFS(Purchase_Register!$AK$6:$AK$205,Purchase_Register!$M$6:$M$205,$A27))</f>
        <v/>
      </c>
      <c r="G27" s="80" t="str">
        <f aca="false">IF($A27="","",COUNTIFS(Purchase_Register!$M$6:$M$205,$A27,Purchase_Register!$BE$6:$BE$205,"*OTIF"))</f>
        <v/>
      </c>
      <c r="H27" s="38" t="str">
        <f aca="false">IF(OR($A27="",N(G27)=0),"",COUNTIFS(Purchase_Register!$M$6:$M$205,$A27,Purchase_Register!$BE$6:$BE$205,"OTIF")/G27)</f>
        <v/>
      </c>
      <c r="I27" s="38" t="str">
        <f aca="false">IF(OR($A27="",N(G27)=0),"",COUNTIFS(Purchase_Register!$M$6:$M$205,$A27,Purchase_Register!$BE$6:$BE$205,"*OTIF",Purchase_Register!$AX$6:$AX$205,"All In-house*")/G27)</f>
        <v/>
      </c>
      <c r="J27" s="30" t="str">
        <f aca="false">IF($A27="","",IFERROR(AVERAGEIFS(Purchase_Register!$BB$6:$BB$205,Purchase_Register!$M$6:$M$205,$A27),""))</f>
        <v/>
      </c>
      <c r="K27" s="30" t="str">
        <f aca="false">IF($A27="","",IFERROR(AVERAGEIFS(Purchase_Register!$BD$6:$BD$205,Purchase_Register!$M$6:$M$205,$A27,Purchase_Register!$AY$6:$AY$205,"&lt;&gt;"),""))</f>
        <v/>
      </c>
      <c r="L27" s="80" t="str">
        <f aca="false">IF($A27="","",COUNTIFS(Purchase_Register!$M$6:$M$205,$A27,Purchase_Register!$O$6:$O$205,"&lt;&gt;",Purchase_Register!$AY$6:$AY$205,"",Purchase_Register!$BD$6:$BD$205,"&gt;0"))</f>
        <v/>
      </c>
      <c r="M27" s="80" t="str">
        <f aca="false">IF($A27="","",COUNTIFS(Purchase_Register!$M$6:$M$205,$A27,Purchase_Register!$AX$6:$AX$205,"Short Closed*"))</f>
        <v/>
      </c>
      <c r="N27" s="81" t="str">
        <f aca="false">IF($A27="","",SUMIFS(Purchase_Register!$AW$6:$AW$205,Purchase_Register!$M$6:$M$205,$A27,Purchase_Register!$AY$6:$AY$205,""))</f>
        <v/>
      </c>
      <c r="O27" s="38" t="str">
        <f aca="false">IF($A27="","",IFERROR(COUNTIFS(Purchase_Register!$M$6:$M$205,$A27,Purchase_Register!$BF$6:$BF$205,"Approved*")/(COUNTIFS(Purchase_Register!$M$6:$M$205,$A27,Purchase_Register!$BF$6:$BF$205,"Approved*")+COUNTIFS(Purchase_Register!$M$6:$M$205,$A27,Purchase_Register!$BF$6:$BF$205,"Rejected")),""))</f>
        <v/>
      </c>
      <c r="P27" s="83" t="str">
        <f aca="false">IF($A27="","",IFERROR(AVERAGEIFS(Purchase_Register!$AB$6:$AB$205,Purchase_Register!$M$6:$M$205,$A27),""))</f>
        <v/>
      </c>
      <c r="Q27" s="84" t="str">
        <f aca="false">IF(OR($A27="",H27="",O27=""),"",ROUND(40*H27+20*N(I27)+25*O27+15*(1-MIN(1,MAX(0,N(P27))/0.1)),0))</f>
        <v/>
      </c>
      <c r="R27" s="31" t="str">
        <f aca="false">IF($A27="","",IF(Q27="","Not Rated",IF(Q27&gt;=80,"A — Preferred",IF(Q27&gt;=60,"B — Approved","C — Review"))))</f>
        <v/>
      </c>
      <c r="S27" s="33" t="n">
        <f aca="false">IF($A27="",-ROW(),N(C27)+(1000-ROW())/1000000)</f>
        <v>-27</v>
      </c>
    </row>
    <row r="28" customFormat="false" ht="15" hidden="false" customHeight="false" outlineLevel="0" collapsed="false">
      <c r="A28" s="79" t="str">
        <f aca="false">IF(Lists!$J$25="","",Lists!$J$25)</f>
        <v/>
      </c>
      <c r="B28" s="80" t="str">
        <f aca="false">IF($A28="","",COUNTIFS(Purchase_Register!$M$6:$M$205,$A28,Purchase_Register!$O$6:$O$205,"&lt;&gt;"))</f>
        <v/>
      </c>
      <c r="C28" s="81" t="str">
        <f aca="false">IF($A28="","",SUMIFS(Purchase_Register!$AD$6:$AD$205,Purchase_Register!$M$6:$M$205,$A28))</f>
        <v/>
      </c>
      <c r="D28" s="82" t="str">
        <f aca="false">IF(OR($A28="",SUM($C$5:$C$34)=0),"",C28/SUM($C$5:$C$34))</f>
        <v/>
      </c>
      <c r="E28" s="81" t="str">
        <f aca="false">IF($A28="","",SUMIFS(Purchase_Register!$AI$6:$AI$205,Purchase_Register!$M$6:$M$205,$A28))</f>
        <v/>
      </c>
      <c r="F28" s="81" t="str">
        <f aca="false">IF($A28="","",SUMIFS(Purchase_Register!$AK$6:$AK$205,Purchase_Register!$M$6:$M$205,$A28))</f>
        <v/>
      </c>
      <c r="G28" s="80" t="str">
        <f aca="false">IF($A28="","",COUNTIFS(Purchase_Register!$M$6:$M$205,$A28,Purchase_Register!$BE$6:$BE$205,"*OTIF"))</f>
        <v/>
      </c>
      <c r="H28" s="38" t="str">
        <f aca="false">IF(OR($A28="",N(G28)=0),"",COUNTIFS(Purchase_Register!$M$6:$M$205,$A28,Purchase_Register!$BE$6:$BE$205,"OTIF")/G28)</f>
        <v/>
      </c>
      <c r="I28" s="38" t="str">
        <f aca="false">IF(OR($A28="",N(G28)=0),"",COUNTIFS(Purchase_Register!$M$6:$M$205,$A28,Purchase_Register!$BE$6:$BE$205,"*OTIF",Purchase_Register!$AX$6:$AX$205,"All In-house*")/G28)</f>
        <v/>
      </c>
      <c r="J28" s="30" t="str">
        <f aca="false">IF($A28="","",IFERROR(AVERAGEIFS(Purchase_Register!$BB$6:$BB$205,Purchase_Register!$M$6:$M$205,$A28),""))</f>
        <v/>
      </c>
      <c r="K28" s="30" t="str">
        <f aca="false">IF($A28="","",IFERROR(AVERAGEIFS(Purchase_Register!$BD$6:$BD$205,Purchase_Register!$M$6:$M$205,$A28,Purchase_Register!$AY$6:$AY$205,"&lt;&gt;"),""))</f>
        <v/>
      </c>
      <c r="L28" s="80" t="str">
        <f aca="false">IF($A28="","",COUNTIFS(Purchase_Register!$M$6:$M$205,$A28,Purchase_Register!$O$6:$O$205,"&lt;&gt;",Purchase_Register!$AY$6:$AY$205,"",Purchase_Register!$BD$6:$BD$205,"&gt;0"))</f>
        <v/>
      </c>
      <c r="M28" s="80" t="str">
        <f aca="false">IF($A28="","",COUNTIFS(Purchase_Register!$M$6:$M$205,$A28,Purchase_Register!$AX$6:$AX$205,"Short Closed*"))</f>
        <v/>
      </c>
      <c r="N28" s="81" t="str">
        <f aca="false">IF($A28="","",SUMIFS(Purchase_Register!$AW$6:$AW$205,Purchase_Register!$M$6:$M$205,$A28,Purchase_Register!$AY$6:$AY$205,""))</f>
        <v/>
      </c>
      <c r="O28" s="38" t="str">
        <f aca="false">IF($A28="","",IFERROR(COUNTIFS(Purchase_Register!$M$6:$M$205,$A28,Purchase_Register!$BF$6:$BF$205,"Approved*")/(COUNTIFS(Purchase_Register!$M$6:$M$205,$A28,Purchase_Register!$BF$6:$BF$205,"Approved*")+COUNTIFS(Purchase_Register!$M$6:$M$205,$A28,Purchase_Register!$BF$6:$BF$205,"Rejected")),""))</f>
        <v/>
      </c>
      <c r="P28" s="83" t="str">
        <f aca="false">IF($A28="","",IFERROR(AVERAGEIFS(Purchase_Register!$AB$6:$AB$205,Purchase_Register!$M$6:$M$205,$A28),""))</f>
        <v/>
      </c>
      <c r="Q28" s="84" t="str">
        <f aca="false">IF(OR($A28="",H28="",O28=""),"",ROUND(40*H28+20*N(I28)+25*O28+15*(1-MIN(1,MAX(0,N(P28))/0.1)),0))</f>
        <v/>
      </c>
      <c r="R28" s="31" t="str">
        <f aca="false">IF($A28="","",IF(Q28="","Not Rated",IF(Q28&gt;=80,"A — Preferred",IF(Q28&gt;=60,"B — Approved","C — Review"))))</f>
        <v/>
      </c>
      <c r="S28" s="33" t="n">
        <f aca="false">IF($A28="",-ROW(),N(C28)+(1000-ROW())/1000000)</f>
        <v>-28</v>
      </c>
    </row>
    <row r="29" customFormat="false" ht="15" hidden="false" customHeight="false" outlineLevel="0" collapsed="false">
      <c r="A29" s="79" t="str">
        <f aca="false">IF(Lists!$J$26="","",Lists!$J$26)</f>
        <v/>
      </c>
      <c r="B29" s="80" t="str">
        <f aca="false">IF($A29="","",COUNTIFS(Purchase_Register!$M$6:$M$205,$A29,Purchase_Register!$O$6:$O$205,"&lt;&gt;"))</f>
        <v/>
      </c>
      <c r="C29" s="81" t="str">
        <f aca="false">IF($A29="","",SUMIFS(Purchase_Register!$AD$6:$AD$205,Purchase_Register!$M$6:$M$205,$A29))</f>
        <v/>
      </c>
      <c r="D29" s="82" t="str">
        <f aca="false">IF(OR($A29="",SUM($C$5:$C$34)=0),"",C29/SUM($C$5:$C$34))</f>
        <v/>
      </c>
      <c r="E29" s="81" t="str">
        <f aca="false">IF($A29="","",SUMIFS(Purchase_Register!$AI$6:$AI$205,Purchase_Register!$M$6:$M$205,$A29))</f>
        <v/>
      </c>
      <c r="F29" s="81" t="str">
        <f aca="false">IF($A29="","",SUMIFS(Purchase_Register!$AK$6:$AK$205,Purchase_Register!$M$6:$M$205,$A29))</f>
        <v/>
      </c>
      <c r="G29" s="80" t="str">
        <f aca="false">IF($A29="","",COUNTIFS(Purchase_Register!$M$6:$M$205,$A29,Purchase_Register!$BE$6:$BE$205,"*OTIF"))</f>
        <v/>
      </c>
      <c r="H29" s="38" t="str">
        <f aca="false">IF(OR($A29="",N(G29)=0),"",COUNTIFS(Purchase_Register!$M$6:$M$205,$A29,Purchase_Register!$BE$6:$BE$205,"OTIF")/G29)</f>
        <v/>
      </c>
      <c r="I29" s="38" t="str">
        <f aca="false">IF(OR($A29="",N(G29)=0),"",COUNTIFS(Purchase_Register!$M$6:$M$205,$A29,Purchase_Register!$BE$6:$BE$205,"*OTIF",Purchase_Register!$AX$6:$AX$205,"All In-house*")/G29)</f>
        <v/>
      </c>
      <c r="J29" s="30" t="str">
        <f aca="false">IF($A29="","",IFERROR(AVERAGEIFS(Purchase_Register!$BB$6:$BB$205,Purchase_Register!$M$6:$M$205,$A29),""))</f>
        <v/>
      </c>
      <c r="K29" s="30" t="str">
        <f aca="false">IF($A29="","",IFERROR(AVERAGEIFS(Purchase_Register!$BD$6:$BD$205,Purchase_Register!$M$6:$M$205,$A29,Purchase_Register!$AY$6:$AY$205,"&lt;&gt;"),""))</f>
        <v/>
      </c>
      <c r="L29" s="80" t="str">
        <f aca="false">IF($A29="","",COUNTIFS(Purchase_Register!$M$6:$M$205,$A29,Purchase_Register!$O$6:$O$205,"&lt;&gt;",Purchase_Register!$AY$6:$AY$205,"",Purchase_Register!$BD$6:$BD$205,"&gt;0"))</f>
        <v/>
      </c>
      <c r="M29" s="80" t="str">
        <f aca="false">IF($A29="","",COUNTIFS(Purchase_Register!$M$6:$M$205,$A29,Purchase_Register!$AX$6:$AX$205,"Short Closed*"))</f>
        <v/>
      </c>
      <c r="N29" s="81" t="str">
        <f aca="false">IF($A29="","",SUMIFS(Purchase_Register!$AW$6:$AW$205,Purchase_Register!$M$6:$M$205,$A29,Purchase_Register!$AY$6:$AY$205,""))</f>
        <v/>
      </c>
      <c r="O29" s="38" t="str">
        <f aca="false">IF($A29="","",IFERROR(COUNTIFS(Purchase_Register!$M$6:$M$205,$A29,Purchase_Register!$BF$6:$BF$205,"Approved*")/(COUNTIFS(Purchase_Register!$M$6:$M$205,$A29,Purchase_Register!$BF$6:$BF$205,"Approved*")+COUNTIFS(Purchase_Register!$M$6:$M$205,$A29,Purchase_Register!$BF$6:$BF$205,"Rejected")),""))</f>
        <v/>
      </c>
      <c r="P29" s="83" t="str">
        <f aca="false">IF($A29="","",IFERROR(AVERAGEIFS(Purchase_Register!$AB$6:$AB$205,Purchase_Register!$M$6:$M$205,$A29),""))</f>
        <v/>
      </c>
      <c r="Q29" s="84" t="str">
        <f aca="false">IF(OR($A29="",H29="",O29=""),"",ROUND(40*H29+20*N(I29)+25*O29+15*(1-MIN(1,MAX(0,N(P29))/0.1)),0))</f>
        <v/>
      </c>
      <c r="R29" s="31" t="str">
        <f aca="false">IF($A29="","",IF(Q29="","Not Rated",IF(Q29&gt;=80,"A — Preferred",IF(Q29&gt;=60,"B — Approved","C — Review"))))</f>
        <v/>
      </c>
      <c r="S29" s="33" t="n">
        <f aca="false">IF($A29="",-ROW(),N(C29)+(1000-ROW())/1000000)</f>
        <v>-29</v>
      </c>
    </row>
    <row r="30" customFormat="false" ht="15" hidden="false" customHeight="false" outlineLevel="0" collapsed="false">
      <c r="A30" s="79" t="str">
        <f aca="false">IF(Lists!$J$27="","",Lists!$J$27)</f>
        <v/>
      </c>
      <c r="B30" s="80" t="str">
        <f aca="false">IF($A30="","",COUNTIFS(Purchase_Register!$M$6:$M$205,$A30,Purchase_Register!$O$6:$O$205,"&lt;&gt;"))</f>
        <v/>
      </c>
      <c r="C30" s="81" t="str">
        <f aca="false">IF($A30="","",SUMIFS(Purchase_Register!$AD$6:$AD$205,Purchase_Register!$M$6:$M$205,$A30))</f>
        <v/>
      </c>
      <c r="D30" s="82" t="str">
        <f aca="false">IF(OR($A30="",SUM($C$5:$C$34)=0),"",C30/SUM($C$5:$C$34))</f>
        <v/>
      </c>
      <c r="E30" s="81" t="str">
        <f aca="false">IF($A30="","",SUMIFS(Purchase_Register!$AI$6:$AI$205,Purchase_Register!$M$6:$M$205,$A30))</f>
        <v/>
      </c>
      <c r="F30" s="81" t="str">
        <f aca="false">IF($A30="","",SUMIFS(Purchase_Register!$AK$6:$AK$205,Purchase_Register!$M$6:$M$205,$A30))</f>
        <v/>
      </c>
      <c r="G30" s="80" t="str">
        <f aca="false">IF($A30="","",COUNTIFS(Purchase_Register!$M$6:$M$205,$A30,Purchase_Register!$BE$6:$BE$205,"*OTIF"))</f>
        <v/>
      </c>
      <c r="H30" s="38" t="str">
        <f aca="false">IF(OR($A30="",N(G30)=0),"",COUNTIFS(Purchase_Register!$M$6:$M$205,$A30,Purchase_Register!$BE$6:$BE$205,"OTIF")/G30)</f>
        <v/>
      </c>
      <c r="I30" s="38" t="str">
        <f aca="false">IF(OR($A30="",N(G30)=0),"",COUNTIFS(Purchase_Register!$M$6:$M$205,$A30,Purchase_Register!$BE$6:$BE$205,"*OTIF",Purchase_Register!$AX$6:$AX$205,"All In-house*")/G30)</f>
        <v/>
      </c>
      <c r="J30" s="30" t="str">
        <f aca="false">IF($A30="","",IFERROR(AVERAGEIFS(Purchase_Register!$BB$6:$BB$205,Purchase_Register!$M$6:$M$205,$A30),""))</f>
        <v/>
      </c>
      <c r="K30" s="30" t="str">
        <f aca="false">IF($A30="","",IFERROR(AVERAGEIFS(Purchase_Register!$BD$6:$BD$205,Purchase_Register!$M$6:$M$205,$A30,Purchase_Register!$AY$6:$AY$205,"&lt;&gt;"),""))</f>
        <v/>
      </c>
      <c r="L30" s="80" t="str">
        <f aca="false">IF($A30="","",COUNTIFS(Purchase_Register!$M$6:$M$205,$A30,Purchase_Register!$O$6:$O$205,"&lt;&gt;",Purchase_Register!$AY$6:$AY$205,"",Purchase_Register!$BD$6:$BD$205,"&gt;0"))</f>
        <v/>
      </c>
      <c r="M30" s="80" t="str">
        <f aca="false">IF($A30="","",COUNTIFS(Purchase_Register!$M$6:$M$205,$A30,Purchase_Register!$AX$6:$AX$205,"Short Closed*"))</f>
        <v/>
      </c>
      <c r="N30" s="81" t="str">
        <f aca="false">IF($A30="","",SUMIFS(Purchase_Register!$AW$6:$AW$205,Purchase_Register!$M$6:$M$205,$A30,Purchase_Register!$AY$6:$AY$205,""))</f>
        <v/>
      </c>
      <c r="O30" s="38" t="str">
        <f aca="false">IF($A30="","",IFERROR(COUNTIFS(Purchase_Register!$M$6:$M$205,$A30,Purchase_Register!$BF$6:$BF$205,"Approved*")/(COUNTIFS(Purchase_Register!$M$6:$M$205,$A30,Purchase_Register!$BF$6:$BF$205,"Approved*")+COUNTIFS(Purchase_Register!$M$6:$M$205,$A30,Purchase_Register!$BF$6:$BF$205,"Rejected")),""))</f>
        <v/>
      </c>
      <c r="P30" s="83" t="str">
        <f aca="false">IF($A30="","",IFERROR(AVERAGEIFS(Purchase_Register!$AB$6:$AB$205,Purchase_Register!$M$6:$M$205,$A30),""))</f>
        <v/>
      </c>
      <c r="Q30" s="84" t="str">
        <f aca="false">IF(OR($A30="",H30="",O30=""),"",ROUND(40*H30+20*N(I30)+25*O30+15*(1-MIN(1,MAX(0,N(P30))/0.1)),0))</f>
        <v/>
      </c>
      <c r="R30" s="31" t="str">
        <f aca="false">IF($A30="","",IF(Q30="","Not Rated",IF(Q30&gt;=80,"A — Preferred",IF(Q30&gt;=60,"B — Approved","C — Review"))))</f>
        <v/>
      </c>
      <c r="S30" s="33" t="n">
        <f aca="false">IF($A30="",-ROW(),N(C30)+(1000-ROW())/1000000)</f>
        <v>-30</v>
      </c>
    </row>
    <row r="31" customFormat="false" ht="15" hidden="false" customHeight="false" outlineLevel="0" collapsed="false">
      <c r="A31" s="79" t="str">
        <f aca="false">IF(Lists!$J$28="","",Lists!$J$28)</f>
        <v/>
      </c>
      <c r="B31" s="80" t="str">
        <f aca="false">IF($A31="","",COUNTIFS(Purchase_Register!$M$6:$M$205,$A31,Purchase_Register!$O$6:$O$205,"&lt;&gt;"))</f>
        <v/>
      </c>
      <c r="C31" s="81" t="str">
        <f aca="false">IF($A31="","",SUMIFS(Purchase_Register!$AD$6:$AD$205,Purchase_Register!$M$6:$M$205,$A31))</f>
        <v/>
      </c>
      <c r="D31" s="82" t="str">
        <f aca="false">IF(OR($A31="",SUM($C$5:$C$34)=0),"",C31/SUM($C$5:$C$34))</f>
        <v/>
      </c>
      <c r="E31" s="81" t="str">
        <f aca="false">IF($A31="","",SUMIFS(Purchase_Register!$AI$6:$AI$205,Purchase_Register!$M$6:$M$205,$A31))</f>
        <v/>
      </c>
      <c r="F31" s="81" t="str">
        <f aca="false">IF($A31="","",SUMIFS(Purchase_Register!$AK$6:$AK$205,Purchase_Register!$M$6:$M$205,$A31))</f>
        <v/>
      </c>
      <c r="G31" s="80" t="str">
        <f aca="false">IF($A31="","",COUNTIFS(Purchase_Register!$M$6:$M$205,$A31,Purchase_Register!$BE$6:$BE$205,"*OTIF"))</f>
        <v/>
      </c>
      <c r="H31" s="38" t="str">
        <f aca="false">IF(OR($A31="",N(G31)=0),"",COUNTIFS(Purchase_Register!$M$6:$M$205,$A31,Purchase_Register!$BE$6:$BE$205,"OTIF")/G31)</f>
        <v/>
      </c>
      <c r="I31" s="38" t="str">
        <f aca="false">IF(OR($A31="",N(G31)=0),"",COUNTIFS(Purchase_Register!$M$6:$M$205,$A31,Purchase_Register!$BE$6:$BE$205,"*OTIF",Purchase_Register!$AX$6:$AX$205,"All In-house*")/G31)</f>
        <v/>
      </c>
      <c r="J31" s="30" t="str">
        <f aca="false">IF($A31="","",IFERROR(AVERAGEIFS(Purchase_Register!$BB$6:$BB$205,Purchase_Register!$M$6:$M$205,$A31),""))</f>
        <v/>
      </c>
      <c r="K31" s="30" t="str">
        <f aca="false">IF($A31="","",IFERROR(AVERAGEIFS(Purchase_Register!$BD$6:$BD$205,Purchase_Register!$M$6:$M$205,$A31,Purchase_Register!$AY$6:$AY$205,"&lt;&gt;"),""))</f>
        <v/>
      </c>
      <c r="L31" s="80" t="str">
        <f aca="false">IF($A31="","",COUNTIFS(Purchase_Register!$M$6:$M$205,$A31,Purchase_Register!$O$6:$O$205,"&lt;&gt;",Purchase_Register!$AY$6:$AY$205,"",Purchase_Register!$BD$6:$BD$205,"&gt;0"))</f>
        <v/>
      </c>
      <c r="M31" s="80" t="str">
        <f aca="false">IF($A31="","",COUNTIFS(Purchase_Register!$M$6:$M$205,$A31,Purchase_Register!$AX$6:$AX$205,"Short Closed*"))</f>
        <v/>
      </c>
      <c r="N31" s="81" t="str">
        <f aca="false">IF($A31="","",SUMIFS(Purchase_Register!$AW$6:$AW$205,Purchase_Register!$M$6:$M$205,$A31,Purchase_Register!$AY$6:$AY$205,""))</f>
        <v/>
      </c>
      <c r="O31" s="38" t="str">
        <f aca="false">IF($A31="","",IFERROR(COUNTIFS(Purchase_Register!$M$6:$M$205,$A31,Purchase_Register!$BF$6:$BF$205,"Approved*")/(COUNTIFS(Purchase_Register!$M$6:$M$205,$A31,Purchase_Register!$BF$6:$BF$205,"Approved*")+COUNTIFS(Purchase_Register!$M$6:$M$205,$A31,Purchase_Register!$BF$6:$BF$205,"Rejected")),""))</f>
        <v/>
      </c>
      <c r="P31" s="83" t="str">
        <f aca="false">IF($A31="","",IFERROR(AVERAGEIFS(Purchase_Register!$AB$6:$AB$205,Purchase_Register!$M$6:$M$205,$A31),""))</f>
        <v/>
      </c>
      <c r="Q31" s="84" t="str">
        <f aca="false">IF(OR($A31="",H31="",O31=""),"",ROUND(40*H31+20*N(I31)+25*O31+15*(1-MIN(1,MAX(0,N(P31))/0.1)),0))</f>
        <v/>
      </c>
      <c r="R31" s="31" t="str">
        <f aca="false">IF($A31="","",IF(Q31="","Not Rated",IF(Q31&gt;=80,"A — Preferred",IF(Q31&gt;=60,"B — Approved","C — Review"))))</f>
        <v/>
      </c>
      <c r="S31" s="33" t="n">
        <f aca="false">IF($A31="",-ROW(),N(C31)+(1000-ROW())/1000000)</f>
        <v>-31</v>
      </c>
    </row>
    <row r="32" customFormat="false" ht="15" hidden="false" customHeight="false" outlineLevel="0" collapsed="false">
      <c r="A32" s="79" t="str">
        <f aca="false">IF(Lists!$J$29="","",Lists!$J$29)</f>
        <v/>
      </c>
      <c r="B32" s="80" t="str">
        <f aca="false">IF($A32="","",COUNTIFS(Purchase_Register!$M$6:$M$205,$A32,Purchase_Register!$O$6:$O$205,"&lt;&gt;"))</f>
        <v/>
      </c>
      <c r="C32" s="81" t="str">
        <f aca="false">IF($A32="","",SUMIFS(Purchase_Register!$AD$6:$AD$205,Purchase_Register!$M$6:$M$205,$A32))</f>
        <v/>
      </c>
      <c r="D32" s="82" t="str">
        <f aca="false">IF(OR($A32="",SUM($C$5:$C$34)=0),"",C32/SUM($C$5:$C$34))</f>
        <v/>
      </c>
      <c r="E32" s="81" t="str">
        <f aca="false">IF($A32="","",SUMIFS(Purchase_Register!$AI$6:$AI$205,Purchase_Register!$M$6:$M$205,$A32))</f>
        <v/>
      </c>
      <c r="F32" s="81" t="str">
        <f aca="false">IF($A32="","",SUMIFS(Purchase_Register!$AK$6:$AK$205,Purchase_Register!$M$6:$M$205,$A32))</f>
        <v/>
      </c>
      <c r="G32" s="80" t="str">
        <f aca="false">IF($A32="","",COUNTIFS(Purchase_Register!$M$6:$M$205,$A32,Purchase_Register!$BE$6:$BE$205,"*OTIF"))</f>
        <v/>
      </c>
      <c r="H32" s="38" t="str">
        <f aca="false">IF(OR($A32="",N(G32)=0),"",COUNTIFS(Purchase_Register!$M$6:$M$205,$A32,Purchase_Register!$BE$6:$BE$205,"OTIF")/G32)</f>
        <v/>
      </c>
      <c r="I32" s="38" t="str">
        <f aca="false">IF(OR($A32="",N(G32)=0),"",COUNTIFS(Purchase_Register!$M$6:$M$205,$A32,Purchase_Register!$BE$6:$BE$205,"*OTIF",Purchase_Register!$AX$6:$AX$205,"All In-house*")/G32)</f>
        <v/>
      </c>
      <c r="J32" s="30" t="str">
        <f aca="false">IF($A32="","",IFERROR(AVERAGEIFS(Purchase_Register!$BB$6:$BB$205,Purchase_Register!$M$6:$M$205,$A32),""))</f>
        <v/>
      </c>
      <c r="K32" s="30" t="str">
        <f aca="false">IF($A32="","",IFERROR(AVERAGEIFS(Purchase_Register!$BD$6:$BD$205,Purchase_Register!$M$6:$M$205,$A32,Purchase_Register!$AY$6:$AY$205,"&lt;&gt;"),""))</f>
        <v/>
      </c>
      <c r="L32" s="80" t="str">
        <f aca="false">IF($A32="","",COUNTIFS(Purchase_Register!$M$6:$M$205,$A32,Purchase_Register!$O$6:$O$205,"&lt;&gt;",Purchase_Register!$AY$6:$AY$205,"",Purchase_Register!$BD$6:$BD$205,"&gt;0"))</f>
        <v/>
      </c>
      <c r="M32" s="80" t="str">
        <f aca="false">IF($A32="","",COUNTIFS(Purchase_Register!$M$6:$M$205,$A32,Purchase_Register!$AX$6:$AX$205,"Short Closed*"))</f>
        <v/>
      </c>
      <c r="N32" s="81" t="str">
        <f aca="false">IF($A32="","",SUMIFS(Purchase_Register!$AW$6:$AW$205,Purchase_Register!$M$6:$M$205,$A32,Purchase_Register!$AY$6:$AY$205,""))</f>
        <v/>
      </c>
      <c r="O32" s="38" t="str">
        <f aca="false">IF($A32="","",IFERROR(COUNTIFS(Purchase_Register!$M$6:$M$205,$A32,Purchase_Register!$BF$6:$BF$205,"Approved*")/(COUNTIFS(Purchase_Register!$M$6:$M$205,$A32,Purchase_Register!$BF$6:$BF$205,"Approved*")+COUNTIFS(Purchase_Register!$M$6:$M$205,$A32,Purchase_Register!$BF$6:$BF$205,"Rejected")),""))</f>
        <v/>
      </c>
      <c r="P32" s="83" t="str">
        <f aca="false">IF($A32="","",IFERROR(AVERAGEIFS(Purchase_Register!$AB$6:$AB$205,Purchase_Register!$M$6:$M$205,$A32),""))</f>
        <v/>
      </c>
      <c r="Q32" s="84" t="str">
        <f aca="false">IF(OR($A32="",H32="",O32=""),"",ROUND(40*H32+20*N(I32)+25*O32+15*(1-MIN(1,MAX(0,N(P32))/0.1)),0))</f>
        <v/>
      </c>
      <c r="R32" s="31" t="str">
        <f aca="false">IF($A32="","",IF(Q32="","Not Rated",IF(Q32&gt;=80,"A — Preferred",IF(Q32&gt;=60,"B — Approved","C — Review"))))</f>
        <v/>
      </c>
      <c r="S32" s="33" t="n">
        <f aca="false">IF($A32="",-ROW(),N(C32)+(1000-ROW())/1000000)</f>
        <v>-32</v>
      </c>
    </row>
    <row r="33" customFormat="false" ht="15" hidden="false" customHeight="false" outlineLevel="0" collapsed="false">
      <c r="A33" s="79" t="str">
        <f aca="false">IF(Lists!$J$30="","",Lists!$J$30)</f>
        <v/>
      </c>
      <c r="B33" s="80" t="str">
        <f aca="false">IF($A33="","",COUNTIFS(Purchase_Register!$M$6:$M$205,$A33,Purchase_Register!$O$6:$O$205,"&lt;&gt;"))</f>
        <v/>
      </c>
      <c r="C33" s="81" t="str">
        <f aca="false">IF($A33="","",SUMIFS(Purchase_Register!$AD$6:$AD$205,Purchase_Register!$M$6:$M$205,$A33))</f>
        <v/>
      </c>
      <c r="D33" s="82" t="str">
        <f aca="false">IF(OR($A33="",SUM($C$5:$C$34)=0),"",C33/SUM($C$5:$C$34))</f>
        <v/>
      </c>
      <c r="E33" s="81" t="str">
        <f aca="false">IF($A33="","",SUMIFS(Purchase_Register!$AI$6:$AI$205,Purchase_Register!$M$6:$M$205,$A33))</f>
        <v/>
      </c>
      <c r="F33" s="81" t="str">
        <f aca="false">IF($A33="","",SUMIFS(Purchase_Register!$AK$6:$AK$205,Purchase_Register!$M$6:$M$205,$A33))</f>
        <v/>
      </c>
      <c r="G33" s="80" t="str">
        <f aca="false">IF($A33="","",COUNTIFS(Purchase_Register!$M$6:$M$205,$A33,Purchase_Register!$BE$6:$BE$205,"*OTIF"))</f>
        <v/>
      </c>
      <c r="H33" s="38" t="str">
        <f aca="false">IF(OR($A33="",N(G33)=0),"",COUNTIFS(Purchase_Register!$M$6:$M$205,$A33,Purchase_Register!$BE$6:$BE$205,"OTIF")/G33)</f>
        <v/>
      </c>
      <c r="I33" s="38" t="str">
        <f aca="false">IF(OR($A33="",N(G33)=0),"",COUNTIFS(Purchase_Register!$M$6:$M$205,$A33,Purchase_Register!$BE$6:$BE$205,"*OTIF",Purchase_Register!$AX$6:$AX$205,"All In-house*")/G33)</f>
        <v/>
      </c>
      <c r="J33" s="30" t="str">
        <f aca="false">IF($A33="","",IFERROR(AVERAGEIFS(Purchase_Register!$BB$6:$BB$205,Purchase_Register!$M$6:$M$205,$A33),""))</f>
        <v/>
      </c>
      <c r="K33" s="30" t="str">
        <f aca="false">IF($A33="","",IFERROR(AVERAGEIFS(Purchase_Register!$BD$6:$BD$205,Purchase_Register!$M$6:$M$205,$A33,Purchase_Register!$AY$6:$AY$205,"&lt;&gt;"),""))</f>
        <v/>
      </c>
      <c r="L33" s="80" t="str">
        <f aca="false">IF($A33="","",COUNTIFS(Purchase_Register!$M$6:$M$205,$A33,Purchase_Register!$O$6:$O$205,"&lt;&gt;",Purchase_Register!$AY$6:$AY$205,"",Purchase_Register!$BD$6:$BD$205,"&gt;0"))</f>
        <v/>
      </c>
      <c r="M33" s="80" t="str">
        <f aca="false">IF($A33="","",COUNTIFS(Purchase_Register!$M$6:$M$205,$A33,Purchase_Register!$AX$6:$AX$205,"Short Closed*"))</f>
        <v/>
      </c>
      <c r="N33" s="81" t="str">
        <f aca="false">IF($A33="","",SUMIFS(Purchase_Register!$AW$6:$AW$205,Purchase_Register!$M$6:$M$205,$A33,Purchase_Register!$AY$6:$AY$205,""))</f>
        <v/>
      </c>
      <c r="O33" s="38" t="str">
        <f aca="false">IF($A33="","",IFERROR(COUNTIFS(Purchase_Register!$M$6:$M$205,$A33,Purchase_Register!$BF$6:$BF$205,"Approved*")/(COUNTIFS(Purchase_Register!$M$6:$M$205,$A33,Purchase_Register!$BF$6:$BF$205,"Approved*")+COUNTIFS(Purchase_Register!$M$6:$M$205,$A33,Purchase_Register!$BF$6:$BF$205,"Rejected")),""))</f>
        <v/>
      </c>
      <c r="P33" s="83" t="str">
        <f aca="false">IF($A33="","",IFERROR(AVERAGEIFS(Purchase_Register!$AB$6:$AB$205,Purchase_Register!$M$6:$M$205,$A33),""))</f>
        <v/>
      </c>
      <c r="Q33" s="84" t="str">
        <f aca="false">IF(OR($A33="",H33="",O33=""),"",ROUND(40*H33+20*N(I33)+25*O33+15*(1-MIN(1,MAX(0,N(P33))/0.1)),0))</f>
        <v/>
      </c>
      <c r="R33" s="31" t="str">
        <f aca="false">IF($A33="","",IF(Q33="","Not Rated",IF(Q33&gt;=80,"A — Preferred",IF(Q33&gt;=60,"B — Approved","C — Review"))))</f>
        <v/>
      </c>
      <c r="S33" s="33" t="n">
        <f aca="false">IF($A33="",-ROW(),N(C33)+(1000-ROW())/1000000)</f>
        <v>-33</v>
      </c>
    </row>
    <row r="34" customFormat="false" ht="15" hidden="false" customHeight="false" outlineLevel="0" collapsed="false">
      <c r="A34" s="79" t="str">
        <f aca="false">IF(Lists!$J$31="","",Lists!$J$31)</f>
        <v/>
      </c>
      <c r="B34" s="80" t="str">
        <f aca="false">IF($A34="","",COUNTIFS(Purchase_Register!$M$6:$M$205,$A34,Purchase_Register!$O$6:$O$205,"&lt;&gt;"))</f>
        <v/>
      </c>
      <c r="C34" s="81" t="str">
        <f aca="false">IF($A34="","",SUMIFS(Purchase_Register!$AD$6:$AD$205,Purchase_Register!$M$6:$M$205,$A34))</f>
        <v/>
      </c>
      <c r="D34" s="82" t="str">
        <f aca="false">IF(OR($A34="",SUM($C$5:$C$34)=0),"",C34/SUM($C$5:$C$34))</f>
        <v/>
      </c>
      <c r="E34" s="81" t="str">
        <f aca="false">IF($A34="","",SUMIFS(Purchase_Register!$AI$6:$AI$205,Purchase_Register!$M$6:$M$205,$A34))</f>
        <v/>
      </c>
      <c r="F34" s="81" t="str">
        <f aca="false">IF($A34="","",SUMIFS(Purchase_Register!$AK$6:$AK$205,Purchase_Register!$M$6:$M$205,$A34))</f>
        <v/>
      </c>
      <c r="G34" s="80" t="str">
        <f aca="false">IF($A34="","",COUNTIFS(Purchase_Register!$M$6:$M$205,$A34,Purchase_Register!$BE$6:$BE$205,"*OTIF"))</f>
        <v/>
      </c>
      <c r="H34" s="38" t="str">
        <f aca="false">IF(OR($A34="",N(G34)=0),"",COUNTIFS(Purchase_Register!$M$6:$M$205,$A34,Purchase_Register!$BE$6:$BE$205,"OTIF")/G34)</f>
        <v/>
      </c>
      <c r="I34" s="38" t="str">
        <f aca="false">IF(OR($A34="",N(G34)=0),"",COUNTIFS(Purchase_Register!$M$6:$M$205,$A34,Purchase_Register!$BE$6:$BE$205,"*OTIF",Purchase_Register!$AX$6:$AX$205,"All In-house*")/G34)</f>
        <v/>
      </c>
      <c r="J34" s="30" t="str">
        <f aca="false">IF($A34="","",IFERROR(AVERAGEIFS(Purchase_Register!$BB$6:$BB$205,Purchase_Register!$M$6:$M$205,$A34),""))</f>
        <v/>
      </c>
      <c r="K34" s="30" t="str">
        <f aca="false">IF($A34="","",IFERROR(AVERAGEIFS(Purchase_Register!$BD$6:$BD$205,Purchase_Register!$M$6:$M$205,$A34,Purchase_Register!$AY$6:$AY$205,"&lt;&gt;"),""))</f>
        <v/>
      </c>
      <c r="L34" s="80" t="str">
        <f aca="false">IF($A34="","",COUNTIFS(Purchase_Register!$M$6:$M$205,$A34,Purchase_Register!$O$6:$O$205,"&lt;&gt;",Purchase_Register!$AY$6:$AY$205,"",Purchase_Register!$BD$6:$BD$205,"&gt;0"))</f>
        <v/>
      </c>
      <c r="M34" s="80" t="str">
        <f aca="false">IF($A34="","",COUNTIFS(Purchase_Register!$M$6:$M$205,$A34,Purchase_Register!$AX$6:$AX$205,"Short Closed*"))</f>
        <v/>
      </c>
      <c r="N34" s="81" t="str">
        <f aca="false">IF($A34="","",SUMIFS(Purchase_Register!$AW$6:$AW$205,Purchase_Register!$M$6:$M$205,$A34,Purchase_Register!$AY$6:$AY$205,""))</f>
        <v/>
      </c>
      <c r="O34" s="38" t="str">
        <f aca="false">IF($A34="","",IFERROR(COUNTIFS(Purchase_Register!$M$6:$M$205,$A34,Purchase_Register!$BF$6:$BF$205,"Approved*")/(COUNTIFS(Purchase_Register!$M$6:$M$205,$A34,Purchase_Register!$BF$6:$BF$205,"Approved*")+COUNTIFS(Purchase_Register!$M$6:$M$205,$A34,Purchase_Register!$BF$6:$BF$205,"Rejected")),""))</f>
        <v/>
      </c>
      <c r="P34" s="83" t="str">
        <f aca="false">IF($A34="","",IFERROR(AVERAGEIFS(Purchase_Register!$AB$6:$AB$205,Purchase_Register!$M$6:$M$205,$A34),""))</f>
        <v/>
      </c>
      <c r="Q34" s="84" t="str">
        <f aca="false">IF(OR($A34="",H34="",O34=""),"",ROUND(40*H34+20*N(I34)+25*O34+15*(1-MIN(1,MAX(0,N(P34))/0.1)),0))</f>
        <v/>
      </c>
      <c r="R34" s="31" t="str">
        <f aca="false">IF($A34="","",IF(Q34="","Not Rated",IF(Q34&gt;=80,"A — Preferred",IF(Q34&gt;=60,"B — Approved","C — Review"))))</f>
        <v/>
      </c>
      <c r="S34" s="33" t="n">
        <f aca="false">IF($A34="",-ROW(),N(C34)+(1000-ROW())/1000000)</f>
        <v>-34</v>
      </c>
    </row>
    <row r="35" customFormat="false" ht="15" hidden="false" customHeight="false" outlineLevel="0" collapsed="false">
      <c r="A35" s="85" t="s">
        <v>426</v>
      </c>
      <c r="B35" s="86" t="n">
        <f aca="false">SUM(B5:B34)</f>
        <v>39</v>
      </c>
      <c r="C35" s="87" t="n">
        <f aca="false">SUM(C5:C34)</f>
        <v>56519000.295</v>
      </c>
      <c r="D35" s="88" t="n">
        <f aca="false">IF(C35=0,"",1)</f>
        <v>1</v>
      </c>
      <c r="E35" s="87" t="n">
        <f aca="false">SUM(E5:E34)</f>
        <v>33847315.95</v>
      </c>
      <c r="F35" s="87" t="n">
        <f aca="false">SUM(F5:F34)</f>
        <v>22671684.35</v>
      </c>
      <c r="G35" s="86" t="n">
        <f aca="false">SUM(G5:G34)</f>
        <v>34</v>
      </c>
      <c r="H35" s="88" t="n">
        <f aca="false">IFERROR(COUNTIF(Purchase_Register!$BE$6:$BE$205,"OTIF")/COUNTIF(Purchase_Register!$BE$6:$BE$205,"*OTIF"),"")</f>
        <v>0.5</v>
      </c>
      <c r="I35" s="88" t="n">
        <f aca="false">IFERROR(COUNTIFS(Purchase_Register!$BE$6:$BE$205,"*OTIF",Purchase_Register!$AX$6:$AX$205,"All In-house*")/COUNTIF(Purchase_Register!$BE$6:$BE$205,"*OTIF"),"")</f>
        <v>0.794117647058824</v>
      </c>
      <c r="J35" s="89" t="n">
        <f aca="false">IFERROR(AVERAGE(Purchase_Register!$BB$6:$BB$205),"")</f>
        <v>21.7647058823529</v>
      </c>
      <c r="K35" s="89" t="n">
        <f aca="false">IFERROR(AVERAGEIFS(Purchase_Register!$BD$6:$BD$205,Purchase_Register!$AY$6:$AY$205,"&lt;&gt;"),"")</f>
        <v>1.79411764705882</v>
      </c>
      <c r="L35" s="86" t="n">
        <f aca="false">SUM(L5:L34)</f>
        <v>0</v>
      </c>
      <c r="M35" s="86" t="n">
        <f aca="false">SUM(M5:M34)</f>
        <v>7</v>
      </c>
      <c r="N35" s="87" t="n">
        <f aca="false">SUM(N5:N34)</f>
        <v>10105738.45</v>
      </c>
      <c r="O35" s="88" t="n">
        <f aca="false">IFERROR(COUNTIF(Purchase_Register!$BF$6:$BF$205,"Approved*")/(COUNTIF(Purchase_Register!$BF$6:$BF$205,"Approved*")+COUNTIF(Purchase_Register!$BF$6:$BF$205,"Rejected")),"")</f>
        <v>0.823529411764706</v>
      </c>
      <c r="P35" s="90" t="n">
        <f aca="false">IFERROR(AVERAGE(Purchase_Register!$AB$6:$AB$205),"")</f>
        <v>0.0242133749770729</v>
      </c>
      <c r="Q35" s="86" t="n">
        <f aca="false">IFERROR(ROUND(AVERAGE(Q5:Q34),0),"")</f>
        <v>71</v>
      </c>
      <c r="R35" s="91" t="str">
        <f aca="false">COUNTIF(R5:R34,"A*")&amp;" A · "&amp;COUNTIF(R5:R34,"B*")&amp;" B · "&amp;COUNTIF(R5:R34,"C*")&amp;" C"</f>
        <v>3 A · 4 B · 3 C</v>
      </c>
    </row>
    <row r="37" customFormat="false" ht="15" hidden="false" customHeight="false" outlineLevel="0" collapsed="false">
      <c r="A37" s="92" t="s">
        <v>427</v>
      </c>
    </row>
    <row r="38" customFormat="false" ht="15" hidden="false" customHeight="false" outlineLevel="0" collapsed="false">
      <c r="A38" s="93" t="s">
        <v>428</v>
      </c>
      <c r="C38" s="46" t="str">
        <f aca="false">IFERROR(INDEX(A5:A34,MATCH(MAX(D5:D34),D5:D34,0)),"")</f>
        <v>Savar Leather Works Ltd</v>
      </c>
    </row>
    <row r="39" customFormat="false" ht="15" hidden="false" customHeight="false" outlineLevel="0" collapsed="false">
      <c r="A39" s="93" t="s">
        <v>429</v>
      </c>
      <c r="C39" s="94" t="n">
        <f aca="false">MAX(D5:D34)</f>
        <v>0.315468215236237</v>
      </c>
    </row>
    <row r="40" customFormat="false" ht="15" hidden="false" customHeight="false" outlineLevel="0" collapsed="false">
      <c r="A40" s="93" t="s">
        <v>430</v>
      </c>
      <c r="C40" s="95" t="n">
        <f aca="false">ROUND(SUMSQ(D5:D34)*10000,0)</f>
        <v>1959</v>
      </c>
    </row>
    <row r="41" customFormat="false" ht="15" hidden="false" customHeight="false" outlineLevel="0" collapsed="false">
      <c r="A41" s="93" t="s">
        <v>431</v>
      </c>
      <c r="C41" s="46" t="str">
        <f aca="false">IF(C40&gt;2500,"Highly concentrated",IF(C40&gt;1500,"Moderately concentrated","Diversified"))</f>
        <v>Moderately concentrated</v>
      </c>
    </row>
  </sheetData>
  <sheetProtection sheet="true" formatCells="false" formatColumns="false" formatRows="false" sort="false" autoFilter="false"/>
  <conditionalFormatting sqref="R5:R34">
    <cfRule type="expression" priority="2" aboveAverage="0" equalAverage="0" bottom="0" percent="0" rank="0" text="" dxfId="38">
      <formula>LEFT($R5,1)="A"</formula>
    </cfRule>
    <cfRule type="expression" priority="3" aboveAverage="0" equalAverage="0" bottom="0" percent="0" rank="0" text="" dxfId="12">
      <formula>LEFT($R5,1)="B"</formula>
    </cfRule>
    <cfRule type="expression" priority="4" aboveAverage="0" equalAverage="0" bottom="0" percent="0" rank="0" text="" dxfId="39">
      <formula>LEFT($R5,1)="C"</formula>
    </cfRule>
  </conditionalFormatting>
  <conditionalFormatting sqref="D5:D34">
    <cfRule type="dataBar" priority="5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{2A368765-BC60-4B76-98D8-91D332535995}</x14:id>
        </ext>
      </extLst>
    </cfRule>
  </conditionalFormatting>
  <conditionalFormatting sqref="Q5:Q34">
    <cfRule type="dataBar" priority="6">
      <dataBar showValue="1" minLength="10" maxLength="90">
        <cfvo type="num" val="0"/>
        <cfvo type="num" val="100"/>
        <color rgb="FF70AD47"/>
      </dataBar>
      <extLst>
        <ext xmlns:x14="http://schemas.microsoft.com/office/spreadsheetml/2009/9/main" uri="{B025F937-C7B1-47D3-B67F-A62EFF666E3E}">
          <x14:id>{139E2CF0-858D-4B2D-A440-183EEB898E62}</x14:id>
        </ext>
      </extLst>
    </cfRule>
  </conditionalFormatting>
  <conditionalFormatting sqref="L5:L34">
    <cfRule type="cellIs" priority="7" operator="greaterThan" aboveAverage="0" equalAverage="0" bottom="0" percent="0" rank="0" text="" dxfId="12">
      <formula>0</formula>
    </cfRule>
  </conditionalFormatting>
  <conditionalFormatting sqref="M5:M34">
    <cfRule type="cellIs" priority="8" operator="greater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368765-BC60-4B76-98D8-91D3325359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D5:D34</xm:sqref>
        </x14:conditionalFormatting>
        <x14:conditionalFormatting xmlns:xm="http://schemas.microsoft.com/office/excel/2006/main">
          <x14:cfRule type="dataBar" id="{139E2CF0-858D-4B2D-A440-183EEB898E62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70AD47"/>
              <x14:axisColor rgb="FF000000"/>
            </x14:dataBar>
          </x14:cfRule>
          <xm:sqref>Q5:Q34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15"/>
    <col collapsed="false" customWidth="true" hidden="true" outlineLevel="0" max="31" min="28" style="0" width="13"/>
  </cols>
  <sheetData>
    <row r="1" customFormat="false" ht="17.35" hidden="false" customHeight="false" outlineLevel="0" collapsed="false">
      <c r="A1" s="39" t="s">
        <v>432</v>
      </c>
    </row>
    <row r="2" customFormat="false" ht="15" hidden="false" customHeight="false" outlineLevel="0" collapsed="false">
      <c r="A2" s="40" t="s">
        <v>433</v>
      </c>
    </row>
    <row r="3" customFormat="false" ht="24" hidden="false" customHeight="true" outlineLevel="0" collapsed="false">
      <c r="B3" s="96" t="s">
        <v>434</v>
      </c>
      <c r="C3" s="96"/>
      <c r="D3" s="96" t="s">
        <v>435</v>
      </c>
      <c r="E3" s="96"/>
      <c r="F3" s="96" t="s">
        <v>436</v>
      </c>
      <c r="G3" s="96"/>
      <c r="H3" s="96" t="s">
        <v>437</v>
      </c>
      <c r="I3" s="96"/>
      <c r="J3" s="96" t="s">
        <v>438</v>
      </c>
      <c r="K3" s="96"/>
    </row>
    <row r="4" customFormat="false" ht="21.75" hidden="false" customHeight="true" outlineLevel="0" collapsed="false">
      <c r="B4" s="97" t="n">
        <f aca="false">J26</f>
        <v>373468.86</v>
      </c>
      <c r="C4" s="97"/>
      <c r="D4" s="97" t="n">
        <f aca="false">K26</f>
        <v>1341825.21</v>
      </c>
      <c r="E4" s="97"/>
      <c r="F4" s="98" t="n">
        <f aca="false">K26-J26</f>
        <v>968356.35</v>
      </c>
      <c r="G4" s="98"/>
      <c r="H4" s="99" t="str">
        <f aca="false">COUNTIF(H6:H25,"A")&amp;" of "&amp;COUNTIF(H6:H25,"?")</f>
        <v>4 of 10</v>
      </c>
      <c r="I4" s="99"/>
      <c r="J4" s="99" t="str">
        <f aca="false">COUNTIF(Purchase_Register!$Z$6:$Z$205,"&gt;0")&amp;" lines (avg "&amp;TEXT(IFERROR(AVERAGEIF(Purchase_Register!$Z$6:$Z$205,"&gt;0"),0),"+0.0%")&amp;")"</f>
        <v>6 lines (avg +2.2%)</v>
      </c>
      <c r="K4" s="99"/>
    </row>
    <row r="5" customFormat="false" ht="39.75" hidden="false" customHeight="true" outlineLevel="0" collapsed="false">
      <c r="A5" s="28" t="s">
        <v>439</v>
      </c>
      <c r="B5" s="28" t="s">
        <v>28</v>
      </c>
      <c r="C5" s="28" t="s">
        <v>34</v>
      </c>
      <c r="D5" s="28" t="s">
        <v>411</v>
      </c>
      <c r="E5" s="28" t="s">
        <v>440</v>
      </c>
      <c r="F5" s="28" t="s">
        <v>412</v>
      </c>
      <c r="G5" s="28" t="s">
        <v>441</v>
      </c>
      <c r="H5" s="28" t="s">
        <v>442</v>
      </c>
      <c r="I5" s="28" t="s">
        <v>423</v>
      </c>
      <c r="J5" s="28" t="s">
        <v>443</v>
      </c>
      <c r="K5" s="28" t="s">
        <v>444</v>
      </c>
      <c r="L5" s="28" t="s">
        <v>421</v>
      </c>
    </row>
    <row r="6" customFormat="false" ht="15" hidden="false" customHeight="false" outlineLevel="0" collapsed="false">
      <c r="A6" s="33" t="n">
        <v>1</v>
      </c>
      <c r="B6" s="93" t="str">
        <f aca="false">INDEX($AC$6:$AC$25,$AB6)&amp;""</f>
        <v>Leather &amp; Upper</v>
      </c>
      <c r="C6" s="80" t="n">
        <f aca="false">IF($B6="","",COUNTIFS(Purchase_Register!$F$6:$F$205,$B6,Purchase_Register!$O$6:$O$205,"&lt;&gt;"))</f>
        <v>6</v>
      </c>
      <c r="D6" s="81" t="n">
        <f aca="false">IF($B6="","",SUMIFS(Purchase_Register!$AD$6:$AD$205,Purchase_Register!$F$6:$F$205,$B6))</f>
        <v>17829948.15</v>
      </c>
      <c r="E6" s="100" t="n">
        <f aca="false">IF($B6="","",D6/100000)</f>
        <v>178.2994815</v>
      </c>
      <c r="F6" s="82" t="n">
        <f aca="false">IF(OR($B6="",$D$26=0),"",D6/$D$26)</f>
        <v>0.315468215236237</v>
      </c>
      <c r="G6" s="82" t="n">
        <f aca="false">IF(OR($B6="",$D$26=0),"",SUM($D$6:D6)/$D$26)</f>
        <v>0.315468215236237</v>
      </c>
      <c r="H6" s="46" t="str">
        <f aca="false">IF($B6="","",IF(N(D6)=0,"-",IF(G6-F6&lt;Settings!$B$21,"A",IF(G6-F6&lt;Settings!$B$22,"B","C"))))</f>
        <v>A</v>
      </c>
      <c r="I6" s="83" t="n">
        <f aca="false">IF($B6="","",IFERROR(AVERAGEIFS(Purchase_Register!$AB$6:$AB$205,Purchase_Register!$F$6:$F$205,$B6),""))</f>
        <v>0.0268469721840104</v>
      </c>
      <c r="J6" s="81" t="n">
        <f aca="false">IF($B6="","",-SUMIFS(Purchase_Register!$AA$6:$AA$205,Purchase_Register!$F$6:$F$205,$B6,Purchase_Register!$AA$6:$AA$205,"&lt;0"))</f>
        <v>89206</v>
      </c>
      <c r="K6" s="81" t="n">
        <f aca="false">IF($B6="","",SUMIFS(Purchase_Register!$AA$6:$AA$205,Purchase_Register!$F$6:$F$205,$B6,Purchase_Register!$AA$6:$AA$205,"&gt;0"))</f>
        <v>602963</v>
      </c>
      <c r="L6" s="81" t="n">
        <f aca="false">IF($B6="","",SUMIFS(Purchase_Register!$AW$6:$AW$205,Purchase_Register!$F$6:$F$205,$B6,Purchase_Register!$AY$6:$AY$205,""))</f>
        <v>5241211.5</v>
      </c>
      <c r="AB6" s="101" t="n">
        <f aca="false">MATCH(LARGE($AE$6:$AE$25,A6),$AE$6:$AE$25,0)</f>
        <v>1</v>
      </c>
      <c r="AC6" s="0" t="str">
        <f aca="false">IF(Lists!$B$2="","",Lists!$B$2)</f>
        <v>Leather &amp; Upper</v>
      </c>
      <c r="AD6" s="101" t="n">
        <f aca="false">IF(AC6="",0,SUMIFS(Purchase_Register!$AD$6:$AD$205,Purchase_Register!$F$6:$F$205,AC6))</f>
        <v>17829948.15</v>
      </c>
      <c r="AE6" s="101" t="n">
        <f aca="false">IF(AC6="",-ROW(),AD6+(1000-ROW())/1000000)</f>
        <v>17829948.150994</v>
      </c>
    </row>
    <row r="7" customFormat="false" ht="15" hidden="false" customHeight="false" outlineLevel="0" collapsed="false">
      <c r="A7" s="33" t="n">
        <v>2</v>
      </c>
      <c r="B7" s="93" t="str">
        <f aca="false">INDEX($AC$6:$AC$25,$AB7)&amp;""</f>
        <v>Machinery &amp; Equipment</v>
      </c>
      <c r="C7" s="80" t="n">
        <f aca="false">IF($B7="","",COUNTIFS(Purchase_Register!$F$6:$F$205,$B7,Purchase_Register!$O$6:$O$205,"&lt;&gt;"))</f>
        <v>4</v>
      </c>
      <c r="D7" s="81" t="n">
        <f aca="false">IF($B7="","",SUMIFS(Purchase_Register!$AD$6:$AD$205,Purchase_Register!$F$6:$F$205,$B7))</f>
        <v>11792225.795</v>
      </c>
      <c r="E7" s="100" t="n">
        <f aca="false">IF($B7="","",D7/100000)</f>
        <v>117.92225795</v>
      </c>
      <c r="F7" s="82" t="n">
        <f aca="false">IF(OR($B7="",$D$26=0),"",D7/$D$26)</f>
        <v>0.208641797155836</v>
      </c>
      <c r="G7" s="82" t="n">
        <f aca="false">IF(OR($B7="",$D$26=0),"",SUM($D$6:D7)/$D$26)</f>
        <v>0.524110012392073</v>
      </c>
      <c r="H7" s="46" t="str">
        <f aca="false">IF($B7="","",IF(N(D7)=0,"-",IF(G7-F7&lt;Settings!$B$21,"A",IF(G7-F7&lt;Settings!$B$22,"B","C"))))</f>
        <v>A</v>
      </c>
      <c r="I7" s="83" t="n">
        <f aca="false">IF($B7="","",IFERROR(AVERAGEIFS(Purchase_Register!$AB$6:$AB$205,Purchase_Register!$F$6:$F$205,$B7),""))</f>
        <v>0.00140328186157372</v>
      </c>
      <c r="J7" s="81" t="n">
        <f aca="false">IF($B7="","",-SUMIFS(Purchase_Register!$AA$6:$AA$205,Purchase_Register!$F$6:$F$205,$B7,Purchase_Register!$AA$6:$AA$205,"&lt;0"))</f>
        <v>58657.8599999999</v>
      </c>
      <c r="K7" s="81" t="n">
        <f aca="false">IF($B7="","",SUMIFS(Purchase_Register!$AA$6:$AA$205,Purchase_Register!$F$6:$F$205,$B7,Purchase_Register!$AA$6:$AA$205,"&gt;0"))</f>
        <v>29950.03</v>
      </c>
      <c r="L7" s="81" t="n">
        <f aca="false">IF($B7="","",SUMIFS(Purchase_Register!$AW$6:$AW$205,Purchase_Register!$F$6:$F$205,$B7,Purchase_Register!$AY$6:$AY$205,""))</f>
        <v>0</v>
      </c>
      <c r="AB7" s="101" t="n">
        <f aca="false">MATCH(LARGE($AE$6:$AE$25,A7),$AE$6:$AE$25,0)</f>
        <v>8</v>
      </c>
      <c r="AC7" s="0" t="str">
        <f aca="false">IF(Lists!$B$3="","",Lists!$B$3)</f>
        <v>Synthetic &amp; Textile</v>
      </c>
      <c r="AD7" s="101" t="n">
        <f aca="false">IF(AC7="",0,SUMIFS(Purchase_Register!$AD$6:$AD$205,Purchase_Register!$F$6:$F$205,AC7))</f>
        <v>10105756.7</v>
      </c>
      <c r="AE7" s="101" t="n">
        <f aca="false">IF(AC7="",-ROW(),AD7+(1000-ROW())/1000000)</f>
        <v>10105756.700993</v>
      </c>
    </row>
    <row r="8" customFormat="false" ht="15" hidden="false" customHeight="false" outlineLevel="0" collapsed="false">
      <c r="A8" s="33" t="n">
        <v>3</v>
      </c>
      <c r="B8" s="93" t="str">
        <f aca="false">INDEX($AC$6:$AC$25,$AB8)&amp;""</f>
        <v>Sole &amp; Bottom</v>
      </c>
      <c r="C8" s="80" t="n">
        <f aca="false">IF($B8="","",COUNTIFS(Purchase_Register!$F$6:$F$205,$B8,Purchase_Register!$O$6:$O$205,"&lt;&gt;"))</f>
        <v>6</v>
      </c>
      <c r="D8" s="81" t="n">
        <f aca="false">IF($B8="","",SUMIFS(Purchase_Register!$AD$6:$AD$205,Purchase_Register!$F$6:$F$205,$B8))</f>
        <v>10398765.2</v>
      </c>
      <c r="E8" s="100" t="n">
        <f aca="false">IF($B8="","",D8/100000)</f>
        <v>103.987652</v>
      </c>
      <c r="F8" s="82" t="n">
        <f aca="false">IF(OR($B8="",$D$26=0),"",D8/$D$26)</f>
        <v>0.183987068874605</v>
      </c>
      <c r="G8" s="82" t="n">
        <f aca="false">IF(OR($B8="",$D$26=0),"",SUM($D$6:D8)/$D$26)</f>
        <v>0.708097081266678</v>
      </c>
      <c r="H8" s="46" t="str">
        <f aca="false">IF($B8="","",IF(N(D8)=0,"-",IF(G8-F8&lt;Settings!$B$21,"A",IF(G8-F8&lt;Settings!$B$22,"B","C"))))</f>
        <v>A</v>
      </c>
      <c r="I8" s="83" t="n">
        <f aca="false">IF($B8="","",IFERROR(AVERAGEIFS(Purchase_Register!$AB$6:$AB$205,Purchase_Register!$F$6:$F$205,$B8),""))</f>
        <v>0.0513494401241078</v>
      </c>
      <c r="J8" s="81" t="n">
        <f aca="false">IF($B8="","",-SUMIFS(Purchase_Register!$AA$6:$AA$205,Purchase_Register!$F$6:$F$205,$B8,Purchase_Register!$AA$6:$AA$205,"&lt;0"))</f>
        <v>2310</v>
      </c>
      <c r="K8" s="81" t="n">
        <f aca="false">IF($B8="","",SUMIFS(Purchase_Register!$AA$6:$AA$205,Purchase_Register!$F$6:$F$205,$B8,Purchase_Register!$AA$6:$AA$205,"&gt;0"))</f>
        <v>423962</v>
      </c>
      <c r="L8" s="81" t="n">
        <f aca="false">IF($B8="","",SUMIFS(Purchase_Register!$AW$6:$AW$205,Purchase_Register!$F$6:$F$205,$B8,Purchase_Register!$AY$6:$AY$205,""))</f>
        <v>804756.2</v>
      </c>
      <c r="AB8" s="101" t="n">
        <f aca="false">MATCH(LARGE($AE$6:$AE$25,A8),$AE$6:$AE$25,0)</f>
        <v>3</v>
      </c>
      <c r="AC8" s="0" t="str">
        <f aca="false">IF(Lists!$B$4="","",Lists!$B$4)</f>
        <v>Sole &amp; Bottom</v>
      </c>
      <c r="AD8" s="101" t="n">
        <f aca="false">IF(AC8="",0,SUMIFS(Purchase_Register!$AD$6:$AD$205,Purchase_Register!$F$6:$F$205,AC8))</f>
        <v>10398765.2</v>
      </c>
      <c r="AE8" s="101" t="n">
        <f aca="false">IF(AC8="",-ROW(),AD8+(1000-ROW())/1000000)</f>
        <v>10398765.200992</v>
      </c>
    </row>
    <row r="9" customFormat="false" ht="15" hidden="false" customHeight="false" outlineLevel="0" collapsed="false">
      <c r="A9" s="33" t="n">
        <v>4</v>
      </c>
      <c r="B9" s="93" t="str">
        <f aca="false">INDEX($AC$6:$AC$25,$AB9)&amp;""</f>
        <v>Synthetic &amp; Textile</v>
      </c>
      <c r="C9" s="80" t="n">
        <f aca="false">IF($B9="","",COUNTIFS(Purchase_Register!$F$6:$F$205,$B9,Purchase_Register!$O$6:$O$205,"&lt;&gt;"))</f>
        <v>6</v>
      </c>
      <c r="D9" s="81" t="n">
        <f aca="false">IF($B9="","",SUMIFS(Purchase_Register!$AD$6:$AD$205,Purchase_Register!$F$6:$F$205,$B9))</f>
        <v>10105756.7</v>
      </c>
      <c r="E9" s="100" t="n">
        <f aca="false">IF($B9="","",D9/100000)</f>
        <v>101.057567</v>
      </c>
      <c r="F9" s="82" t="n">
        <f aca="false">IF(OR($B9="",$D$26=0),"",D9/$D$26)</f>
        <v>0.17880282112658</v>
      </c>
      <c r="G9" s="82" t="n">
        <f aca="false">IF(OR($B9="",$D$26=0),"",SUM($D$6:D9)/$D$26)</f>
        <v>0.886899902393258</v>
      </c>
      <c r="H9" s="46" t="str">
        <f aca="false">IF($B9="","",IF(N(D9)=0,"-",IF(G9-F9&lt;Settings!$B$21,"A",IF(G9-F9&lt;Settings!$B$22,"B","C"))))</f>
        <v>A</v>
      </c>
      <c r="I9" s="83" t="n">
        <f aca="false">IF($B9="","",IFERROR(AVERAGEIFS(Purchase_Register!$AB$6:$AB$205,Purchase_Register!$F$6:$F$205,$B9),""))</f>
        <v>-0.0132784520501292</v>
      </c>
      <c r="J9" s="81" t="n">
        <f aca="false">IF($B9="","",-SUMIFS(Purchase_Register!$AA$6:$AA$205,Purchase_Register!$F$6:$F$205,$B9,Purchase_Register!$AA$6:$AA$205,"&lt;0"))</f>
        <v>180918</v>
      </c>
      <c r="K9" s="81" t="n">
        <f aca="false">IF($B9="","",SUMIFS(Purchase_Register!$AA$6:$AA$205,Purchase_Register!$F$6:$F$205,$B9,Purchase_Register!$AA$6:$AA$205,"&gt;0"))</f>
        <v>47496</v>
      </c>
      <c r="L9" s="81" t="n">
        <f aca="false">IF($B9="","",SUMIFS(Purchase_Register!$AW$6:$AW$205,Purchase_Register!$F$6:$F$205,$B9,Purchase_Register!$AY$6:$AY$205,""))</f>
        <v>4059770.75</v>
      </c>
      <c r="AB9" s="101" t="n">
        <f aca="false">MATCH(LARGE($AE$6:$AE$25,A9),$AE$6:$AE$25,0)</f>
        <v>2</v>
      </c>
      <c r="AC9" s="0" t="str">
        <f aca="false">IF(Lists!$B$5="","",Lists!$B$5)</f>
        <v>Chemicals &amp; Adhesives</v>
      </c>
      <c r="AD9" s="101" t="n">
        <f aca="false">IF(AC9="",0,SUMIFS(Purchase_Register!$AD$6:$AD$205,Purchase_Register!$F$6:$F$205,AC9))</f>
        <v>2383920</v>
      </c>
      <c r="AE9" s="101" t="n">
        <f aca="false">IF(AC9="",-ROW(),AD9+(1000-ROW())/1000000)</f>
        <v>2383920.000991</v>
      </c>
    </row>
    <row r="10" customFormat="false" ht="15" hidden="false" customHeight="false" outlineLevel="0" collapsed="false">
      <c r="A10" s="33" t="n">
        <v>5</v>
      </c>
      <c r="B10" s="93" t="str">
        <f aca="false">INDEX($AC$6:$AC$25,$AB10)&amp;""</f>
        <v>Chemicals &amp; Adhesives</v>
      </c>
      <c r="C10" s="80" t="n">
        <f aca="false">IF($B10="","",COUNTIFS(Purchase_Register!$F$6:$F$205,$B10,Purchase_Register!$O$6:$O$205,"&lt;&gt;"))</f>
        <v>4</v>
      </c>
      <c r="D10" s="81" t="n">
        <f aca="false">IF($B10="","",SUMIFS(Purchase_Register!$AD$6:$AD$205,Purchase_Register!$F$6:$F$205,$B10))</f>
        <v>2383920</v>
      </c>
      <c r="E10" s="100" t="n">
        <f aca="false">IF($B10="","",D10/100000)</f>
        <v>23.8392</v>
      </c>
      <c r="F10" s="82" t="n">
        <f aca="false">IF(OR($B10="",$D$26=0),"",D10/$D$26)</f>
        <v>0.0421790899972959</v>
      </c>
      <c r="G10" s="82" t="n">
        <f aca="false">IF(OR($B10="",$D$26=0),"",SUM($D$6:D10)/$D$26)</f>
        <v>0.929078992390554</v>
      </c>
      <c r="H10" s="46" t="str">
        <f aca="false">IF($B10="","",IF(N(D10)=0,"-",IF(G10-F10&lt;Settings!$B$21,"A",IF(G10-F10&lt;Settings!$B$22,"B","C"))))</f>
        <v>B</v>
      </c>
      <c r="I10" s="83" t="n">
        <f aca="false">IF($B10="","",IFERROR(AVERAGEIFS(Purchase_Register!$AB$6:$AB$205,Purchase_Register!$F$6:$F$205,$B10),""))</f>
        <v>0.0449425406458429</v>
      </c>
      <c r="J10" s="81" t="n">
        <f aca="false">IF($B10="","",-SUMIFS(Purchase_Register!$AA$6:$AA$205,Purchase_Register!$F$6:$F$205,$B10,Purchase_Register!$AA$6:$AA$205,"&lt;0"))</f>
        <v>8840</v>
      </c>
      <c r="K10" s="81" t="n">
        <f aca="false">IF($B10="","",SUMIFS(Purchase_Register!$AA$6:$AA$205,Purchase_Register!$F$6:$F$205,$B10,Purchase_Register!$AA$6:$AA$205,"&gt;0"))</f>
        <v>118245</v>
      </c>
      <c r="L10" s="81" t="n">
        <f aca="false">IF($B10="","",SUMIFS(Purchase_Register!$AW$6:$AW$205,Purchase_Register!$F$6:$F$205,$B10,Purchase_Register!$AY$6:$AY$205,""))</f>
        <v>0</v>
      </c>
      <c r="AB10" s="101" t="n">
        <f aca="false">MATCH(LARGE($AE$6:$AE$25,A10),$AE$6:$AE$25,0)</f>
        <v>4</v>
      </c>
      <c r="AC10" s="0" t="str">
        <f aca="false">IF(Lists!$B$6="","",Lists!$B$6)</f>
        <v>Trims &amp; Accessories</v>
      </c>
      <c r="AD10" s="101" t="n">
        <f aca="false">IF(AC10="",0,SUMIFS(Purchase_Register!$AD$6:$AD$205,Purchase_Register!$F$6:$F$205,AC10))</f>
        <v>1331038.8</v>
      </c>
      <c r="AE10" s="101" t="n">
        <f aca="false">IF(AC10="",-ROW(),AD10+(1000-ROW())/1000000)</f>
        <v>1331038.80099</v>
      </c>
    </row>
    <row r="11" customFormat="false" ht="15" hidden="false" customHeight="false" outlineLevel="0" collapsed="false">
      <c r="A11" s="33" t="n">
        <v>6</v>
      </c>
      <c r="B11" s="93" t="str">
        <f aca="false">INDEX($AC$6:$AC$25,$AB11)&amp;""</f>
        <v>Trims &amp; Accessories</v>
      </c>
      <c r="C11" s="80" t="n">
        <f aca="false">IF($B11="","",COUNTIFS(Purchase_Register!$F$6:$F$205,$B11,Purchase_Register!$O$6:$O$205,"&lt;&gt;"))</f>
        <v>5</v>
      </c>
      <c r="D11" s="81" t="n">
        <f aca="false">IF($B11="","",SUMIFS(Purchase_Register!$AD$6:$AD$205,Purchase_Register!$F$6:$F$205,$B11))</f>
        <v>1331038.8</v>
      </c>
      <c r="E11" s="100" t="n">
        <f aca="false">IF($B11="","",D11/100000)</f>
        <v>13.310388</v>
      </c>
      <c r="F11" s="82" t="n">
        <f aca="false">IF(OR($B11="",$D$26=0),"",D11/$D$26)</f>
        <v>0.0235502891603295</v>
      </c>
      <c r="G11" s="82" t="n">
        <f aca="false">IF(OR($B11="",$D$26=0),"",SUM($D$6:D11)/$D$26)</f>
        <v>0.952629281550883</v>
      </c>
      <c r="H11" s="46" t="str">
        <f aca="false">IF($B11="","",IF(N(D11)=0,"-",IF(G11-F11&lt;Settings!$B$21,"A",IF(G11-F11&lt;Settings!$B$22,"B","C"))))</f>
        <v>B</v>
      </c>
      <c r="I11" s="83" t="n">
        <f aca="false">IF($B11="","",IFERROR(AVERAGEIFS(Purchase_Register!$AB$6:$AB$205,Purchase_Register!$F$6:$F$205,$B11),""))</f>
        <v>0.0164174236848398</v>
      </c>
      <c r="J11" s="81" t="n">
        <f aca="false">IF($B11="","",-SUMIFS(Purchase_Register!$AA$6:$AA$205,Purchase_Register!$F$6:$F$205,$B11,Purchase_Register!$AA$6:$AA$205,"&lt;0"))</f>
        <v>23086</v>
      </c>
      <c r="K11" s="81" t="n">
        <f aca="false">IF($B11="","",SUMIFS(Purchase_Register!$AA$6:$AA$205,Purchase_Register!$F$6:$F$205,$B11,Purchase_Register!$AA$6:$AA$205,"&gt;0"))</f>
        <v>25622</v>
      </c>
      <c r="L11" s="81" t="n">
        <f aca="false">IF($B11="","",SUMIFS(Purchase_Register!$AW$6:$AW$205,Purchase_Register!$F$6:$F$205,$B11,Purchase_Register!$AY$6:$AY$205,""))</f>
        <v>0</v>
      </c>
      <c r="AB11" s="101" t="n">
        <f aca="false">MATCH(LARGE($AE$6:$AE$25,A11),$AE$6:$AE$25,0)</f>
        <v>5</v>
      </c>
      <c r="AC11" s="0" t="str">
        <f aca="false">IF(Lists!$B$7="","",Lists!$B$7)</f>
        <v>Packaging</v>
      </c>
      <c r="AD11" s="101" t="n">
        <f aca="false">IF(AC11="",0,SUMIFS(Purchase_Register!$AD$6:$AD$205,Purchase_Register!$F$6:$F$205,AC11))</f>
        <v>934506.3</v>
      </c>
      <c r="AE11" s="101" t="n">
        <f aca="false">IF(AC11="",-ROW(),AD11+(1000-ROW())/1000000)</f>
        <v>934506.300989</v>
      </c>
    </row>
    <row r="12" customFormat="false" ht="15" hidden="false" customHeight="false" outlineLevel="0" collapsed="false">
      <c r="A12" s="33" t="n">
        <v>7</v>
      </c>
      <c r="B12" s="93" t="str">
        <f aca="false">INDEX($AC$6:$AC$25,$AB12)&amp;""</f>
        <v>Packaging</v>
      </c>
      <c r="C12" s="80" t="n">
        <f aca="false">IF($B12="","",COUNTIFS(Purchase_Register!$F$6:$F$205,$B12,Purchase_Register!$O$6:$O$205,"&lt;&gt;"))</f>
        <v>2</v>
      </c>
      <c r="D12" s="81" t="n">
        <f aca="false">IF($B12="","",SUMIFS(Purchase_Register!$AD$6:$AD$205,Purchase_Register!$F$6:$F$205,$B12))</f>
        <v>934506.3</v>
      </c>
      <c r="E12" s="100" t="n">
        <f aca="false">IF($B12="","",D12/100000)</f>
        <v>9.345063</v>
      </c>
      <c r="F12" s="82" t="n">
        <f aca="false">IF(OR($B12="",$D$26=0),"",D12/$D$26)</f>
        <v>0.0165343741949143</v>
      </c>
      <c r="G12" s="82" t="n">
        <f aca="false">IF(OR($B12="",$D$26=0),"",SUM($D$6:D12)/$D$26)</f>
        <v>0.969163655745797</v>
      </c>
      <c r="H12" s="46" t="str">
        <f aca="false">IF($B12="","",IF(N(D12)=0,"-",IF(G12-F12&lt;Settings!$B$21,"A",IF(G12-F12&lt;Settings!$B$22,"B","C"))))</f>
        <v>C</v>
      </c>
      <c r="I12" s="83" t="n">
        <f aca="false">IF($B12="","",IFERROR(AVERAGEIFS(Purchase_Register!$AB$6:$AB$205,Purchase_Register!$F$6:$F$205,$B12),""))</f>
        <v>-0.00958281230061837</v>
      </c>
      <c r="J12" s="81" t="n">
        <f aca="false">IF($B12="","",-SUMIFS(Purchase_Register!$AA$6:$AA$205,Purchase_Register!$F$6:$F$205,$B12,Purchase_Register!$AA$6:$AA$205,"&lt;0"))</f>
        <v>7365</v>
      </c>
      <c r="K12" s="81" t="n">
        <f aca="false">IF($B12="","",SUMIFS(Purchase_Register!$AA$6:$AA$205,Purchase_Register!$F$6:$F$205,$B12,Purchase_Register!$AA$6:$AA$205,"&gt;0"))</f>
        <v>9688.00000000012</v>
      </c>
      <c r="L12" s="81" t="n">
        <f aca="false">IF($B12="","",SUMIFS(Purchase_Register!$AW$6:$AW$205,Purchase_Register!$F$6:$F$205,$B12,Purchase_Register!$AY$6:$AY$205,""))</f>
        <v>0</v>
      </c>
      <c r="AB12" s="101" t="n">
        <f aca="false">MATCH(LARGE($AE$6:$AE$25,A12),$AE$6:$AE$25,0)</f>
        <v>6</v>
      </c>
      <c r="AC12" s="0" t="str">
        <f aca="false">IF(Lists!$B$8="","",Lists!$B$8)</f>
        <v>Spare Parts</v>
      </c>
      <c r="AD12" s="101" t="n">
        <f aca="false">IF(AC12="",0,SUMIFS(Purchase_Register!$AD$6:$AD$205,Purchase_Register!$F$6:$F$205,AC12))</f>
        <v>362894.2</v>
      </c>
      <c r="AE12" s="101" t="n">
        <f aca="false">IF(AC12="",-ROW(),AD12+(1000-ROW())/1000000)</f>
        <v>362894.200988</v>
      </c>
    </row>
    <row r="13" customFormat="false" ht="15" hidden="false" customHeight="false" outlineLevel="0" collapsed="false">
      <c r="A13" s="33" t="n">
        <v>8</v>
      </c>
      <c r="B13" s="93" t="str">
        <f aca="false">INDEX($AC$6:$AC$25,$AB13)&amp;""</f>
        <v>IT Equipment</v>
      </c>
      <c r="C13" s="80" t="n">
        <f aca="false">IF($B13="","",COUNTIFS(Purchase_Register!$F$6:$F$205,$B13,Purchase_Register!$O$6:$O$205,"&lt;&gt;"))</f>
        <v>1</v>
      </c>
      <c r="D13" s="81" t="n">
        <f aca="false">IF($B13="","",SUMIFS(Purchase_Register!$AD$6:$AD$205,Purchase_Register!$F$6:$F$205,$B13))</f>
        <v>761820.15</v>
      </c>
      <c r="E13" s="100" t="n">
        <f aca="false">IF($B13="","",D13/100000)</f>
        <v>7.6182015</v>
      </c>
      <c r="F13" s="82" t="n">
        <f aca="false">IF(OR($B13="",$D$26=0),"",D13/$D$26)</f>
        <v>0.0134790096431942</v>
      </c>
      <c r="G13" s="82" t="n">
        <f aca="false">IF(OR($B13="",$D$26=0),"",SUM($D$6:D13)/$D$26)</f>
        <v>0.982642665388992</v>
      </c>
      <c r="H13" s="46" t="str">
        <f aca="false">IF($B13="","",IF(N(D13)=0,"-",IF(G13-F13&lt;Settings!$B$21,"A",IF(G13-F13&lt;Settings!$B$22,"B","C"))))</f>
        <v>C</v>
      </c>
      <c r="I13" s="83" t="n">
        <f aca="false">IF($B13="","",IFERROR(AVERAGEIFS(Purchase_Register!$AB$6:$AB$205,Purchase_Register!$F$6:$F$205,$B13),""))</f>
        <v>0.0832436630940707</v>
      </c>
      <c r="J13" s="81" t="n">
        <f aca="false">IF($B13="","",-SUMIFS(Purchase_Register!$AA$6:$AA$205,Purchase_Register!$F$6:$F$205,$B13,Purchase_Register!$AA$6:$AA$205,"&lt;0"))</f>
        <v>-0</v>
      </c>
      <c r="K13" s="81" t="n">
        <f aca="false">IF($B13="","",SUMIFS(Purchase_Register!$AA$6:$AA$205,Purchase_Register!$F$6:$F$205,$B13,Purchase_Register!$AA$6:$AA$205,"&gt;0"))</f>
        <v>55755.5600000001</v>
      </c>
      <c r="L13" s="81" t="n">
        <f aca="false">IF($B13="","",SUMIFS(Purchase_Register!$AW$6:$AW$205,Purchase_Register!$F$6:$F$205,$B13,Purchase_Register!$AY$6:$AY$205,""))</f>
        <v>0</v>
      </c>
      <c r="AB13" s="101" t="n">
        <f aca="false">MATCH(LARGE($AE$6:$AE$25,A13),$AE$6:$AE$25,0)</f>
        <v>9</v>
      </c>
      <c r="AC13" s="0" t="str">
        <f aca="false">IF(Lists!$B$9="","",Lists!$B$9)</f>
        <v>Machinery &amp; Equipment</v>
      </c>
      <c r="AD13" s="101" t="n">
        <f aca="false">IF(AC13="",0,SUMIFS(Purchase_Register!$AD$6:$AD$205,Purchase_Register!$F$6:$F$205,AC13))</f>
        <v>11792225.795</v>
      </c>
      <c r="AE13" s="101" t="n">
        <f aca="false">IF(AC13="",-ROW(),AD13+(1000-ROW())/1000000)</f>
        <v>11792225.795987</v>
      </c>
    </row>
    <row r="14" customFormat="false" ht="15" hidden="false" customHeight="false" outlineLevel="0" collapsed="false">
      <c r="A14" s="33" t="n">
        <v>9</v>
      </c>
      <c r="B14" s="93" t="str">
        <f aca="false">INDEX($AC$6:$AC$25,$AB14)&amp;""</f>
        <v>Safety &amp; Facility</v>
      </c>
      <c r="C14" s="80" t="n">
        <f aca="false">IF($B14="","",COUNTIFS(Purchase_Register!$F$6:$F$205,$B14,Purchase_Register!$O$6:$O$205,"&lt;&gt;"))</f>
        <v>3</v>
      </c>
      <c r="D14" s="81" t="n">
        <f aca="false">IF($B14="","",SUMIFS(Purchase_Register!$AD$6:$AD$205,Purchase_Register!$F$6:$F$205,$B14))</f>
        <v>618125</v>
      </c>
      <c r="E14" s="100" t="n">
        <f aca="false">IF($B14="","",D14/100000)</f>
        <v>6.18125</v>
      </c>
      <c r="F14" s="82" t="n">
        <f aca="false">IF(OR($B14="",$D$26=0),"",D14/$D$26)</f>
        <v>0.0109365876390896</v>
      </c>
      <c r="G14" s="82" t="n">
        <f aca="false">IF(OR($B14="",$D$26=0),"",SUM($D$6:D14)/$D$26)</f>
        <v>0.993579253028081</v>
      </c>
      <c r="H14" s="46" t="str">
        <f aca="false">IF($B14="","",IF(N(D14)=0,"-",IF(G14-F14&lt;Settings!$B$21,"A",IF(G14-F14&lt;Settings!$B$22,"B","C"))))</f>
        <v>C</v>
      </c>
      <c r="I14" s="83" t="n">
        <f aca="false">IF($B14="","",IFERROR(AVERAGEIFS(Purchase_Register!$AB$6:$AB$205,Purchase_Register!$F$6:$F$205,$B14),""))</f>
        <v>0.0287112652591333</v>
      </c>
      <c r="J14" s="81" t="n">
        <f aca="false">IF($B14="","",-SUMIFS(Purchase_Register!$AA$6:$AA$205,Purchase_Register!$F$6:$F$205,$B14,Purchase_Register!$AA$6:$AA$205,"&lt;0"))</f>
        <v>3086</v>
      </c>
      <c r="K14" s="81" t="n">
        <f aca="false">IF($B14="","",SUMIFS(Purchase_Register!$AA$6:$AA$205,Purchase_Register!$F$6:$F$205,$B14,Purchase_Register!$AA$6:$AA$205,"&gt;0"))</f>
        <v>19104</v>
      </c>
      <c r="L14" s="81" t="n">
        <f aca="false">IF($B14="","",SUMIFS(Purchase_Register!$AW$6:$AW$205,Purchase_Register!$F$6:$F$205,$B14,Purchase_Register!$AY$6:$AY$205,""))</f>
        <v>0</v>
      </c>
      <c r="AB14" s="101" t="n">
        <f aca="false">MATCH(LARGE($AE$6:$AE$25,A14),$AE$6:$AE$25,0)</f>
        <v>10</v>
      </c>
      <c r="AC14" s="0" t="str">
        <f aca="false">IF(Lists!$B$10="","",Lists!$B$10)</f>
        <v>IT Equipment</v>
      </c>
      <c r="AD14" s="101" t="n">
        <f aca="false">IF(AC14="",0,SUMIFS(Purchase_Register!$AD$6:$AD$205,Purchase_Register!$F$6:$F$205,AC14))</f>
        <v>761820.15</v>
      </c>
      <c r="AE14" s="101" t="n">
        <f aca="false">IF(AC14="",-ROW(),AD14+(1000-ROW())/1000000)</f>
        <v>761820.150986</v>
      </c>
    </row>
    <row r="15" customFormat="false" ht="15" hidden="false" customHeight="false" outlineLevel="0" collapsed="false">
      <c r="A15" s="33" t="n">
        <v>10</v>
      </c>
      <c r="B15" s="93" t="str">
        <f aca="false">INDEX($AC$6:$AC$25,$AB15)&amp;""</f>
        <v>Spare Parts</v>
      </c>
      <c r="C15" s="80" t="n">
        <f aca="false">IF($B15="","",COUNTIFS(Purchase_Register!$F$6:$F$205,$B15,Purchase_Register!$O$6:$O$205,"&lt;&gt;"))</f>
        <v>2</v>
      </c>
      <c r="D15" s="81" t="n">
        <f aca="false">IF($B15="","",SUMIFS(Purchase_Register!$AD$6:$AD$205,Purchase_Register!$F$6:$F$205,$B15))</f>
        <v>362894.2</v>
      </c>
      <c r="E15" s="100" t="n">
        <f aca="false">IF($B15="","",D15/100000)</f>
        <v>3.628942</v>
      </c>
      <c r="F15" s="82" t="n">
        <f aca="false">IF(OR($B15="",$D$26=0),"",D15/$D$26)</f>
        <v>0.00642074697191882</v>
      </c>
      <c r="G15" s="82" t="n">
        <f aca="false">IF(OR($B15="",$D$26=0),"",SUM($D$6:D15)/$D$26)</f>
        <v>1</v>
      </c>
      <c r="H15" s="46" t="str">
        <f aca="false">IF($B15="","",IF(N(D15)=0,"-",IF(G15-F15&lt;Settings!$B$21,"A",IF(G15-F15&lt;Settings!$B$22,"B","C"))))</f>
        <v>C</v>
      </c>
      <c r="I15" s="83" t="n">
        <f aca="false">IF($B15="","",IFERROR(AVERAGEIFS(Purchase_Register!$AB$6:$AB$205,Purchase_Register!$F$6:$F$205,$B15),""))</f>
        <v>0.027903367213702</v>
      </c>
      <c r="J15" s="81" t="n">
        <f aca="false">IF($B15="","",-SUMIFS(Purchase_Register!$AA$6:$AA$205,Purchase_Register!$F$6:$F$205,$B15,Purchase_Register!$AA$6:$AA$205,"&lt;0"))</f>
        <v>-0</v>
      </c>
      <c r="K15" s="81" t="n">
        <f aca="false">IF($B15="","",SUMIFS(Purchase_Register!$AA$6:$AA$205,Purchase_Register!$F$6:$F$205,$B15,Purchase_Register!$AA$6:$AA$205,"&gt;0"))</f>
        <v>9039.62000000002</v>
      </c>
      <c r="L15" s="81" t="n">
        <f aca="false">IF($B15="","",SUMIFS(Purchase_Register!$AW$6:$AW$205,Purchase_Register!$F$6:$F$205,$B15,Purchase_Register!$AY$6:$AY$205,""))</f>
        <v>0</v>
      </c>
      <c r="AB15" s="101" t="n">
        <f aca="false">MATCH(LARGE($AE$6:$AE$25,A15),$AE$6:$AE$25,0)</f>
        <v>7</v>
      </c>
      <c r="AC15" s="0" t="str">
        <f aca="false">IF(Lists!$B$11="","",Lists!$B$11)</f>
        <v>Safety &amp; Facility</v>
      </c>
      <c r="AD15" s="101" t="n">
        <f aca="false">IF(AC15="",0,SUMIFS(Purchase_Register!$AD$6:$AD$205,Purchase_Register!$F$6:$F$205,AC15))</f>
        <v>618125</v>
      </c>
      <c r="AE15" s="101" t="n">
        <f aca="false">IF(AC15="",-ROW(),AD15+(1000-ROW())/1000000)</f>
        <v>618125.000985</v>
      </c>
    </row>
    <row r="16" customFormat="false" ht="15" hidden="false" customHeight="false" outlineLevel="0" collapsed="false">
      <c r="A16" s="33" t="n">
        <v>11</v>
      </c>
      <c r="B16" s="93" t="str">
        <f aca="false">INDEX($AC$6:$AC$25,$AB16)&amp;""</f>
        <v/>
      </c>
      <c r="C16" s="80" t="str">
        <f aca="false">IF($B16="","",COUNTIFS(Purchase_Register!$F$6:$F$205,$B16,Purchase_Register!$O$6:$O$205,"&lt;&gt;"))</f>
        <v/>
      </c>
      <c r="D16" s="81" t="str">
        <f aca="false">IF($B16="","",SUMIFS(Purchase_Register!$AD$6:$AD$205,Purchase_Register!$F$6:$F$205,$B16))</f>
        <v/>
      </c>
      <c r="E16" s="100" t="str">
        <f aca="false">IF($B16="","",D16/100000)</f>
        <v/>
      </c>
      <c r="F16" s="82" t="str">
        <f aca="false">IF(OR($B16="",$D$26=0),"",D16/$D$26)</f>
        <v/>
      </c>
      <c r="G16" s="82" t="str">
        <f aca="false">IF(OR($B16="",$D$26=0),"",SUM($D$6:D16)/$D$26)</f>
        <v/>
      </c>
      <c r="H16" s="46" t="str">
        <f aca="false">IF($B16="","",IF(N(D16)=0,"-",IF(G16-F16&lt;Settings!$B$21,"A",IF(G16-F16&lt;Settings!$B$22,"B","C"))))</f>
        <v/>
      </c>
      <c r="I16" s="83" t="str">
        <f aca="false">IF($B16="","",IFERROR(AVERAGEIFS(Purchase_Register!$AB$6:$AB$205,Purchase_Register!$F$6:$F$205,$B16),""))</f>
        <v/>
      </c>
      <c r="J16" s="81" t="str">
        <f aca="false">IF($B16="","",-SUMIFS(Purchase_Register!$AA$6:$AA$205,Purchase_Register!$F$6:$F$205,$B16,Purchase_Register!$AA$6:$AA$205,"&lt;0"))</f>
        <v/>
      </c>
      <c r="K16" s="81" t="str">
        <f aca="false">IF($B16="","",SUMIFS(Purchase_Register!$AA$6:$AA$205,Purchase_Register!$F$6:$F$205,$B16,Purchase_Register!$AA$6:$AA$205,"&gt;0"))</f>
        <v/>
      </c>
      <c r="L16" s="81" t="str">
        <f aca="false">IF($B16="","",SUMIFS(Purchase_Register!$AW$6:$AW$205,Purchase_Register!$F$6:$F$205,$B16,Purchase_Register!$AY$6:$AY$205,""))</f>
        <v/>
      </c>
      <c r="AB16" s="101" t="n">
        <f aca="false">MATCH(LARGE($AE$6:$AE$25,A16),$AE$6:$AE$25,0)</f>
        <v>11</v>
      </c>
      <c r="AC16" s="0" t="str">
        <f aca="false">IF(Lists!$B$12="","",Lists!$B$12)</f>
        <v/>
      </c>
      <c r="AD16" s="101" t="n">
        <f aca="false">IF(AC16="",0,SUMIFS(Purchase_Register!$AD$6:$AD$205,Purchase_Register!$F$6:$F$205,AC16))</f>
        <v>0</v>
      </c>
      <c r="AE16" s="101" t="n">
        <f aca="false">IF(AC16="",-ROW(),AD16+(1000-ROW())/1000000)</f>
        <v>-16</v>
      </c>
    </row>
    <row r="17" customFormat="false" ht="15" hidden="false" customHeight="false" outlineLevel="0" collapsed="false">
      <c r="A17" s="33" t="n">
        <v>12</v>
      </c>
      <c r="B17" s="93" t="str">
        <f aca="false">INDEX($AC$6:$AC$25,$AB17)&amp;""</f>
        <v/>
      </c>
      <c r="C17" s="80" t="str">
        <f aca="false">IF($B17="","",COUNTIFS(Purchase_Register!$F$6:$F$205,$B17,Purchase_Register!$O$6:$O$205,"&lt;&gt;"))</f>
        <v/>
      </c>
      <c r="D17" s="81" t="str">
        <f aca="false">IF($B17="","",SUMIFS(Purchase_Register!$AD$6:$AD$205,Purchase_Register!$F$6:$F$205,$B17))</f>
        <v/>
      </c>
      <c r="E17" s="100" t="str">
        <f aca="false">IF($B17="","",D17/100000)</f>
        <v/>
      </c>
      <c r="F17" s="82" t="str">
        <f aca="false">IF(OR($B17="",$D$26=0),"",D17/$D$26)</f>
        <v/>
      </c>
      <c r="G17" s="82" t="str">
        <f aca="false">IF(OR($B17="",$D$26=0),"",SUM($D$6:D17)/$D$26)</f>
        <v/>
      </c>
      <c r="H17" s="46" t="str">
        <f aca="false">IF($B17="","",IF(N(D17)=0,"-",IF(G17-F17&lt;Settings!$B$21,"A",IF(G17-F17&lt;Settings!$B$22,"B","C"))))</f>
        <v/>
      </c>
      <c r="I17" s="83" t="str">
        <f aca="false">IF($B17="","",IFERROR(AVERAGEIFS(Purchase_Register!$AB$6:$AB$205,Purchase_Register!$F$6:$F$205,$B17),""))</f>
        <v/>
      </c>
      <c r="J17" s="81" t="str">
        <f aca="false">IF($B17="","",-SUMIFS(Purchase_Register!$AA$6:$AA$205,Purchase_Register!$F$6:$F$205,$B17,Purchase_Register!$AA$6:$AA$205,"&lt;0"))</f>
        <v/>
      </c>
      <c r="K17" s="81" t="str">
        <f aca="false">IF($B17="","",SUMIFS(Purchase_Register!$AA$6:$AA$205,Purchase_Register!$F$6:$F$205,$B17,Purchase_Register!$AA$6:$AA$205,"&gt;0"))</f>
        <v/>
      </c>
      <c r="L17" s="81" t="str">
        <f aca="false">IF($B17="","",SUMIFS(Purchase_Register!$AW$6:$AW$205,Purchase_Register!$F$6:$F$205,$B17,Purchase_Register!$AY$6:$AY$205,""))</f>
        <v/>
      </c>
      <c r="AB17" s="101" t="n">
        <f aca="false">MATCH(LARGE($AE$6:$AE$25,A17),$AE$6:$AE$25,0)</f>
        <v>12</v>
      </c>
      <c r="AC17" s="0" t="str">
        <f aca="false">IF(Lists!$B$13="","",Lists!$B$13)</f>
        <v/>
      </c>
      <c r="AD17" s="101" t="n">
        <f aca="false">IF(AC17="",0,SUMIFS(Purchase_Register!$AD$6:$AD$205,Purchase_Register!$F$6:$F$205,AC17))</f>
        <v>0</v>
      </c>
      <c r="AE17" s="101" t="n">
        <f aca="false">IF(AC17="",-ROW(),AD17+(1000-ROW())/1000000)</f>
        <v>-17</v>
      </c>
    </row>
    <row r="18" customFormat="false" ht="15" hidden="false" customHeight="false" outlineLevel="0" collapsed="false">
      <c r="A18" s="33" t="n">
        <v>13</v>
      </c>
      <c r="B18" s="93" t="str">
        <f aca="false">INDEX($AC$6:$AC$25,$AB18)&amp;""</f>
        <v/>
      </c>
      <c r="C18" s="80" t="str">
        <f aca="false">IF($B18="","",COUNTIFS(Purchase_Register!$F$6:$F$205,$B18,Purchase_Register!$O$6:$O$205,"&lt;&gt;"))</f>
        <v/>
      </c>
      <c r="D18" s="81" t="str">
        <f aca="false">IF($B18="","",SUMIFS(Purchase_Register!$AD$6:$AD$205,Purchase_Register!$F$6:$F$205,$B18))</f>
        <v/>
      </c>
      <c r="E18" s="100" t="str">
        <f aca="false">IF($B18="","",D18/100000)</f>
        <v/>
      </c>
      <c r="F18" s="82" t="str">
        <f aca="false">IF(OR($B18="",$D$26=0),"",D18/$D$26)</f>
        <v/>
      </c>
      <c r="G18" s="82" t="str">
        <f aca="false">IF(OR($B18="",$D$26=0),"",SUM($D$6:D18)/$D$26)</f>
        <v/>
      </c>
      <c r="H18" s="46" t="str">
        <f aca="false">IF($B18="","",IF(N(D18)=0,"-",IF(G18-F18&lt;Settings!$B$21,"A",IF(G18-F18&lt;Settings!$B$22,"B","C"))))</f>
        <v/>
      </c>
      <c r="I18" s="83" t="str">
        <f aca="false">IF($B18="","",IFERROR(AVERAGEIFS(Purchase_Register!$AB$6:$AB$205,Purchase_Register!$F$6:$F$205,$B18),""))</f>
        <v/>
      </c>
      <c r="J18" s="81" t="str">
        <f aca="false">IF($B18="","",-SUMIFS(Purchase_Register!$AA$6:$AA$205,Purchase_Register!$F$6:$F$205,$B18,Purchase_Register!$AA$6:$AA$205,"&lt;0"))</f>
        <v/>
      </c>
      <c r="K18" s="81" t="str">
        <f aca="false">IF($B18="","",SUMIFS(Purchase_Register!$AA$6:$AA$205,Purchase_Register!$F$6:$F$205,$B18,Purchase_Register!$AA$6:$AA$205,"&gt;0"))</f>
        <v/>
      </c>
      <c r="L18" s="81" t="str">
        <f aca="false">IF($B18="","",SUMIFS(Purchase_Register!$AW$6:$AW$205,Purchase_Register!$F$6:$F$205,$B18,Purchase_Register!$AY$6:$AY$205,""))</f>
        <v/>
      </c>
      <c r="AB18" s="101" t="n">
        <f aca="false">MATCH(LARGE($AE$6:$AE$25,A18),$AE$6:$AE$25,0)</f>
        <v>13</v>
      </c>
      <c r="AC18" s="0" t="str">
        <f aca="false">IF(Lists!$B$14="","",Lists!$B$14)</f>
        <v/>
      </c>
      <c r="AD18" s="101" t="n">
        <f aca="false">IF(AC18="",0,SUMIFS(Purchase_Register!$AD$6:$AD$205,Purchase_Register!$F$6:$F$205,AC18))</f>
        <v>0</v>
      </c>
      <c r="AE18" s="101" t="n">
        <f aca="false">IF(AC18="",-ROW(),AD18+(1000-ROW())/1000000)</f>
        <v>-18</v>
      </c>
    </row>
    <row r="19" customFormat="false" ht="15" hidden="false" customHeight="false" outlineLevel="0" collapsed="false">
      <c r="A19" s="33" t="n">
        <v>14</v>
      </c>
      <c r="B19" s="93" t="str">
        <f aca="false">INDEX($AC$6:$AC$25,$AB19)&amp;""</f>
        <v/>
      </c>
      <c r="C19" s="80" t="str">
        <f aca="false">IF($B19="","",COUNTIFS(Purchase_Register!$F$6:$F$205,$B19,Purchase_Register!$O$6:$O$205,"&lt;&gt;"))</f>
        <v/>
      </c>
      <c r="D19" s="81" t="str">
        <f aca="false">IF($B19="","",SUMIFS(Purchase_Register!$AD$6:$AD$205,Purchase_Register!$F$6:$F$205,$B19))</f>
        <v/>
      </c>
      <c r="E19" s="100" t="str">
        <f aca="false">IF($B19="","",D19/100000)</f>
        <v/>
      </c>
      <c r="F19" s="82" t="str">
        <f aca="false">IF(OR($B19="",$D$26=0),"",D19/$D$26)</f>
        <v/>
      </c>
      <c r="G19" s="82" t="str">
        <f aca="false">IF(OR($B19="",$D$26=0),"",SUM($D$6:D19)/$D$26)</f>
        <v/>
      </c>
      <c r="H19" s="46" t="str">
        <f aca="false">IF($B19="","",IF(N(D19)=0,"-",IF(G19-F19&lt;Settings!$B$21,"A",IF(G19-F19&lt;Settings!$B$22,"B","C"))))</f>
        <v/>
      </c>
      <c r="I19" s="83" t="str">
        <f aca="false">IF($B19="","",IFERROR(AVERAGEIFS(Purchase_Register!$AB$6:$AB$205,Purchase_Register!$F$6:$F$205,$B19),""))</f>
        <v/>
      </c>
      <c r="J19" s="81" t="str">
        <f aca="false">IF($B19="","",-SUMIFS(Purchase_Register!$AA$6:$AA$205,Purchase_Register!$F$6:$F$205,$B19,Purchase_Register!$AA$6:$AA$205,"&lt;0"))</f>
        <v/>
      </c>
      <c r="K19" s="81" t="str">
        <f aca="false">IF($B19="","",SUMIFS(Purchase_Register!$AA$6:$AA$205,Purchase_Register!$F$6:$F$205,$B19,Purchase_Register!$AA$6:$AA$205,"&gt;0"))</f>
        <v/>
      </c>
      <c r="L19" s="81" t="str">
        <f aca="false">IF($B19="","",SUMIFS(Purchase_Register!$AW$6:$AW$205,Purchase_Register!$F$6:$F$205,$B19,Purchase_Register!$AY$6:$AY$205,""))</f>
        <v/>
      </c>
      <c r="AB19" s="101" t="n">
        <f aca="false">MATCH(LARGE($AE$6:$AE$25,A19),$AE$6:$AE$25,0)</f>
        <v>14</v>
      </c>
      <c r="AC19" s="0" t="str">
        <f aca="false">IF(Lists!$B$15="","",Lists!$B$15)</f>
        <v/>
      </c>
      <c r="AD19" s="101" t="n">
        <f aca="false">IF(AC19="",0,SUMIFS(Purchase_Register!$AD$6:$AD$205,Purchase_Register!$F$6:$F$205,AC19))</f>
        <v>0</v>
      </c>
      <c r="AE19" s="101" t="n">
        <f aca="false">IF(AC19="",-ROW(),AD19+(1000-ROW())/1000000)</f>
        <v>-19</v>
      </c>
    </row>
    <row r="20" customFormat="false" ht="15" hidden="false" customHeight="false" outlineLevel="0" collapsed="false">
      <c r="A20" s="33" t="n">
        <v>15</v>
      </c>
      <c r="B20" s="93" t="str">
        <f aca="false">INDEX($AC$6:$AC$25,$AB20)&amp;""</f>
        <v/>
      </c>
      <c r="C20" s="80" t="str">
        <f aca="false">IF($B20="","",COUNTIFS(Purchase_Register!$F$6:$F$205,$B20,Purchase_Register!$O$6:$O$205,"&lt;&gt;"))</f>
        <v/>
      </c>
      <c r="D20" s="81" t="str">
        <f aca="false">IF($B20="","",SUMIFS(Purchase_Register!$AD$6:$AD$205,Purchase_Register!$F$6:$F$205,$B20))</f>
        <v/>
      </c>
      <c r="E20" s="100" t="str">
        <f aca="false">IF($B20="","",D20/100000)</f>
        <v/>
      </c>
      <c r="F20" s="82" t="str">
        <f aca="false">IF(OR($B20="",$D$26=0),"",D20/$D$26)</f>
        <v/>
      </c>
      <c r="G20" s="82" t="str">
        <f aca="false">IF(OR($B20="",$D$26=0),"",SUM($D$6:D20)/$D$26)</f>
        <v/>
      </c>
      <c r="H20" s="46" t="str">
        <f aca="false">IF($B20="","",IF(N(D20)=0,"-",IF(G20-F20&lt;Settings!$B$21,"A",IF(G20-F20&lt;Settings!$B$22,"B","C"))))</f>
        <v/>
      </c>
      <c r="I20" s="83" t="str">
        <f aca="false">IF($B20="","",IFERROR(AVERAGEIFS(Purchase_Register!$AB$6:$AB$205,Purchase_Register!$F$6:$F$205,$B20),""))</f>
        <v/>
      </c>
      <c r="J20" s="81" t="str">
        <f aca="false">IF($B20="","",-SUMIFS(Purchase_Register!$AA$6:$AA$205,Purchase_Register!$F$6:$F$205,$B20,Purchase_Register!$AA$6:$AA$205,"&lt;0"))</f>
        <v/>
      </c>
      <c r="K20" s="81" t="str">
        <f aca="false">IF($B20="","",SUMIFS(Purchase_Register!$AA$6:$AA$205,Purchase_Register!$F$6:$F$205,$B20,Purchase_Register!$AA$6:$AA$205,"&gt;0"))</f>
        <v/>
      </c>
      <c r="L20" s="81" t="str">
        <f aca="false">IF($B20="","",SUMIFS(Purchase_Register!$AW$6:$AW$205,Purchase_Register!$F$6:$F$205,$B20,Purchase_Register!$AY$6:$AY$205,""))</f>
        <v/>
      </c>
      <c r="AB20" s="101" t="n">
        <f aca="false">MATCH(LARGE($AE$6:$AE$25,A20),$AE$6:$AE$25,0)</f>
        <v>15</v>
      </c>
      <c r="AC20" s="0" t="str">
        <f aca="false">IF(Lists!$B$16="","",Lists!$B$16)</f>
        <v/>
      </c>
      <c r="AD20" s="101" t="n">
        <f aca="false">IF(AC20="",0,SUMIFS(Purchase_Register!$AD$6:$AD$205,Purchase_Register!$F$6:$F$205,AC20))</f>
        <v>0</v>
      </c>
      <c r="AE20" s="101" t="n">
        <f aca="false">IF(AC20="",-ROW(),AD20+(1000-ROW())/1000000)</f>
        <v>-20</v>
      </c>
    </row>
    <row r="21" customFormat="false" ht="15" hidden="false" customHeight="false" outlineLevel="0" collapsed="false">
      <c r="A21" s="33" t="n">
        <v>16</v>
      </c>
      <c r="B21" s="93" t="str">
        <f aca="false">INDEX($AC$6:$AC$25,$AB21)&amp;""</f>
        <v/>
      </c>
      <c r="C21" s="80" t="str">
        <f aca="false">IF($B21="","",COUNTIFS(Purchase_Register!$F$6:$F$205,$B21,Purchase_Register!$O$6:$O$205,"&lt;&gt;"))</f>
        <v/>
      </c>
      <c r="D21" s="81" t="str">
        <f aca="false">IF($B21="","",SUMIFS(Purchase_Register!$AD$6:$AD$205,Purchase_Register!$F$6:$F$205,$B21))</f>
        <v/>
      </c>
      <c r="E21" s="100" t="str">
        <f aca="false">IF($B21="","",D21/100000)</f>
        <v/>
      </c>
      <c r="F21" s="82" t="str">
        <f aca="false">IF(OR($B21="",$D$26=0),"",D21/$D$26)</f>
        <v/>
      </c>
      <c r="G21" s="82" t="str">
        <f aca="false">IF(OR($B21="",$D$26=0),"",SUM($D$6:D21)/$D$26)</f>
        <v/>
      </c>
      <c r="H21" s="46" t="str">
        <f aca="false">IF($B21="","",IF(N(D21)=0,"-",IF(G21-F21&lt;Settings!$B$21,"A",IF(G21-F21&lt;Settings!$B$22,"B","C"))))</f>
        <v/>
      </c>
      <c r="I21" s="83" t="str">
        <f aca="false">IF($B21="","",IFERROR(AVERAGEIFS(Purchase_Register!$AB$6:$AB$205,Purchase_Register!$F$6:$F$205,$B21),""))</f>
        <v/>
      </c>
      <c r="J21" s="81" t="str">
        <f aca="false">IF($B21="","",-SUMIFS(Purchase_Register!$AA$6:$AA$205,Purchase_Register!$F$6:$F$205,$B21,Purchase_Register!$AA$6:$AA$205,"&lt;0"))</f>
        <v/>
      </c>
      <c r="K21" s="81" t="str">
        <f aca="false">IF($B21="","",SUMIFS(Purchase_Register!$AA$6:$AA$205,Purchase_Register!$F$6:$F$205,$B21,Purchase_Register!$AA$6:$AA$205,"&gt;0"))</f>
        <v/>
      </c>
      <c r="L21" s="81" t="str">
        <f aca="false">IF($B21="","",SUMIFS(Purchase_Register!$AW$6:$AW$205,Purchase_Register!$F$6:$F$205,$B21,Purchase_Register!$AY$6:$AY$205,""))</f>
        <v/>
      </c>
      <c r="AB21" s="101" t="n">
        <f aca="false">MATCH(LARGE($AE$6:$AE$25,A21),$AE$6:$AE$25,0)</f>
        <v>16</v>
      </c>
      <c r="AC21" s="0" t="str">
        <f aca="false">IF(Lists!$B$17="","",Lists!$B$17)</f>
        <v/>
      </c>
      <c r="AD21" s="101" t="n">
        <f aca="false">IF(AC21="",0,SUMIFS(Purchase_Register!$AD$6:$AD$205,Purchase_Register!$F$6:$F$205,AC21))</f>
        <v>0</v>
      </c>
      <c r="AE21" s="101" t="n">
        <f aca="false">IF(AC21="",-ROW(),AD21+(1000-ROW())/1000000)</f>
        <v>-21</v>
      </c>
    </row>
    <row r="22" customFormat="false" ht="15" hidden="false" customHeight="false" outlineLevel="0" collapsed="false">
      <c r="A22" s="33" t="n">
        <v>17</v>
      </c>
      <c r="B22" s="93" t="str">
        <f aca="false">INDEX($AC$6:$AC$25,$AB22)&amp;""</f>
        <v/>
      </c>
      <c r="C22" s="80" t="str">
        <f aca="false">IF($B22="","",COUNTIFS(Purchase_Register!$F$6:$F$205,$B22,Purchase_Register!$O$6:$O$205,"&lt;&gt;"))</f>
        <v/>
      </c>
      <c r="D22" s="81" t="str">
        <f aca="false">IF($B22="","",SUMIFS(Purchase_Register!$AD$6:$AD$205,Purchase_Register!$F$6:$F$205,$B22))</f>
        <v/>
      </c>
      <c r="E22" s="100" t="str">
        <f aca="false">IF($B22="","",D22/100000)</f>
        <v/>
      </c>
      <c r="F22" s="82" t="str">
        <f aca="false">IF(OR($B22="",$D$26=0),"",D22/$D$26)</f>
        <v/>
      </c>
      <c r="G22" s="82" t="str">
        <f aca="false">IF(OR($B22="",$D$26=0),"",SUM($D$6:D22)/$D$26)</f>
        <v/>
      </c>
      <c r="H22" s="46" t="str">
        <f aca="false">IF($B22="","",IF(N(D22)=0,"-",IF(G22-F22&lt;Settings!$B$21,"A",IF(G22-F22&lt;Settings!$B$22,"B","C"))))</f>
        <v/>
      </c>
      <c r="I22" s="83" t="str">
        <f aca="false">IF($B22="","",IFERROR(AVERAGEIFS(Purchase_Register!$AB$6:$AB$205,Purchase_Register!$F$6:$F$205,$B22),""))</f>
        <v/>
      </c>
      <c r="J22" s="81" t="str">
        <f aca="false">IF($B22="","",-SUMIFS(Purchase_Register!$AA$6:$AA$205,Purchase_Register!$F$6:$F$205,$B22,Purchase_Register!$AA$6:$AA$205,"&lt;0"))</f>
        <v/>
      </c>
      <c r="K22" s="81" t="str">
        <f aca="false">IF($B22="","",SUMIFS(Purchase_Register!$AA$6:$AA$205,Purchase_Register!$F$6:$F$205,$B22,Purchase_Register!$AA$6:$AA$205,"&gt;0"))</f>
        <v/>
      </c>
      <c r="L22" s="81" t="str">
        <f aca="false">IF($B22="","",SUMIFS(Purchase_Register!$AW$6:$AW$205,Purchase_Register!$F$6:$F$205,$B22,Purchase_Register!$AY$6:$AY$205,""))</f>
        <v/>
      </c>
      <c r="AB22" s="101" t="n">
        <f aca="false">MATCH(LARGE($AE$6:$AE$25,A22),$AE$6:$AE$25,0)</f>
        <v>17</v>
      </c>
      <c r="AC22" s="0" t="str">
        <f aca="false">IF(Lists!$B$18="","",Lists!$B$18)</f>
        <v/>
      </c>
      <c r="AD22" s="101" t="n">
        <f aca="false">IF(AC22="",0,SUMIFS(Purchase_Register!$AD$6:$AD$205,Purchase_Register!$F$6:$F$205,AC22))</f>
        <v>0</v>
      </c>
      <c r="AE22" s="101" t="n">
        <f aca="false">IF(AC22="",-ROW(),AD22+(1000-ROW())/1000000)</f>
        <v>-22</v>
      </c>
    </row>
    <row r="23" customFormat="false" ht="15" hidden="false" customHeight="false" outlineLevel="0" collapsed="false">
      <c r="A23" s="33" t="n">
        <v>18</v>
      </c>
      <c r="B23" s="93" t="str">
        <f aca="false">INDEX($AC$6:$AC$25,$AB23)&amp;""</f>
        <v/>
      </c>
      <c r="C23" s="80" t="str">
        <f aca="false">IF($B23="","",COUNTIFS(Purchase_Register!$F$6:$F$205,$B23,Purchase_Register!$O$6:$O$205,"&lt;&gt;"))</f>
        <v/>
      </c>
      <c r="D23" s="81" t="str">
        <f aca="false">IF($B23="","",SUMIFS(Purchase_Register!$AD$6:$AD$205,Purchase_Register!$F$6:$F$205,$B23))</f>
        <v/>
      </c>
      <c r="E23" s="100" t="str">
        <f aca="false">IF($B23="","",D23/100000)</f>
        <v/>
      </c>
      <c r="F23" s="82" t="str">
        <f aca="false">IF(OR($B23="",$D$26=0),"",D23/$D$26)</f>
        <v/>
      </c>
      <c r="G23" s="82" t="str">
        <f aca="false">IF(OR($B23="",$D$26=0),"",SUM($D$6:D23)/$D$26)</f>
        <v/>
      </c>
      <c r="H23" s="46" t="str">
        <f aca="false">IF($B23="","",IF(N(D23)=0,"-",IF(G23-F23&lt;Settings!$B$21,"A",IF(G23-F23&lt;Settings!$B$22,"B","C"))))</f>
        <v/>
      </c>
      <c r="I23" s="83" t="str">
        <f aca="false">IF($B23="","",IFERROR(AVERAGEIFS(Purchase_Register!$AB$6:$AB$205,Purchase_Register!$F$6:$F$205,$B23),""))</f>
        <v/>
      </c>
      <c r="J23" s="81" t="str">
        <f aca="false">IF($B23="","",-SUMIFS(Purchase_Register!$AA$6:$AA$205,Purchase_Register!$F$6:$F$205,$B23,Purchase_Register!$AA$6:$AA$205,"&lt;0"))</f>
        <v/>
      </c>
      <c r="K23" s="81" t="str">
        <f aca="false">IF($B23="","",SUMIFS(Purchase_Register!$AA$6:$AA$205,Purchase_Register!$F$6:$F$205,$B23,Purchase_Register!$AA$6:$AA$205,"&gt;0"))</f>
        <v/>
      </c>
      <c r="L23" s="81" t="str">
        <f aca="false">IF($B23="","",SUMIFS(Purchase_Register!$AW$6:$AW$205,Purchase_Register!$F$6:$F$205,$B23,Purchase_Register!$AY$6:$AY$205,""))</f>
        <v/>
      </c>
      <c r="AB23" s="101" t="n">
        <f aca="false">MATCH(LARGE($AE$6:$AE$25,A23),$AE$6:$AE$25,0)</f>
        <v>18</v>
      </c>
      <c r="AC23" s="0" t="str">
        <f aca="false">IF(Lists!$B$19="","",Lists!$B$19)</f>
        <v/>
      </c>
      <c r="AD23" s="101" t="n">
        <f aca="false">IF(AC23="",0,SUMIFS(Purchase_Register!$AD$6:$AD$205,Purchase_Register!$F$6:$F$205,AC23))</f>
        <v>0</v>
      </c>
      <c r="AE23" s="101" t="n">
        <f aca="false">IF(AC23="",-ROW(),AD23+(1000-ROW())/1000000)</f>
        <v>-23</v>
      </c>
    </row>
    <row r="24" customFormat="false" ht="15" hidden="false" customHeight="false" outlineLevel="0" collapsed="false">
      <c r="A24" s="33" t="n">
        <v>19</v>
      </c>
      <c r="B24" s="93" t="str">
        <f aca="false">INDEX($AC$6:$AC$25,$AB24)&amp;""</f>
        <v/>
      </c>
      <c r="C24" s="80" t="str">
        <f aca="false">IF($B24="","",COUNTIFS(Purchase_Register!$F$6:$F$205,$B24,Purchase_Register!$O$6:$O$205,"&lt;&gt;"))</f>
        <v/>
      </c>
      <c r="D24" s="81" t="str">
        <f aca="false">IF($B24="","",SUMIFS(Purchase_Register!$AD$6:$AD$205,Purchase_Register!$F$6:$F$205,$B24))</f>
        <v/>
      </c>
      <c r="E24" s="100" t="str">
        <f aca="false">IF($B24="","",D24/100000)</f>
        <v/>
      </c>
      <c r="F24" s="82" t="str">
        <f aca="false">IF(OR($B24="",$D$26=0),"",D24/$D$26)</f>
        <v/>
      </c>
      <c r="G24" s="82" t="str">
        <f aca="false">IF(OR($B24="",$D$26=0),"",SUM($D$6:D24)/$D$26)</f>
        <v/>
      </c>
      <c r="H24" s="46" t="str">
        <f aca="false">IF($B24="","",IF(N(D24)=0,"-",IF(G24-F24&lt;Settings!$B$21,"A",IF(G24-F24&lt;Settings!$B$22,"B","C"))))</f>
        <v/>
      </c>
      <c r="I24" s="83" t="str">
        <f aca="false">IF($B24="","",IFERROR(AVERAGEIFS(Purchase_Register!$AB$6:$AB$205,Purchase_Register!$F$6:$F$205,$B24),""))</f>
        <v/>
      </c>
      <c r="J24" s="81" t="str">
        <f aca="false">IF($B24="","",-SUMIFS(Purchase_Register!$AA$6:$AA$205,Purchase_Register!$F$6:$F$205,$B24,Purchase_Register!$AA$6:$AA$205,"&lt;0"))</f>
        <v/>
      </c>
      <c r="K24" s="81" t="str">
        <f aca="false">IF($B24="","",SUMIFS(Purchase_Register!$AA$6:$AA$205,Purchase_Register!$F$6:$F$205,$B24,Purchase_Register!$AA$6:$AA$205,"&gt;0"))</f>
        <v/>
      </c>
      <c r="L24" s="81" t="str">
        <f aca="false">IF($B24="","",SUMIFS(Purchase_Register!$AW$6:$AW$205,Purchase_Register!$F$6:$F$205,$B24,Purchase_Register!$AY$6:$AY$205,""))</f>
        <v/>
      </c>
      <c r="AB24" s="101" t="n">
        <f aca="false">MATCH(LARGE($AE$6:$AE$25,A24),$AE$6:$AE$25,0)</f>
        <v>19</v>
      </c>
      <c r="AC24" s="0" t="str">
        <f aca="false">IF(Lists!$B$20="","",Lists!$B$20)</f>
        <v/>
      </c>
      <c r="AD24" s="101" t="n">
        <f aca="false">IF(AC24="",0,SUMIFS(Purchase_Register!$AD$6:$AD$205,Purchase_Register!$F$6:$F$205,AC24))</f>
        <v>0</v>
      </c>
      <c r="AE24" s="101" t="n">
        <f aca="false">IF(AC24="",-ROW(),AD24+(1000-ROW())/1000000)</f>
        <v>-24</v>
      </c>
    </row>
    <row r="25" customFormat="false" ht="15" hidden="false" customHeight="false" outlineLevel="0" collapsed="false">
      <c r="A25" s="33" t="n">
        <v>20</v>
      </c>
      <c r="B25" s="93" t="str">
        <f aca="false">INDEX($AC$6:$AC$25,$AB25)&amp;""</f>
        <v/>
      </c>
      <c r="C25" s="80" t="str">
        <f aca="false">IF($B25="","",COUNTIFS(Purchase_Register!$F$6:$F$205,$B25,Purchase_Register!$O$6:$O$205,"&lt;&gt;"))</f>
        <v/>
      </c>
      <c r="D25" s="81" t="str">
        <f aca="false">IF($B25="","",SUMIFS(Purchase_Register!$AD$6:$AD$205,Purchase_Register!$F$6:$F$205,$B25))</f>
        <v/>
      </c>
      <c r="E25" s="100" t="str">
        <f aca="false">IF($B25="","",D25/100000)</f>
        <v/>
      </c>
      <c r="F25" s="82" t="str">
        <f aca="false">IF(OR($B25="",$D$26=0),"",D25/$D$26)</f>
        <v/>
      </c>
      <c r="G25" s="82" t="str">
        <f aca="false">IF(OR($B25="",$D$26=0),"",SUM($D$6:D25)/$D$26)</f>
        <v/>
      </c>
      <c r="H25" s="46" t="str">
        <f aca="false">IF($B25="","",IF(N(D25)=0,"-",IF(G25-F25&lt;Settings!$B$21,"A",IF(G25-F25&lt;Settings!$B$22,"B","C"))))</f>
        <v/>
      </c>
      <c r="I25" s="83" t="str">
        <f aca="false">IF($B25="","",IFERROR(AVERAGEIFS(Purchase_Register!$AB$6:$AB$205,Purchase_Register!$F$6:$F$205,$B25),""))</f>
        <v/>
      </c>
      <c r="J25" s="81" t="str">
        <f aca="false">IF($B25="","",-SUMIFS(Purchase_Register!$AA$6:$AA$205,Purchase_Register!$F$6:$F$205,$B25,Purchase_Register!$AA$6:$AA$205,"&lt;0"))</f>
        <v/>
      </c>
      <c r="K25" s="81" t="str">
        <f aca="false">IF($B25="","",SUMIFS(Purchase_Register!$AA$6:$AA$205,Purchase_Register!$F$6:$F$205,$B25,Purchase_Register!$AA$6:$AA$205,"&gt;0"))</f>
        <v/>
      </c>
      <c r="L25" s="81" t="str">
        <f aca="false">IF($B25="","",SUMIFS(Purchase_Register!$AW$6:$AW$205,Purchase_Register!$F$6:$F$205,$B25,Purchase_Register!$AY$6:$AY$205,""))</f>
        <v/>
      </c>
      <c r="AB25" s="101" t="n">
        <f aca="false">MATCH(LARGE($AE$6:$AE$25,A25),$AE$6:$AE$25,0)</f>
        <v>20</v>
      </c>
      <c r="AC25" s="0" t="str">
        <f aca="false">IF(Lists!$B$21="","",Lists!$B$21)</f>
        <v/>
      </c>
      <c r="AD25" s="101" t="n">
        <f aca="false">IF(AC25="",0,SUMIFS(Purchase_Register!$AD$6:$AD$205,Purchase_Register!$F$6:$F$205,AC25))</f>
        <v>0</v>
      </c>
      <c r="AE25" s="101" t="n">
        <f aca="false">IF(AC25="",-ROW(),AD25+(1000-ROW())/1000000)</f>
        <v>-25</v>
      </c>
    </row>
    <row r="26" customFormat="false" ht="15" hidden="false" customHeight="false" outlineLevel="0" collapsed="false">
      <c r="B26" s="85" t="s">
        <v>445</v>
      </c>
      <c r="C26" s="87" t="n">
        <f aca="false">SUM(C6:C25)</f>
        <v>39</v>
      </c>
      <c r="D26" s="87" t="n">
        <f aca="false">SUM(D6:D25)</f>
        <v>56519000.295</v>
      </c>
      <c r="E26" s="102" t="n">
        <f aca="false">SUM(E6:E25)</f>
        <v>565.19000295</v>
      </c>
      <c r="F26" s="88" t="n">
        <f aca="false">IF(D26=0,"",1)</f>
        <v>1</v>
      </c>
      <c r="I26" s="90" t="n">
        <f aca="false">IFERROR(AVERAGE(Purchase_Register!$AB$6:$AB$205),"")</f>
        <v>0.0242133749770729</v>
      </c>
      <c r="J26" s="87" t="n">
        <f aca="false">SUM(J6:J25)</f>
        <v>373468.86</v>
      </c>
      <c r="K26" s="87" t="n">
        <f aca="false">SUM(K6:K25)</f>
        <v>1341825.21</v>
      </c>
      <c r="L26" s="87" t="n">
        <f aca="false">SUM(L6:L25)</f>
        <v>10105738.45</v>
      </c>
    </row>
    <row r="28" customFormat="false" ht="15" hidden="false" customHeight="false" outlineLevel="0" collapsed="false">
      <c r="A28" s="27" t="s">
        <v>446</v>
      </c>
    </row>
    <row r="29" customFormat="false" ht="31.5" hidden="false" customHeight="true" outlineLevel="0" collapsed="false">
      <c r="A29" s="28" t="s">
        <v>75</v>
      </c>
      <c r="B29" s="28" t="s">
        <v>121</v>
      </c>
      <c r="C29" s="28" t="s">
        <v>34</v>
      </c>
      <c r="D29" s="28" t="s">
        <v>113</v>
      </c>
      <c r="E29" s="28" t="s">
        <v>447</v>
      </c>
      <c r="F29" s="28" t="s">
        <v>413</v>
      </c>
      <c r="G29" s="28" t="s">
        <v>414</v>
      </c>
      <c r="H29" s="28" t="s">
        <v>84</v>
      </c>
    </row>
    <row r="30" customFormat="false" ht="15" hidden="false" customHeight="false" outlineLevel="0" collapsed="false">
      <c r="A30" s="33" t="n">
        <v>1</v>
      </c>
      <c r="B30" s="29" t="str">
        <f aca="false">IF(Lists!$H$2="","",Lists!$H$2)</f>
        <v>100% Advance</v>
      </c>
      <c r="C30" s="80" t="n">
        <f aca="false">IF($B30="","",COUNTIFS(Purchase_Register!$AE$6:$AE$205,$B30,Purchase_Register!$O$6:$O$205,"&lt;&gt;"))</f>
        <v>7</v>
      </c>
      <c r="D30" s="81" t="n">
        <f aca="false">IF($B30="","",SUMIFS(Purchase_Register!$AD$6:$AD$205,Purchase_Register!$AE$6:$AE$205,$B30,Purchase_Register!$O$6:$O$205,"&lt;&gt;"))</f>
        <v>8829879.55</v>
      </c>
      <c r="E30" s="82" t="n">
        <f aca="false">IF(OR($B30="",SUM($D$30:$D$39)=0),"",D30/SUM($D$30:$D$39))</f>
        <v>0.174444657850333</v>
      </c>
      <c r="F30" s="81" t="n">
        <f aca="false">IF($B30="","",SUMIFS(Purchase_Register!$AI$6:$AI$205,Purchase_Register!$AE$6:$AE$205,$B30))</f>
        <v>8829879.55</v>
      </c>
      <c r="G30" s="81" t="n">
        <f aca="false">IF($B30="","",SUMIFS(Purchase_Register!$AK$6:$AK$205,Purchase_Register!$AE$6:$AE$205,$B30))</f>
        <v>0</v>
      </c>
      <c r="H30" s="81" t="n">
        <f aca="false">IF($B30="","",SUMIFS(Purchase_Register!$AL$6:$AL$205,Purchase_Register!$AE$6:$AE$205,$B30))</f>
        <v>488285</v>
      </c>
    </row>
    <row r="31" customFormat="false" ht="15" hidden="false" customHeight="false" outlineLevel="0" collapsed="false">
      <c r="A31" s="33" t="n">
        <v>2</v>
      </c>
      <c r="B31" s="29" t="str">
        <f aca="false">IF(Lists!$H$3="","",Lists!$H$3)</f>
        <v>30% Advance / 70% after In-house</v>
      </c>
      <c r="C31" s="80" t="n">
        <f aca="false">IF($B31="","",COUNTIFS(Purchase_Register!$AE$6:$AE$205,$B31,Purchase_Register!$O$6:$O$205,"&lt;&gt;"))</f>
        <v>8</v>
      </c>
      <c r="D31" s="81" t="n">
        <f aca="false">IF($B31="","",SUMIFS(Purchase_Register!$AD$6:$AD$205,Purchase_Register!$AE$6:$AE$205,$B31,Purchase_Register!$O$6:$O$205,"&lt;&gt;"))</f>
        <v>10865274.55</v>
      </c>
      <c r="E31" s="82" t="n">
        <f aca="false">IF(OR($B31="",SUM($D$30:$D$39)=0),"",D31/SUM($D$30:$D$39))</f>
        <v>0.214656280483993</v>
      </c>
      <c r="F31" s="81" t="n">
        <f aca="false">IF($B31="","",SUMIFS(Purchase_Register!$AI$6:$AI$205,Purchase_Register!$AE$6:$AE$205,$B31))</f>
        <v>5743563.23</v>
      </c>
      <c r="G31" s="81" t="n">
        <f aca="false">IF($B31="","",SUMIFS(Purchase_Register!$AK$6:$AK$205,Purchase_Register!$AE$6:$AE$205,$B31))</f>
        <v>5121711.32</v>
      </c>
      <c r="H31" s="81" t="n">
        <f aca="false">IF($B31="","",SUMIFS(Purchase_Register!$AL$6:$AL$205,Purchase_Register!$AE$6:$AE$205,$B31))</f>
        <v>1572363</v>
      </c>
    </row>
    <row r="32" customFormat="false" ht="15" hidden="false" customHeight="false" outlineLevel="0" collapsed="false">
      <c r="A32" s="33" t="n">
        <v>3</v>
      </c>
      <c r="B32" s="29" t="str">
        <f aca="false">IF(Lists!$H$4="","",Lists!$H$4)</f>
        <v>Credit 30 Days</v>
      </c>
      <c r="C32" s="80" t="n">
        <f aca="false">IF($B32="","",COUNTIFS(Purchase_Register!$AE$6:$AE$205,$B32,Purchase_Register!$O$6:$O$205,"&lt;&gt;"))</f>
        <v>13</v>
      </c>
      <c r="D32" s="81" t="n">
        <f aca="false">IF($B32="","",SUMIFS(Purchase_Register!$AD$6:$AD$205,Purchase_Register!$AE$6:$AE$205,$B32,Purchase_Register!$O$6:$O$205,"&lt;&gt;"))</f>
        <v>7777985.05</v>
      </c>
      <c r="E32" s="82" t="n">
        <f aca="false">IF(OR($B32="",SUM($D$30:$D$39)=0),"",D32/SUM($D$30:$D$39))</f>
        <v>0.153663244569656</v>
      </c>
      <c r="F32" s="81" t="n">
        <f aca="false">IF($B32="","",SUMIFS(Purchase_Register!$AI$6:$AI$205,Purchase_Register!$AE$6:$AE$205,$B32))</f>
        <v>4059564.55</v>
      </c>
      <c r="G32" s="81" t="n">
        <f aca="false">IF($B32="","",SUMIFS(Purchase_Register!$AK$6:$AK$205,Purchase_Register!$AE$6:$AE$205,$B32))</f>
        <v>3718420.5</v>
      </c>
      <c r="H32" s="81" t="n">
        <f aca="false">IF($B32="","",SUMIFS(Purchase_Register!$AL$6:$AL$205,Purchase_Register!$AE$6:$AE$205,$B32))</f>
        <v>0</v>
      </c>
    </row>
    <row r="33" customFormat="false" ht="15" hidden="false" customHeight="false" outlineLevel="0" collapsed="false">
      <c r="A33" s="33" t="n">
        <v>4</v>
      </c>
      <c r="B33" s="29" t="str">
        <f aca="false">IF(Lists!$H$5="","",Lists!$H$5)</f>
        <v>Credit 60 Days</v>
      </c>
      <c r="C33" s="80" t="n">
        <f aca="false">IF($B33="","",COUNTIFS(Purchase_Register!$AE$6:$AE$205,$B33,Purchase_Register!$O$6:$O$205,"&lt;&gt;"))</f>
        <v>0</v>
      </c>
      <c r="D33" s="81" t="n">
        <f aca="false">IF($B33="","",SUMIFS(Purchase_Register!$AD$6:$AD$205,Purchase_Register!$AE$6:$AE$205,$B33,Purchase_Register!$O$6:$O$205,"&lt;&gt;"))</f>
        <v>0</v>
      </c>
      <c r="E33" s="82" t="n">
        <f aca="false">IF(OR($B33="",SUM($D$30:$D$39)=0),"",D33/SUM($D$30:$D$39))</f>
        <v>0</v>
      </c>
      <c r="F33" s="81" t="n">
        <f aca="false">IF($B33="","",SUMIFS(Purchase_Register!$AI$6:$AI$205,Purchase_Register!$AE$6:$AE$205,$B33))</f>
        <v>0</v>
      </c>
      <c r="G33" s="81" t="n">
        <f aca="false">IF($B33="","",SUMIFS(Purchase_Register!$AK$6:$AK$205,Purchase_Register!$AE$6:$AE$205,$B33))</f>
        <v>0</v>
      </c>
      <c r="H33" s="81" t="n">
        <f aca="false">IF($B33="","",SUMIFS(Purchase_Register!$AL$6:$AL$205,Purchase_Register!$AE$6:$AE$205,$B33))</f>
        <v>0</v>
      </c>
    </row>
    <row r="34" customFormat="false" ht="15" hidden="false" customHeight="false" outlineLevel="0" collapsed="false">
      <c r="A34" s="33" t="n">
        <v>5</v>
      </c>
      <c r="B34" s="29" t="str">
        <f aca="false">IF(Lists!$H$6="","",Lists!$H$6)</f>
        <v>LC at Sight</v>
      </c>
      <c r="C34" s="80" t="n">
        <f aca="false">IF($B34="","",COUNTIFS(Purchase_Register!$AE$6:$AE$205,$B34,Purchase_Register!$O$6:$O$205,"&lt;&gt;"))</f>
        <v>6</v>
      </c>
      <c r="D34" s="81" t="n">
        <f aca="false">IF($B34="","",SUMIFS(Purchase_Register!$AD$6:$AD$205,Purchase_Register!$AE$6:$AE$205,$B34,Purchase_Register!$O$6:$O$205,"&lt;&gt;"))</f>
        <v>10589896.9</v>
      </c>
      <c r="E34" s="82" t="n">
        <f aca="false">IF(OR($B34="",SUM($D$30:$D$39)=0),"",D34/SUM($D$30:$D$39))</f>
        <v>0.209215871058037</v>
      </c>
      <c r="F34" s="81" t="n">
        <f aca="false">IF($B34="","",SUMIFS(Purchase_Register!$AI$6:$AI$205,Purchase_Register!$AE$6:$AE$205,$B34))</f>
        <v>8133529.1</v>
      </c>
      <c r="G34" s="81" t="n">
        <f aca="false">IF($B34="","",SUMIFS(Purchase_Register!$AK$6:$AK$205,Purchase_Register!$AE$6:$AE$205,$B34))</f>
        <v>2456367.8</v>
      </c>
      <c r="H34" s="81" t="n">
        <f aca="false">IF($B34="","",SUMIFS(Purchase_Register!$AL$6:$AL$205,Purchase_Register!$AE$6:$AE$205,$B34))</f>
        <v>2217862</v>
      </c>
    </row>
    <row r="35" customFormat="false" ht="15" hidden="false" customHeight="false" outlineLevel="0" collapsed="false">
      <c r="A35" s="33" t="n">
        <v>6</v>
      </c>
      <c r="B35" s="29" t="str">
        <f aca="false">IF(Lists!$H$7="","",Lists!$H$7)</f>
        <v>50% Advance / 50% after Installation</v>
      </c>
      <c r="C35" s="80" t="n">
        <f aca="false">IF($B35="","",COUNTIFS(Purchase_Register!$AE$6:$AE$205,$B35,Purchase_Register!$O$6:$O$205,"&lt;&gt;"))</f>
        <v>5</v>
      </c>
      <c r="D35" s="81" t="n">
        <f aca="false">IF($B35="","",SUMIFS(Purchase_Register!$AD$6:$AD$205,Purchase_Register!$AE$6:$AE$205,$B35,Purchase_Register!$O$6:$O$205,"&lt;&gt;"))</f>
        <v>12554045.945</v>
      </c>
      <c r="E35" s="82" t="n">
        <f aca="false">IF(OR($B35="",SUM($D$30:$D$39)=0),"",D35/SUM($D$30:$D$39))</f>
        <v>0.248019946037982</v>
      </c>
      <c r="F35" s="81" t="n">
        <f aca="false">IF($B35="","",SUMIFS(Purchase_Register!$AI$6:$AI$205,Purchase_Register!$AE$6:$AE$205,$B35))</f>
        <v>7080779.52</v>
      </c>
      <c r="G35" s="81" t="n">
        <f aca="false">IF($B35="","",SUMIFS(Purchase_Register!$AK$6:$AK$205,Purchase_Register!$AE$6:$AE$205,$B35))</f>
        <v>5473266.43</v>
      </c>
      <c r="H35" s="81" t="n">
        <f aca="false">IF($B35="","",SUMIFS(Purchase_Register!$AL$6:$AL$205,Purchase_Register!$AE$6:$AE$205,$B35))</f>
        <v>0</v>
      </c>
    </row>
    <row r="36" customFormat="false" ht="15" hidden="false" customHeight="false" outlineLevel="0" collapsed="false">
      <c r="A36" s="33" t="n">
        <v>7</v>
      </c>
      <c r="B36" s="29" t="str">
        <f aca="false">IF(Lists!$H$8="","",Lists!$H$8)</f>
        <v/>
      </c>
      <c r="C36" s="80" t="str">
        <f aca="false">IF($B36="","",COUNTIFS(Purchase_Register!$AE$6:$AE$205,$B36,Purchase_Register!$O$6:$O$205,"&lt;&gt;"))</f>
        <v/>
      </c>
      <c r="D36" s="81" t="str">
        <f aca="false">IF($B36="","",SUMIFS(Purchase_Register!$AD$6:$AD$205,Purchase_Register!$AE$6:$AE$205,$B36,Purchase_Register!$O$6:$O$205,"&lt;&gt;"))</f>
        <v/>
      </c>
      <c r="E36" s="82" t="str">
        <f aca="false">IF(OR($B36="",SUM($D$30:$D$39)=0),"",D36/SUM($D$30:$D$39))</f>
        <v/>
      </c>
      <c r="F36" s="81" t="str">
        <f aca="false">IF($B36="","",SUMIFS(Purchase_Register!$AI$6:$AI$205,Purchase_Register!$AE$6:$AE$205,$B36))</f>
        <v/>
      </c>
      <c r="G36" s="81" t="str">
        <f aca="false">IF($B36="","",SUMIFS(Purchase_Register!$AK$6:$AK$205,Purchase_Register!$AE$6:$AE$205,$B36))</f>
        <v/>
      </c>
      <c r="H36" s="81" t="str">
        <f aca="false">IF($B36="","",SUMIFS(Purchase_Register!$AL$6:$AL$205,Purchase_Register!$AE$6:$AE$205,$B36))</f>
        <v/>
      </c>
    </row>
    <row r="37" customFormat="false" ht="15" hidden="false" customHeight="false" outlineLevel="0" collapsed="false">
      <c r="A37" s="33" t="n">
        <v>8</v>
      </c>
      <c r="B37" s="29" t="str">
        <f aca="false">IF(Lists!$H$9="","",Lists!$H$9)</f>
        <v/>
      </c>
      <c r="C37" s="80" t="str">
        <f aca="false">IF($B37="","",COUNTIFS(Purchase_Register!$AE$6:$AE$205,$B37,Purchase_Register!$O$6:$O$205,"&lt;&gt;"))</f>
        <v/>
      </c>
      <c r="D37" s="81" t="str">
        <f aca="false">IF($B37="","",SUMIFS(Purchase_Register!$AD$6:$AD$205,Purchase_Register!$AE$6:$AE$205,$B37,Purchase_Register!$O$6:$O$205,"&lt;&gt;"))</f>
        <v/>
      </c>
      <c r="E37" s="82" t="str">
        <f aca="false">IF(OR($B37="",SUM($D$30:$D$39)=0),"",D37/SUM($D$30:$D$39))</f>
        <v/>
      </c>
      <c r="F37" s="81" t="str">
        <f aca="false">IF($B37="","",SUMIFS(Purchase_Register!$AI$6:$AI$205,Purchase_Register!$AE$6:$AE$205,$B37))</f>
        <v/>
      </c>
      <c r="G37" s="81" t="str">
        <f aca="false">IF($B37="","",SUMIFS(Purchase_Register!$AK$6:$AK$205,Purchase_Register!$AE$6:$AE$205,$B37))</f>
        <v/>
      </c>
      <c r="H37" s="81" t="str">
        <f aca="false">IF($B37="","",SUMIFS(Purchase_Register!$AL$6:$AL$205,Purchase_Register!$AE$6:$AE$205,$B37))</f>
        <v/>
      </c>
    </row>
    <row r="38" customFormat="false" ht="15" hidden="false" customHeight="false" outlineLevel="0" collapsed="false">
      <c r="A38" s="33" t="n">
        <v>9</v>
      </c>
      <c r="B38" s="29" t="str">
        <f aca="false">IF(Lists!$H$10="","",Lists!$H$10)</f>
        <v/>
      </c>
      <c r="C38" s="80" t="str">
        <f aca="false">IF($B38="","",COUNTIFS(Purchase_Register!$AE$6:$AE$205,$B38,Purchase_Register!$O$6:$O$205,"&lt;&gt;"))</f>
        <v/>
      </c>
      <c r="D38" s="81" t="str">
        <f aca="false">IF($B38="","",SUMIFS(Purchase_Register!$AD$6:$AD$205,Purchase_Register!$AE$6:$AE$205,$B38,Purchase_Register!$O$6:$O$205,"&lt;&gt;"))</f>
        <v/>
      </c>
      <c r="E38" s="82" t="str">
        <f aca="false">IF(OR($B38="",SUM($D$30:$D$39)=0),"",D38/SUM($D$30:$D$39))</f>
        <v/>
      </c>
      <c r="F38" s="81" t="str">
        <f aca="false">IF($B38="","",SUMIFS(Purchase_Register!$AI$6:$AI$205,Purchase_Register!$AE$6:$AE$205,$B38))</f>
        <v/>
      </c>
      <c r="G38" s="81" t="str">
        <f aca="false">IF($B38="","",SUMIFS(Purchase_Register!$AK$6:$AK$205,Purchase_Register!$AE$6:$AE$205,$B38))</f>
        <v/>
      </c>
      <c r="H38" s="81" t="str">
        <f aca="false">IF($B38="","",SUMIFS(Purchase_Register!$AL$6:$AL$205,Purchase_Register!$AE$6:$AE$205,$B38))</f>
        <v/>
      </c>
    </row>
    <row r="39" customFormat="false" ht="15" hidden="false" customHeight="false" outlineLevel="0" collapsed="false">
      <c r="A39" s="33" t="n">
        <v>10</v>
      </c>
      <c r="B39" s="29" t="str">
        <f aca="false">IF(Lists!$H$11="","",Lists!$H$11)</f>
        <v/>
      </c>
      <c r="C39" s="80" t="str">
        <f aca="false">IF($B39="","",COUNTIFS(Purchase_Register!$AE$6:$AE$205,$B39,Purchase_Register!$O$6:$O$205,"&lt;&gt;"))</f>
        <v/>
      </c>
      <c r="D39" s="81" t="str">
        <f aca="false">IF($B39="","",SUMIFS(Purchase_Register!$AD$6:$AD$205,Purchase_Register!$AE$6:$AE$205,$B39,Purchase_Register!$O$6:$O$205,"&lt;&gt;"))</f>
        <v/>
      </c>
      <c r="E39" s="82" t="str">
        <f aca="false">IF(OR($B39="",SUM($D$30:$D$39)=0),"",D39/SUM($D$30:$D$39))</f>
        <v/>
      </c>
      <c r="F39" s="81" t="str">
        <f aca="false">IF($B39="","",SUMIFS(Purchase_Register!$AI$6:$AI$205,Purchase_Register!$AE$6:$AE$205,$B39))</f>
        <v/>
      </c>
      <c r="G39" s="81" t="str">
        <f aca="false">IF($B39="","",SUMIFS(Purchase_Register!$AK$6:$AK$205,Purchase_Register!$AE$6:$AE$205,$B39))</f>
        <v/>
      </c>
      <c r="H39" s="81" t="str">
        <f aca="false">IF($B39="","",SUMIFS(Purchase_Register!$AL$6:$AL$205,Purchase_Register!$AE$6:$AE$205,$B39))</f>
        <v/>
      </c>
    </row>
    <row r="41" customFormat="false" ht="15" hidden="false" customHeight="false" outlineLevel="0" collapsed="false">
      <c r="A41" s="27" t="s">
        <v>448</v>
      </c>
    </row>
    <row r="42" customFormat="false" ht="31.5" hidden="false" customHeight="true" outlineLevel="0" collapsed="false">
      <c r="A42" s="28" t="s">
        <v>75</v>
      </c>
      <c r="B42" s="28" t="s">
        <v>449</v>
      </c>
      <c r="C42" s="28" t="s">
        <v>34</v>
      </c>
      <c r="D42" s="28" t="s">
        <v>113</v>
      </c>
      <c r="E42" s="28" t="s">
        <v>447</v>
      </c>
      <c r="F42" s="28" t="s">
        <v>417</v>
      </c>
      <c r="G42" s="28" t="s">
        <v>41</v>
      </c>
      <c r="H42" s="28" t="s">
        <v>421</v>
      </c>
    </row>
    <row r="43" customFormat="false" ht="15" hidden="false" customHeight="false" outlineLevel="0" collapsed="false">
      <c r="A43" s="33" t="n">
        <v>1</v>
      </c>
      <c r="B43" s="29" t="str">
        <f aca="false">IF(Lists!$E$2="","",Lists!$E$2)</f>
        <v>Local</v>
      </c>
      <c r="C43" s="80" t="n">
        <f aca="false">IF($B43="","",COUNTIFS(Purchase_Register!$N$6:$N$205,$B43,Purchase_Register!$O$6:$O$205,"&lt;&gt;"))</f>
        <v>30</v>
      </c>
      <c r="D43" s="81" t="n">
        <f aca="false">IF($B43="","",SUMIFS(Purchase_Register!$AD$6:$AD$205,Purchase_Register!$N$6:$N$205,$B43,Purchase_Register!$O$6:$O$205,"&lt;&gt;"))</f>
        <v>29842472.375</v>
      </c>
      <c r="E43" s="82" t="n">
        <f aca="false">IF(OR($B43="",SUM($D$43:$D$44)=0),"",D43/SUM($D$43:$D$44))</f>
        <v>0.58957314801252</v>
      </c>
      <c r="F43" s="30" t="n">
        <f aca="false">IF($B43="","",IFERROR(AVERAGEIFS(Purchase_Register!$BB$6:$BB$205,Purchase_Register!$N$6:$N$205,$B43),""))</f>
        <v>16.0714285714286</v>
      </c>
      <c r="G43" s="38" t="n">
        <f aca="false">IF($B43="","",IFERROR(COUNTIFS(Purchase_Register!$N$6:$N$205,$B43,Purchase_Register!$BE$6:$BE$205,"OTIF")/COUNTIFS(Purchase_Register!$N$6:$N$205,$B43,Purchase_Register!$BE$6:$BE$205,"*OTIF"),""))</f>
        <v>0.5</v>
      </c>
      <c r="H43" s="81" t="n">
        <f aca="false">IF($B43="","",SUMIFS(Purchase_Register!$AW$6:$AW$205,Purchase_Register!$N$6:$N$205,$B43,Purchase_Register!$AY$6:$AY$205,""))</f>
        <v>5431508.25</v>
      </c>
    </row>
    <row r="44" customFormat="false" ht="15" hidden="false" customHeight="false" outlineLevel="0" collapsed="false">
      <c r="A44" s="33" t="n">
        <v>2</v>
      </c>
      <c r="B44" s="29" t="str">
        <f aca="false">IF(Lists!$E$3="","",Lists!$E$3)</f>
        <v>Import</v>
      </c>
      <c r="C44" s="80" t="n">
        <f aca="false">IF($B44="","",COUNTIFS(Purchase_Register!$N$6:$N$205,$B44,Purchase_Register!$O$6:$O$205,"&lt;&gt;"))</f>
        <v>9</v>
      </c>
      <c r="D44" s="81" t="n">
        <f aca="false">IF($B44="","",SUMIFS(Purchase_Register!$AD$6:$AD$205,Purchase_Register!$N$6:$N$205,$B44,Purchase_Register!$O$6:$O$205,"&lt;&gt;"))</f>
        <v>20774609.62</v>
      </c>
      <c r="E44" s="82" t="n">
        <f aca="false">IF(OR($B44="",SUM($D$43:$D$44)=0),"",D44/SUM($D$43:$D$44))</f>
        <v>0.41042685198748</v>
      </c>
      <c r="F44" s="30" t="n">
        <f aca="false">IF($B44="","",IFERROR(AVERAGEIFS(Purchase_Register!$BB$6:$BB$205,Purchase_Register!$N$6:$N$205,$B44),""))</f>
        <v>48.3333333333333</v>
      </c>
      <c r="G44" s="38" t="n">
        <f aca="false">IF($B44="","",IFERROR(COUNTIFS(Purchase_Register!$N$6:$N$205,$B44,Purchase_Register!$BE$6:$BE$205,"OTIF")/COUNTIFS(Purchase_Register!$N$6:$N$205,$B44,Purchase_Register!$BE$6:$BE$205,"*OTIF"),""))</f>
        <v>0.5</v>
      </c>
      <c r="H44" s="81" t="n">
        <f aca="false">IF($B44="","",SUMIFS(Purchase_Register!$AW$6:$AW$205,Purchase_Register!$N$6:$N$205,$B44,Purchase_Register!$AY$6:$AY$205,""))</f>
        <v>4674230.2</v>
      </c>
    </row>
  </sheetData>
  <sheetProtection sheet="true" formatCells="false" formatColumns="false" formatRows="false" sort="false" autoFilter="false"/>
  <mergeCells count="10"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</mergeCells>
  <conditionalFormatting sqref="H6:H25">
    <cfRule type="expression" priority="2" aboveAverage="0" equalAverage="0" bottom="0" percent="0" rank="0" text="" dxfId="11">
      <formula>$H6="A"</formula>
    </cfRule>
    <cfRule type="expression" priority="3" aboveAverage="0" equalAverage="0" bottom="0" percent="0" rank="0" text="" dxfId="12">
      <formula>$H6="B"</formula>
    </cfRule>
    <cfRule type="expression" priority="4" aboveAverage="0" equalAverage="0" bottom="0" percent="0" rank="0" text="" dxfId="38">
      <formula>$H6="C"</formula>
    </cfRule>
  </conditionalFormatting>
  <conditionalFormatting sqref="F6:F25">
    <cfRule type="dataBar" priority="5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{D1F27312-8D5F-46D0-A4AC-9A1CF88FE29F}</x14:id>
        </ext>
      </extLst>
    </cfRule>
  </conditionalFormatting>
  <conditionalFormatting sqref="I6:I25">
    <cfRule type="expression" priority="6" aboveAverage="0" equalAverage="0" bottom="0" percent="0" rank="0" text="" dxfId="36">
      <formula>AND(ISNUMBER($I6),$I6&gt;Settings!$B$7)</formula>
    </cfRule>
  </conditionalFormatting>
  <conditionalFormatting sqref="E30:E39">
    <cfRule type="dataBar" priority="7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{D85B586B-502C-4233-9D50-F3A1ED62E147}</x14:id>
        </ext>
      </extLst>
    </cfRule>
  </conditionalFormatting>
  <conditionalFormatting sqref="H30:H39">
    <cfRule type="cellIs" priority="8" operator="greater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F27312-8D5F-46D0-A4AC-9A1CF88FE29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D85B586B-502C-4233-9D50-F3A1ED62E14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E30:E39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10" min="8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true" outlineLevel="0" max="14" min="14" style="0" width="13"/>
  </cols>
  <sheetData>
    <row r="1" customFormat="false" ht="17.35" hidden="false" customHeight="false" outlineLevel="0" collapsed="false">
      <c r="A1" s="39" t="s">
        <v>450</v>
      </c>
    </row>
    <row r="2" customFormat="false" ht="15" hidden="false" customHeight="false" outlineLevel="0" collapsed="false">
      <c r="A2" s="40" t="s">
        <v>451</v>
      </c>
    </row>
    <row r="4" customFormat="false" ht="31.5" hidden="false" customHeight="true" outlineLevel="0" collapsed="false">
      <c r="A4" s="28" t="s">
        <v>64</v>
      </c>
      <c r="B4" s="28" t="s">
        <v>452</v>
      </c>
      <c r="C4" s="28" t="s">
        <v>8</v>
      </c>
      <c r="D4" s="28" t="s">
        <v>453</v>
      </c>
      <c r="E4" s="28" t="s">
        <v>454</v>
      </c>
      <c r="F4" s="28" t="s">
        <v>9</v>
      </c>
      <c r="G4" s="28" t="s">
        <v>455</v>
      </c>
      <c r="H4" s="28" t="s">
        <v>456</v>
      </c>
      <c r="I4" s="28" t="s">
        <v>457</v>
      </c>
      <c r="J4" s="28" t="s">
        <v>458</v>
      </c>
      <c r="K4" s="28" t="s">
        <v>459</v>
      </c>
      <c r="L4" s="28" t="s">
        <v>460</v>
      </c>
      <c r="M4" s="28" t="s">
        <v>461</v>
      </c>
      <c r="N4" s="28" t="s">
        <v>425</v>
      </c>
    </row>
    <row r="5" customFormat="false" ht="15" hidden="false" customHeight="false" outlineLevel="0" collapsed="false">
      <c r="A5" s="79" t="str">
        <f aca="false">IF(Lists!$A$2="","",Lists!$A$2)</f>
        <v>Cutting</v>
      </c>
      <c r="B5" s="71" t="n">
        <v>32000000</v>
      </c>
      <c r="C5" s="81" t="n">
        <f aca="false">IF($A5="","",SUMIFS(Purchase_Register!$AD$6:$AD$205,Purchase_Register!$C$6:$C$205,$A5,Purchase_Register!$H$6:$H$205,"OPEX",Purchase_Register!$K$6:$K$205,"Approved"))</f>
        <v>27935704.85</v>
      </c>
      <c r="D5" s="82" t="n">
        <f aca="false">IF(OR($A5="",N(B5)=0),"",C5/B5)</f>
        <v>0.8729907765625</v>
      </c>
      <c r="E5" s="71" t="n">
        <v>0</v>
      </c>
      <c r="F5" s="81" t="n">
        <f aca="false">IF($A5="","",SUMIFS(Purchase_Register!$AD$6:$AD$205,Purchase_Register!$C$6:$C$205,$A5,Purchase_Register!$H$6:$H$205,"CAPEX",Purchase_Register!$K$6:$K$205,"Approved"))</f>
        <v>0</v>
      </c>
      <c r="G5" s="82" t="str">
        <f aca="false">IF(OR($A5="",N(E5)=0),"",F5/E5)</f>
        <v/>
      </c>
      <c r="H5" s="47" t="n">
        <f aca="false">IF($A5="","",N(B5)+N(E5))</f>
        <v>32000000</v>
      </c>
      <c r="I5" s="47" t="n">
        <f aca="false">IF($A5="","",N(C5)+N(F5))</f>
        <v>27935704.85</v>
      </c>
      <c r="J5" s="81" t="n">
        <f aca="false">IF($A5="","",SUMIFS(Purchase_Register!$AI$6:$AI$205,Purchase_Register!$C$6:$C$205,$A5))</f>
        <v>20064877.83</v>
      </c>
      <c r="K5" s="103" t="n">
        <f aca="false">IF($A5="","",H5-I5)</f>
        <v>4064295.15</v>
      </c>
      <c r="L5" s="82" t="n">
        <f aca="false">IF(OR($A5="",N(H5)=0),"",I5/H5)</f>
        <v>0.8729907765625</v>
      </c>
      <c r="M5" s="31" t="str">
        <f aca="false">IF($A5="","",IF(N(H5)=0,IF(N(I5)&gt;0,"No Budget - Spending","No Budget"),IF(I5&gt;H5,"Over Budget",IF(I5/H5&gt;=Settings!$B$8,"Watch","Within Budget"))))</f>
        <v>Watch</v>
      </c>
      <c r="N5" s="33" t="n">
        <f aca="false">IF($A5="",-ROW(),N(H5)+N(I5)/1000+(1000-ROW())/1000000)</f>
        <v>32027935.705845</v>
      </c>
    </row>
    <row r="6" customFormat="false" ht="15" hidden="false" customHeight="false" outlineLevel="0" collapsed="false">
      <c r="A6" s="79" t="str">
        <f aca="false">IF(Lists!$A$3="","",Lists!$A$3)</f>
        <v>Stitching</v>
      </c>
      <c r="B6" s="71" t="n">
        <v>9000000</v>
      </c>
      <c r="C6" s="81" t="n">
        <f aca="false">IF($A6="","",SUMIFS(Purchase_Register!$AD$6:$AD$205,Purchase_Register!$C$6:$C$205,$A6,Purchase_Register!$H$6:$H$205,"OPEX",Purchase_Register!$K$6:$K$205,"Approved"))</f>
        <v>1331038.8</v>
      </c>
      <c r="D6" s="82" t="n">
        <f aca="false">IF(OR($A6="",N(B6)=0),"",C6/B6)</f>
        <v>0.1478932</v>
      </c>
      <c r="E6" s="71" t="n">
        <v>6000000</v>
      </c>
      <c r="F6" s="81" t="n">
        <f aca="false">IF($A6="","",SUMIFS(Purchase_Register!$AD$6:$AD$205,Purchase_Register!$C$6:$C$205,$A6,Purchase_Register!$H$6:$H$205,"CAPEX",Purchase_Register!$K$6:$K$205,"Approved"))</f>
        <v>0</v>
      </c>
      <c r="G6" s="82" t="n">
        <f aca="false">IF(OR($A6="",N(E6)=0),"",F6/E6)</f>
        <v>0</v>
      </c>
      <c r="H6" s="47" t="n">
        <f aca="false">IF($A6="","",N(B6)+N(E6))</f>
        <v>15000000</v>
      </c>
      <c r="I6" s="47" t="n">
        <f aca="false">IF($A6="","",N(C6)+N(F6))</f>
        <v>1331038.8</v>
      </c>
      <c r="J6" s="81" t="n">
        <f aca="false">IF($A6="","",SUMIFS(Purchase_Register!$AI$6:$AI$205,Purchase_Register!$C$6:$C$205,$A6))</f>
        <v>728620.2</v>
      </c>
      <c r="K6" s="103" t="n">
        <f aca="false">IF($A6="","",H6-I6)</f>
        <v>13668961.2</v>
      </c>
      <c r="L6" s="82" t="n">
        <f aca="false">IF(OR($A6="",N(H6)=0),"",I6/H6)</f>
        <v>0.08873592</v>
      </c>
      <c r="M6" s="31" t="str">
        <f aca="false">IF($A6="","",IF(N(H6)=0,IF(N(I6)&gt;0,"No Budget - Spending","No Budget"),IF(I6&gt;H6,"Over Budget",IF(I6/H6&gt;=Settings!$B$8,"Watch","Within Budget"))))</f>
        <v>Within Budget</v>
      </c>
      <c r="N6" s="33" t="n">
        <f aca="false">IF($A6="",-ROW(),N(H6)+N(I6)/1000+(1000-ROW())/1000000)</f>
        <v>15001331.039794</v>
      </c>
    </row>
    <row r="7" customFormat="false" ht="15" hidden="false" customHeight="false" outlineLevel="0" collapsed="false">
      <c r="A7" s="79" t="str">
        <f aca="false">IF(Lists!$A$4="","",Lists!$A$4)</f>
        <v>Lasting &amp; Assembly</v>
      </c>
      <c r="B7" s="71" t="n">
        <v>30000000</v>
      </c>
      <c r="C7" s="81" t="n">
        <f aca="false">IF($A7="","",SUMIFS(Purchase_Register!$AD$6:$AD$205,Purchase_Register!$C$6:$C$205,$A7,Purchase_Register!$H$6:$H$205,"OPEX",Purchase_Register!$K$6:$K$205,"Approved"))</f>
        <v>10069342.7</v>
      </c>
      <c r="D7" s="82" t="n">
        <f aca="false">IF(OR($A7="",N(B7)=0),"",C7/B7)</f>
        <v>0.335644756666667</v>
      </c>
      <c r="E7" s="71" t="n">
        <v>4000000</v>
      </c>
      <c r="F7" s="81" t="n">
        <f aca="false">IF($A7="","",SUMIFS(Purchase_Register!$AD$6:$AD$205,Purchase_Register!$C$6:$C$205,$A7,Purchase_Register!$H$6:$H$205,"CAPEX",Purchase_Register!$K$6:$K$205,"Approved"))</f>
        <v>0</v>
      </c>
      <c r="G7" s="82" t="n">
        <f aca="false">IF(OR($A7="",N(E7)=0),"",F7/E7)</f>
        <v>0</v>
      </c>
      <c r="H7" s="47" t="n">
        <f aca="false">IF($A7="","",N(B7)+N(E7))</f>
        <v>34000000</v>
      </c>
      <c r="I7" s="47" t="n">
        <f aca="false">IF($A7="","",N(C7)+N(F7))</f>
        <v>10069342.7</v>
      </c>
      <c r="J7" s="81" t="n">
        <f aca="false">IF($A7="","",SUMIFS(Purchase_Register!$AI$6:$AI$205,Purchase_Register!$C$6:$C$205,$A7))</f>
        <v>4466881.5</v>
      </c>
      <c r="K7" s="103" t="n">
        <f aca="false">IF($A7="","",H7-I7)</f>
        <v>23930657.3</v>
      </c>
      <c r="L7" s="82" t="n">
        <f aca="false">IF(OR($A7="",N(H7)=0),"",I7/H7)</f>
        <v>0.296157138235294</v>
      </c>
      <c r="M7" s="31" t="str">
        <f aca="false">IF($A7="","",IF(N(H7)=0,IF(N(I7)&gt;0,"No Budget - Spending","No Budget"),IF(I7&gt;H7,"Over Budget",IF(I7/H7&gt;=Settings!$B$8,"Watch","Within Budget"))))</f>
        <v>Within Budget</v>
      </c>
      <c r="N7" s="33" t="n">
        <f aca="false">IF($A7="",-ROW(),N(H7)+N(I7)/1000+(1000-ROW())/1000000)</f>
        <v>34010069.343693</v>
      </c>
    </row>
    <row r="8" customFormat="false" ht="15" hidden="false" customHeight="false" outlineLevel="0" collapsed="false">
      <c r="A8" s="79" t="str">
        <f aca="false">IF(Lists!$A$5="","",Lists!$A$5)</f>
        <v>Finishing &amp; Packing</v>
      </c>
      <c r="B8" s="71" t="n">
        <v>14000000</v>
      </c>
      <c r="C8" s="81" t="n">
        <f aca="false">IF($A8="","",SUMIFS(Purchase_Register!$AD$6:$AD$205,Purchase_Register!$C$6:$C$205,$A8,Purchase_Register!$H$6:$H$205,"OPEX",Purchase_Register!$K$6:$K$205,"Approved"))</f>
        <v>934506.3</v>
      </c>
      <c r="D8" s="82" t="n">
        <f aca="false">IF(OR($A8="",N(B8)=0),"",C8/B8)</f>
        <v>0.06675045</v>
      </c>
      <c r="E8" s="71" t="n">
        <v>0</v>
      </c>
      <c r="F8" s="81" t="n">
        <f aca="false">IF($A8="","",SUMIFS(Purchase_Register!$AD$6:$AD$205,Purchase_Register!$C$6:$C$205,$A8,Purchase_Register!$H$6:$H$205,"CAPEX",Purchase_Register!$K$6:$K$205,"Approved"))</f>
        <v>0</v>
      </c>
      <c r="G8" s="82" t="str">
        <f aca="false">IF(OR($A8="",N(E8)=0),"",F8/E8)</f>
        <v/>
      </c>
      <c r="H8" s="47" t="n">
        <f aca="false">IF($A8="","",N(B8)+N(E8))</f>
        <v>14000000</v>
      </c>
      <c r="I8" s="47" t="n">
        <f aca="false">IF($A8="","",N(C8)+N(F8))</f>
        <v>934506.3</v>
      </c>
      <c r="J8" s="81" t="n">
        <f aca="false">IF($A8="","",SUMIFS(Purchase_Register!$AI$6:$AI$205,Purchase_Register!$C$6:$C$205,$A8))</f>
        <v>934506.3</v>
      </c>
      <c r="K8" s="103" t="n">
        <f aca="false">IF($A8="","",H8-I8)</f>
        <v>13065493.7</v>
      </c>
      <c r="L8" s="82" t="n">
        <f aca="false">IF(OR($A8="",N(H8)=0),"",I8/H8)</f>
        <v>0.06675045</v>
      </c>
      <c r="M8" s="31" t="str">
        <f aca="false">IF($A8="","",IF(N(H8)=0,IF(N(I8)&gt;0,"No Budget - Spending","No Budget"),IF(I8&gt;H8,"Over Budget",IF(I8/H8&gt;=Settings!$B$8,"Watch","Within Budget"))))</f>
        <v>Within Budget</v>
      </c>
      <c r="N8" s="33" t="n">
        <f aca="false">IF($A8="",-ROW(),N(H8)+N(I8)/1000+(1000-ROW())/1000000)</f>
        <v>14000934.507292</v>
      </c>
    </row>
    <row r="9" customFormat="false" ht="15" hidden="false" customHeight="false" outlineLevel="0" collapsed="false">
      <c r="A9" s="79" t="str">
        <f aca="false">IF(Lists!$A$6="","",Lists!$A$6)</f>
        <v>Product Development</v>
      </c>
      <c r="B9" s="71" t="n">
        <v>4000000</v>
      </c>
      <c r="C9" s="81" t="n">
        <f aca="false">IF($A9="","",SUMIFS(Purchase_Register!$AD$6:$AD$205,Purchase_Register!$C$6:$C$205,$A9,Purchase_Register!$H$6:$H$205,"OPEX",Purchase_Register!$K$6:$K$205,"Approved"))</f>
        <v>0</v>
      </c>
      <c r="D9" s="82" t="n">
        <f aca="false">IF(OR($A9="",N(B9)=0),"",C9/B9)</f>
        <v>0</v>
      </c>
      <c r="E9" s="71" t="n">
        <v>2000000</v>
      </c>
      <c r="F9" s="81" t="n">
        <f aca="false">IF($A9="","",SUMIFS(Purchase_Register!$AD$6:$AD$205,Purchase_Register!$C$6:$C$205,$A9,Purchase_Register!$H$6:$H$205,"CAPEX",Purchase_Register!$K$6:$K$205,"Approved"))</f>
        <v>0</v>
      </c>
      <c r="G9" s="82" t="n">
        <f aca="false">IF(OR($A9="",N(E9)=0),"",F9/E9)</f>
        <v>0</v>
      </c>
      <c r="H9" s="47" t="n">
        <f aca="false">IF($A9="","",N(B9)+N(E9))</f>
        <v>6000000</v>
      </c>
      <c r="I9" s="47" t="n">
        <f aca="false">IF($A9="","",N(C9)+N(F9))</f>
        <v>0</v>
      </c>
      <c r="J9" s="81" t="n">
        <f aca="false">IF($A9="","",SUMIFS(Purchase_Register!$AI$6:$AI$205,Purchase_Register!$C$6:$C$205,$A9))</f>
        <v>0</v>
      </c>
      <c r="K9" s="103" t="n">
        <f aca="false">IF($A9="","",H9-I9)</f>
        <v>6000000</v>
      </c>
      <c r="L9" s="82" t="n">
        <f aca="false">IF(OR($A9="",N(H9)=0),"",I9/H9)</f>
        <v>0</v>
      </c>
      <c r="M9" s="31" t="str">
        <f aca="false">IF($A9="","",IF(N(H9)=0,IF(N(I9)&gt;0,"No Budget - Spending","No Budget"),IF(I9&gt;H9,"Over Budget",IF(I9/H9&gt;=Settings!$B$8,"Watch","Within Budget"))))</f>
        <v>Within Budget</v>
      </c>
      <c r="N9" s="33" t="n">
        <f aca="false">IF($A9="",-ROW(),N(H9)+N(I9)/1000+(1000-ROW())/1000000)</f>
        <v>6000000.000991</v>
      </c>
    </row>
    <row r="10" customFormat="false" ht="15" hidden="false" customHeight="false" outlineLevel="0" collapsed="false">
      <c r="A10" s="79" t="str">
        <f aca="false">IF(Lists!$A$7="","",Lists!$A$7)</f>
        <v>Maintenance</v>
      </c>
      <c r="B10" s="71" t="n">
        <v>5000000</v>
      </c>
      <c r="C10" s="81" t="n">
        <f aca="false">IF($A10="","",SUMIFS(Purchase_Register!$AD$6:$AD$205,Purchase_Register!$C$6:$C$205,$A10,Purchase_Register!$H$6:$H$205,"OPEX",Purchase_Register!$K$6:$K$205,"Approved"))</f>
        <v>246097.6</v>
      </c>
      <c r="D10" s="82" t="n">
        <f aca="false">IF(OR($A10="",N(B10)=0),"",C10/B10)</f>
        <v>0.04921952</v>
      </c>
      <c r="E10" s="71" t="n">
        <v>5000000</v>
      </c>
      <c r="F10" s="81" t="n">
        <f aca="false">IF($A10="","",SUMIFS(Purchase_Register!$AD$6:$AD$205,Purchase_Register!$C$6:$C$205,$A10,Purchase_Register!$H$6:$H$205,"CAPEX",Purchase_Register!$K$6:$K$205,"Approved"))</f>
        <v>11792225.795</v>
      </c>
      <c r="G10" s="82" t="n">
        <f aca="false">IF(OR($A10="",N(E10)=0),"",F10/E10)</f>
        <v>2.358445159</v>
      </c>
      <c r="H10" s="47" t="n">
        <f aca="false">IF($A10="","",N(B10)+N(E10))</f>
        <v>10000000</v>
      </c>
      <c r="I10" s="47" t="n">
        <f aca="false">IF($A10="","",N(C10)+N(F10))</f>
        <v>12038323.395</v>
      </c>
      <c r="J10" s="81" t="n">
        <f aca="false">IF($A10="","",SUMIFS(Purchase_Register!$AI$6:$AI$205,Purchase_Register!$C$6:$C$205,$A10))</f>
        <v>6905719.04</v>
      </c>
      <c r="K10" s="103" t="n">
        <f aca="false">IF($A10="","",H10-I10)</f>
        <v>-2038323.395</v>
      </c>
      <c r="L10" s="82" t="n">
        <f aca="false">IF(OR($A10="",N(H10)=0),"",I10/H10)</f>
        <v>1.2038323395</v>
      </c>
      <c r="M10" s="31" t="str">
        <f aca="false">IF($A10="","",IF(N(H10)=0,IF(N(I10)&gt;0,"No Budget - Spending","No Budget"),IF(I10&gt;H10,"Over Budget",IF(I10/H10&gt;=Settings!$B$8,"Watch","Within Budget"))))</f>
        <v>Over Budget</v>
      </c>
      <c r="N10" s="33" t="n">
        <f aca="false">IF($A10="",-ROW(),N(H10)+N(I10)/1000+(1000-ROW())/1000000)</f>
        <v>10012038.324385</v>
      </c>
    </row>
    <row r="11" customFormat="false" ht="15" hidden="false" customHeight="false" outlineLevel="0" collapsed="false">
      <c r="A11" s="79" t="str">
        <f aca="false">IF(Lists!$A$8="","",Lists!$A$8)</f>
        <v>Store &amp; Warehouse</v>
      </c>
      <c r="B11" s="71" t="n">
        <v>3000000</v>
      </c>
      <c r="C11" s="81" t="n">
        <f aca="false">IF($A11="","",SUMIFS(Purchase_Register!$AD$6:$AD$205,Purchase_Register!$C$6:$C$205,$A11,Purchase_Register!$H$6:$H$205,"OPEX",Purchase_Register!$K$6:$K$205,"Approved"))</f>
        <v>0</v>
      </c>
      <c r="D11" s="82" t="n">
        <f aca="false">IF(OR($A11="",N(B11)=0),"",C11/B11)</f>
        <v>0</v>
      </c>
      <c r="E11" s="71" t="n">
        <v>0</v>
      </c>
      <c r="F11" s="81" t="n">
        <f aca="false">IF($A11="","",SUMIFS(Purchase_Register!$AD$6:$AD$205,Purchase_Register!$C$6:$C$205,$A11,Purchase_Register!$H$6:$H$205,"CAPEX",Purchase_Register!$K$6:$K$205,"Approved"))</f>
        <v>0</v>
      </c>
      <c r="G11" s="82" t="str">
        <f aca="false">IF(OR($A11="",N(E11)=0),"",F11/E11)</f>
        <v/>
      </c>
      <c r="H11" s="47" t="n">
        <f aca="false">IF($A11="","",N(B11)+N(E11))</f>
        <v>3000000</v>
      </c>
      <c r="I11" s="47" t="n">
        <f aca="false">IF($A11="","",N(C11)+N(F11))</f>
        <v>0</v>
      </c>
      <c r="J11" s="81" t="n">
        <f aca="false">IF($A11="","",SUMIFS(Purchase_Register!$AI$6:$AI$205,Purchase_Register!$C$6:$C$205,$A11))</f>
        <v>0</v>
      </c>
      <c r="K11" s="103" t="n">
        <f aca="false">IF($A11="","",H11-I11)</f>
        <v>3000000</v>
      </c>
      <c r="L11" s="82" t="n">
        <f aca="false">IF(OR($A11="",N(H11)=0),"",I11/H11)</f>
        <v>0</v>
      </c>
      <c r="M11" s="31" t="str">
        <f aca="false">IF($A11="","",IF(N(H11)=0,IF(N(I11)&gt;0,"No Budget - Spending","No Budget"),IF(I11&gt;H11,"Over Budget",IF(I11/H11&gt;=Settings!$B$8,"Watch","Within Budget"))))</f>
        <v>Within Budget</v>
      </c>
      <c r="N11" s="33" t="n">
        <f aca="false">IF($A11="",-ROW(),N(H11)+N(I11)/1000+(1000-ROW())/1000000)</f>
        <v>3000000.000989</v>
      </c>
    </row>
    <row r="12" customFormat="false" ht="15" hidden="false" customHeight="false" outlineLevel="0" collapsed="false">
      <c r="A12" s="79" t="str">
        <f aca="false">IF(Lists!$A$9="","",Lists!$A$9)</f>
        <v>Compliance &amp; HSE</v>
      </c>
      <c r="B12" s="71" t="n">
        <v>2500000</v>
      </c>
      <c r="C12" s="81" t="n">
        <f aca="false">IF($A12="","",SUMIFS(Purchase_Register!$AD$6:$AD$205,Purchase_Register!$C$6:$C$205,$A12,Purchase_Register!$H$6:$H$205,"OPEX",Purchase_Register!$K$6:$K$205,"Approved"))</f>
        <v>618125</v>
      </c>
      <c r="D12" s="82" t="n">
        <f aca="false">IF(OR($A12="",N(B12)=0),"",C12/B12)</f>
        <v>0.24725</v>
      </c>
      <c r="E12" s="71" t="n">
        <v>0</v>
      </c>
      <c r="F12" s="81" t="n">
        <f aca="false">IF($A12="","",SUMIFS(Purchase_Register!$AD$6:$AD$205,Purchase_Register!$C$6:$C$205,$A12,Purchase_Register!$H$6:$H$205,"CAPEX",Purchase_Register!$K$6:$K$205,"Approved"))</f>
        <v>0</v>
      </c>
      <c r="G12" s="82" t="str">
        <f aca="false">IF(OR($A12="",N(E12)=0),"",F12/E12)</f>
        <v/>
      </c>
      <c r="H12" s="47" t="n">
        <f aca="false">IF($A12="","",N(B12)+N(E12))</f>
        <v>2500000</v>
      </c>
      <c r="I12" s="47" t="n">
        <f aca="false">IF($A12="","",N(C12)+N(F12))</f>
        <v>618125</v>
      </c>
      <c r="J12" s="81" t="n">
        <f aca="false">IF($A12="","",SUMIFS(Purchase_Register!$AI$6:$AI$205,Purchase_Register!$C$6:$C$205,$A12))</f>
        <v>365801</v>
      </c>
      <c r="K12" s="103" t="n">
        <f aca="false">IF($A12="","",H12-I12)</f>
        <v>1881875</v>
      </c>
      <c r="L12" s="82" t="n">
        <f aca="false">IF(OR($A12="",N(H12)=0),"",I12/H12)</f>
        <v>0.24725</v>
      </c>
      <c r="M12" s="31" t="str">
        <f aca="false">IF($A12="","",IF(N(H12)=0,IF(N(I12)&gt;0,"No Budget - Spending","No Budget"),IF(I12&gt;H12,"Over Budget",IF(I12/H12&gt;=Settings!$B$8,"Watch","Within Budget"))))</f>
        <v>Within Budget</v>
      </c>
      <c r="N12" s="33" t="n">
        <f aca="false">IF($A12="",-ROW(),N(H12)+N(I12)/1000+(1000-ROW())/1000000)</f>
        <v>2500618.125988</v>
      </c>
    </row>
    <row r="13" customFormat="false" ht="15" hidden="false" customHeight="false" outlineLevel="0" collapsed="false">
      <c r="A13" s="79" t="str">
        <f aca="false">IF(Lists!$A$10="","",Lists!$A$10)</f>
        <v>IT</v>
      </c>
      <c r="B13" s="71" t="n">
        <v>1500000</v>
      </c>
      <c r="C13" s="81" t="n">
        <f aca="false">IF($A13="","",SUMIFS(Purchase_Register!$AD$6:$AD$205,Purchase_Register!$C$6:$C$205,$A13,Purchase_Register!$H$6:$H$205,"OPEX",Purchase_Register!$K$6:$K$205,"Approved"))</f>
        <v>0</v>
      </c>
      <c r="D13" s="82" t="n">
        <f aca="false">IF(OR($A13="",N(B13)=0),"",C13/B13)</f>
        <v>0</v>
      </c>
      <c r="E13" s="71" t="n">
        <v>1500000</v>
      </c>
      <c r="F13" s="81" t="n">
        <f aca="false">IF($A13="","",SUMIFS(Purchase_Register!$AD$6:$AD$205,Purchase_Register!$C$6:$C$205,$A13,Purchase_Register!$H$6:$H$205,"CAPEX",Purchase_Register!$K$6:$K$205,"Approved"))</f>
        <v>761820.15</v>
      </c>
      <c r="G13" s="82" t="n">
        <f aca="false">IF(OR($A13="",N(E13)=0),"",F13/E13)</f>
        <v>0.5078801</v>
      </c>
      <c r="H13" s="47" t="n">
        <f aca="false">IF($A13="","",N(B13)+N(E13))</f>
        <v>3000000</v>
      </c>
      <c r="I13" s="47" t="n">
        <f aca="false">IF($A13="","",N(C13)+N(F13))</f>
        <v>761820.15</v>
      </c>
      <c r="J13" s="81" t="n">
        <f aca="false">IF($A13="","",SUMIFS(Purchase_Register!$AI$6:$AI$205,Purchase_Register!$C$6:$C$205,$A13))</f>
        <v>380910.08</v>
      </c>
      <c r="K13" s="103" t="n">
        <f aca="false">IF($A13="","",H13-I13)</f>
        <v>2238179.85</v>
      </c>
      <c r="L13" s="82" t="n">
        <f aca="false">IF(OR($A13="",N(H13)=0),"",I13/H13)</f>
        <v>0.25394005</v>
      </c>
      <c r="M13" s="31" t="str">
        <f aca="false">IF($A13="","",IF(N(H13)=0,IF(N(I13)&gt;0,"No Budget - Spending","No Budget"),IF(I13&gt;H13,"Over Budget",IF(I13/H13&gt;=Settings!$B$8,"Watch","Within Budget"))))</f>
        <v>Within Budget</v>
      </c>
      <c r="N13" s="33" t="n">
        <f aca="false">IF($A13="",-ROW(),N(H13)+N(I13)/1000+(1000-ROW())/1000000)</f>
        <v>3000761.821137</v>
      </c>
    </row>
    <row r="14" customFormat="false" ht="15" hidden="false" customHeight="false" outlineLevel="0" collapsed="false">
      <c r="A14" s="79" t="str">
        <f aca="false">IF(Lists!$A$11="","",Lists!$A$11)</f>
        <v>Admin</v>
      </c>
      <c r="B14" s="71" t="n">
        <v>2000000</v>
      </c>
      <c r="C14" s="81" t="n">
        <f aca="false">IF($A14="","",SUMIFS(Purchase_Register!$AD$6:$AD$205,Purchase_Register!$C$6:$C$205,$A14,Purchase_Register!$H$6:$H$205,"OPEX",Purchase_Register!$K$6:$K$205,"Approved"))</f>
        <v>0</v>
      </c>
      <c r="D14" s="82" t="n">
        <f aca="false">IF(OR($A14="",N(B14)=0),"",C14/B14)</f>
        <v>0</v>
      </c>
      <c r="E14" s="71" t="n">
        <v>0</v>
      </c>
      <c r="F14" s="81" t="n">
        <f aca="false">IF($A14="","",SUMIFS(Purchase_Register!$AD$6:$AD$205,Purchase_Register!$C$6:$C$205,$A14,Purchase_Register!$H$6:$H$205,"CAPEX",Purchase_Register!$K$6:$K$205,"Approved"))</f>
        <v>0</v>
      </c>
      <c r="G14" s="82" t="str">
        <f aca="false">IF(OR($A14="",N(E14)=0),"",F14/E14)</f>
        <v/>
      </c>
      <c r="H14" s="47" t="n">
        <f aca="false">IF($A14="","",N(B14)+N(E14))</f>
        <v>2000000</v>
      </c>
      <c r="I14" s="47" t="n">
        <f aca="false">IF($A14="","",N(C14)+N(F14))</f>
        <v>0</v>
      </c>
      <c r="J14" s="81" t="n">
        <f aca="false">IF($A14="","",SUMIFS(Purchase_Register!$AI$6:$AI$205,Purchase_Register!$C$6:$C$205,$A14))</f>
        <v>0</v>
      </c>
      <c r="K14" s="103" t="n">
        <f aca="false">IF($A14="","",H14-I14)</f>
        <v>2000000</v>
      </c>
      <c r="L14" s="82" t="n">
        <f aca="false">IF(OR($A14="",N(H14)=0),"",I14/H14)</f>
        <v>0</v>
      </c>
      <c r="M14" s="31" t="str">
        <f aca="false">IF($A14="","",IF(N(H14)=0,IF(N(I14)&gt;0,"No Budget - Spending","No Budget"),IF(I14&gt;H14,"Over Budget",IF(I14/H14&gt;=Settings!$B$8,"Watch","Within Budget"))))</f>
        <v>Within Budget</v>
      </c>
      <c r="N14" s="33" t="n">
        <f aca="false">IF($A14="",-ROW(),N(H14)+N(I14)/1000+(1000-ROW())/1000000)</f>
        <v>2000000.000986</v>
      </c>
    </row>
    <row r="15" customFormat="false" ht="15" hidden="false" customHeight="false" outlineLevel="0" collapsed="false">
      <c r="A15" s="79" t="str">
        <f aca="false">IF(Lists!$A$12="","",Lists!$A$12)</f>
        <v/>
      </c>
      <c r="B15" s="71"/>
      <c r="C15" s="81" t="str">
        <f aca="false">IF($A15="","",SUMIFS(Purchase_Register!$AD$6:$AD$205,Purchase_Register!$C$6:$C$205,$A15,Purchase_Register!$H$6:$H$205,"OPEX",Purchase_Register!$K$6:$K$205,"Approved"))</f>
        <v/>
      </c>
      <c r="D15" s="82" t="str">
        <f aca="false">IF(OR($A15="",N(B15)=0),"",C15/B15)</f>
        <v/>
      </c>
      <c r="E15" s="71"/>
      <c r="F15" s="81" t="str">
        <f aca="false">IF($A15="","",SUMIFS(Purchase_Register!$AD$6:$AD$205,Purchase_Register!$C$6:$C$205,$A15,Purchase_Register!$H$6:$H$205,"CAPEX",Purchase_Register!$K$6:$K$205,"Approved"))</f>
        <v/>
      </c>
      <c r="G15" s="82" t="str">
        <f aca="false">IF(OR($A15="",N(E15)=0),"",F15/E15)</f>
        <v/>
      </c>
      <c r="H15" s="47" t="str">
        <f aca="false">IF($A15="","",N(B15)+N(E15))</f>
        <v/>
      </c>
      <c r="I15" s="47" t="str">
        <f aca="false">IF($A15="","",N(C15)+N(F15))</f>
        <v/>
      </c>
      <c r="J15" s="81" t="str">
        <f aca="false">IF($A15="","",SUMIFS(Purchase_Register!$AI$6:$AI$205,Purchase_Register!$C$6:$C$205,$A15))</f>
        <v/>
      </c>
      <c r="K15" s="103" t="str">
        <f aca="false">IF($A15="","",H15-I15)</f>
        <v/>
      </c>
      <c r="L15" s="82" t="str">
        <f aca="false">IF(OR($A15="",N(H15)=0),"",I15/H15)</f>
        <v/>
      </c>
      <c r="M15" s="31" t="str">
        <f aca="false">IF($A15="","",IF(N(H15)=0,IF(N(I15)&gt;0,"No Budget - Spending","No Budget"),IF(I15&gt;H15,"Over Budget",IF(I15/H15&gt;=Settings!$B$8,"Watch","Within Budget"))))</f>
        <v/>
      </c>
      <c r="N15" s="33" t="n">
        <f aca="false">IF($A15="",-ROW(),N(H15)+N(I15)/1000+(1000-ROW())/1000000)</f>
        <v>-15</v>
      </c>
    </row>
    <row r="16" customFormat="false" ht="15" hidden="false" customHeight="false" outlineLevel="0" collapsed="false">
      <c r="A16" s="79" t="str">
        <f aca="false">IF(Lists!$A$13="","",Lists!$A$13)</f>
        <v/>
      </c>
      <c r="B16" s="71"/>
      <c r="C16" s="81" t="str">
        <f aca="false">IF($A16="","",SUMIFS(Purchase_Register!$AD$6:$AD$205,Purchase_Register!$C$6:$C$205,$A16,Purchase_Register!$H$6:$H$205,"OPEX",Purchase_Register!$K$6:$K$205,"Approved"))</f>
        <v/>
      </c>
      <c r="D16" s="82" t="str">
        <f aca="false">IF(OR($A16="",N(B16)=0),"",C16/B16)</f>
        <v/>
      </c>
      <c r="E16" s="71"/>
      <c r="F16" s="81" t="str">
        <f aca="false">IF($A16="","",SUMIFS(Purchase_Register!$AD$6:$AD$205,Purchase_Register!$C$6:$C$205,$A16,Purchase_Register!$H$6:$H$205,"CAPEX",Purchase_Register!$K$6:$K$205,"Approved"))</f>
        <v/>
      </c>
      <c r="G16" s="82" t="str">
        <f aca="false">IF(OR($A16="",N(E16)=0),"",F16/E16)</f>
        <v/>
      </c>
      <c r="H16" s="47" t="str">
        <f aca="false">IF($A16="","",N(B16)+N(E16))</f>
        <v/>
      </c>
      <c r="I16" s="47" t="str">
        <f aca="false">IF($A16="","",N(C16)+N(F16))</f>
        <v/>
      </c>
      <c r="J16" s="81" t="str">
        <f aca="false">IF($A16="","",SUMIFS(Purchase_Register!$AI$6:$AI$205,Purchase_Register!$C$6:$C$205,$A16))</f>
        <v/>
      </c>
      <c r="K16" s="103" t="str">
        <f aca="false">IF($A16="","",H16-I16)</f>
        <v/>
      </c>
      <c r="L16" s="82" t="str">
        <f aca="false">IF(OR($A16="",N(H16)=0),"",I16/H16)</f>
        <v/>
      </c>
      <c r="M16" s="31" t="str">
        <f aca="false">IF($A16="","",IF(N(H16)=0,IF(N(I16)&gt;0,"No Budget - Spending","No Budget"),IF(I16&gt;H16,"Over Budget",IF(I16/H16&gt;=Settings!$B$8,"Watch","Within Budget"))))</f>
        <v/>
      </c>
      <c r="N16" s="33" t="n">
        <f aca="false">IF($A16="",-ROW(),N(H16)+N(I16)/1000+(1000-ROW())/1000000)</f>
        <v>-16</v>
      </c>
    </row>
    <row r="17" customFormat="false" ht="15" hidden="false" customHeight="false" outlineLevel="0" collapsed="false">
      <c r="A17" s="79" t="str">
        <f aca="false">IF(Lists!$A$14="","",Lists!$A$14)</f>
        <v/>
      </c>
      <c r="B17" s="71"/>
      <c r="C17" s="81" t="str">
        <f aca="false">IF($A17="","",SUMIFS(Purchase_Register!$AD$6:$AD$205,Purchase_Register!$C$6:$C$205,$A17,Purchase_Register!$H$6:$H$205,"OPEX",Purchase_Register!$K$6:$K$205,"Approved"))</f>
        <v/>
      </c>
      <c r="D17" s="82" t="str">
        <f aca="false">IF(OR($A17="",N(B17)=0),"",C17/B17)</f>
        <v/>
      </c>
      <c r="E17" s="71"/>
      <c r="F17" s="81" t="str">
        <f aca="false">IF($A17="","",SUMIFS(Purchase_Register!$AD$6:$AD$205,Purchase_Register!$C$6:$C$205,$A17,Purchase_Register!$H$6:$H$205,"CAPEX",Purchase_Register!$K$6:$K$205,"Approved"))</f>
        <v/>
      </c>
      <c r="G17" s="82" t="str">
        <f aca="false">IF(OR($A17="",N(E17)=0),"",F17/E17)</f>
        <v/>
      </c>
      <c r="H17" s="47" t="str">
        <f aca="false">IF($A17="","",N(B17)+N(E17))</f>
        <v/>
      </c>
      <c r="I17" s="47" t="str">
        <f aca="false">IF($A17="","",N(C17)+N(F17))</f>
        <v/>
      </c>
      <c r="J17" s="81" t="str">
        <f aca="false">IF($A17="","",SUMIFS(Purchase_Register!$AI$6:$AI$205,Purchase_Register!$C$6:$C$205,$A17))</f>
        <v/>
      </c>
      <c r="K17" s="103" t="str">
        <f aca="false">IF($A17="","",H17-I17)</f>
        <v/>
      </c>
      <c r="L17" s="82" t="str">
        <f aca="false">IF(OR($A17="",N(H17)=0),"",I17/H17)</f>
        <v/>
      </c>
      <c r="M17" s="31" t="str">
        <f aca="false">IF($A17="","",IF(N(H17)=0,IF(N(I17)&gt;0,"No Budget - Spending","No Budget"),IF(I17&gt;H17,"Over Budget",IF(I17/H17&gt;=Settings!$B$8,"Watch","Within Budget"))))</f>
        <v/>
      </c>
      <c r="N17" s="33" t="n">
        <f aca="false">IF($A17="",-ROW(),N(H17)+N(I17)/1000+(1000-ROW())/1000000)</f>
        <v>-17</v>
      </c>
    </row>
    <row r="18" customFormat="false" ht="15" hidden="false" customHeight="false" outlineLevel="0" collapsed="false">
      <c r="A18" s="79" t="str">
        <f aca="false">IF(Lists!$A$15="","",Lists!$A$15)</f>
        <v/>
      </c>
      <c r="B18" s="71"/>
      <c r="C18" s="81" t="str">
        <f aca="false">IF($A18="","",SUMIFS(Purchase_Register!$AD$6:$AD$205,Purchase_Register!$C$6:$C$205,$A18,Purchase_Register!$H$6:$H$205,"OPEX",Purchase_Register!$K$6:$K$205,"Approved"))</f>
        <v/>
      </c>
      <c r="D18" s="82" t="str">
        <f aca="false">IF(OR($A18="",N(B18)=0),"",C18/B18)</f>
        <v/>
      </c>
      <c r="E18" s="71"/>
      <c r="F18" s="81" t="str">
        <f aca="false">IF($A18="","",SUMIFS(Purchase_Register!$AD$6:$AD$205,Purchase_Register!$C$6:$C$205,$A18,Purchase_Register!$H$6:$H$205,"CAPEX",Purchase_Register!$K$6:$K$205,"Approved"))</f>
        <v/>
      </c>
      <c r="G18" s="82" t="str">
        <f aca="false">IF(OR($A18="",N(E18)=0),"",F18/E18)</f>
        <v/>
      </c>
      <c r="H18" s="47" t="str">
        <f aca="false">IF($A18="","",N(B18)+N(E18))</f>
        <v/>
      </c>
      <c r="I18" s="47" t="str">
        <f aca="false">IF($A18="","",N(C18)+N(F18))</f>
        <v/>
      </c>
      <c r="J18" s="81" t="str">
        <f aca="false">IF($A18="","",SUMIFS(Purchase_Register!$AI$6:$AI$205,Purchase_Register!$C$6:$C$205,$A18))</f>
        <v/>
      </c>
      <c r="K18" s="103" t="str">
        <f aca="false">IF($A18="","",H18-I18)</f>
        <v/>
      </c>
      <c r="L18" s="82" t="str">
        <f aca="false">IF(OR($A18="",N(H18)=0),"",I18/H18)</f>
        <v/>
      </c>
      <c r="M18" s="31" t="str">
        <f aca="false">IF($A18="","",IF(N(H18)=0,IF(N(I18)&gt;0,"No Budget - Spending","No Budget"),IF(I18&gt;H18,"Over Budget",IF(I18/H18&gt;=Settings!$B$8,"Watch","Within Budget"))))</f>
        <v/>
      </c>
      <c r="N18" s="33" t="n">
        <f aca="false">IF($A18="",-ROW(),N(H18)+N(I18)/1000+(1000-ROW())/1000000)</f>
        <v>-18</v>
      </c>
    </row>
    <row r="19" customFormat="false" ht="15" hidden="false" customHeight="false" outlineLevel="0" collapsed="false">
      <c r="A19" s="79" t="str">
        <f aca="false">IF(Lists!$A$16="","",Lists!$A$16)</f>
        <v/>
      </c>
      <c r="B19" s="71"/>
      <c r="C19" s="81" t="str">
        <f aca="false">IF($A19="","",SUMIFS(Purchase_Register!$AD$6:$AD$205,Purchase_Register!$C$6:$C$205,$A19,Purchase_Register!$H$6:$H$205,"OPEX",Purchase_Register!$K$6:$K$205,"Approved"))</f>
        <v/>
      </c>
      <c r="D19" s="82" t="str">
        <f aca="false">IF(OR($A19="",N(B19)=0),"",C19/B19)</f>
        <v/>
      </c>
      <c r="E19" s="71"/>
      <c r="F19" s="81" t="str">
        <f aca="false">IF($A19="","",SUMIFS(Purchase_Register!$AD$6:$AD$205,Purchase_Register!$C$6:$C$205,$A19,Purchase_Register!$H$6:$H$205,"CAPEX",Purchase_Register!$K$6:$K$205,"Approved"))</f>
        <v/>
      </c>
      <c r="G19" s="82" t="str">
        <f aca="false">IF(OR($A19="",N(E19)=0),"",F19/E19)</f>
        <v/>
      </c>
      <c r="H19" s="47" t="str">
        <f aca="false">IF($A19="","",N(B19)+N(E19))</f>
        <v/>
      </c>
      <c r="I19" s="47" t="str">
        <f aca="false">IF($A19="","",N(C19)+N(F19))</f>
        <v/>
      </c>
      <c r="J19" s="81" t="str">
        <f aca="false">IF($A19="","",SUMIFS(Purchase_Register!$AI$6:$AI$205,Purchase_Register!$C$6:$C$205,$A19))</f>
        <v/>
      </c>
      <c r="K19" s="103" t="str">
        <f aca="false">IF($A19="","",H19-I19)</f>
        <v/>
      </c>
      <c r="L19" s="82" t="str">
        <f aca="false">IF(OR($A19="",N(H19)=0),"",I19/H19)</f>
        <v/>
      </c>
      <c r="M19" s="31" t="str">
        <f aca="false">IF($A19="","",IF(N(H19)=0,IF(N(I19)&gt;0,"No Budget - Spending","No Budget"),IF(I19&gt;H19,"Over Budget",IF(I19/H19&gt;=Settings!$B$8,"Watch","Within Budget"))))</f>
        <v/>
      </c>
      <c r="N19" s="33" t="n">
        <f aca="false">IF($A19="",-ROW(),N(H19)+N(I19)/1000+(1000-ROW())/1000000)</f>
        <v>-19</v>
      </c>
    </row>
    <row r="20" customFormat="false" ht="15" hidden="false" customHeight="false" outlineLevel="0" collapsed="false">
      <c r="A20" s="79" t="str">
        <f aca="false">IF(Lists!$A$17="","",Lists!$A$17)</f>
        <v/>
      </c>
      <c r="B20" s="71"/>
      <c r="C20" s="81" t="str">
        <f aca="false">IF($A20="","",SUMIFS(Purchase_Register!$AD$6:$AD$205,Purchase_Register!$C$6:$C$205,$A20,Purchase_Register!$H$6:$H$205,"OPEX",Purchase_Register!$K$6:$K$205,"Approved"))</f>
        <v/>
      </c>
      <c r="D20" s="82" t="str">
        <f aca="false">IF(OR($A20="",N(B20)=0),"",C20/B20)</f>
        <v/>
      </c>
      <c r="E20" s="71"/>
      <c r="F20" s="81" t="str">
        <f aca="false">IF($A20="","",SUMIFS(Purchase_Register!$AD$6:$AD$205,Purchase_Register!$C$6:$C$205,$A20,Purchase_Register!$H$6:$H$205,"CAPEX",Purchase_Register!$K$6:$K$205,"Approved"))</f>
        <v/>
      </c>
      <c r="G20" s="82" t="str">
        <f aca="false">IF(OR($A20="",N(E20)=0),"",F20/E20)</f>
        <v/>
      </c>
      <c r="H20" s="47" t="str">
        <f aca="false">IF($A20="","",N(B20)+N(E20))</f>
        <v/>
      </c>
      <c r="I20" s="47" t="str">
        <f aca="false">IF($A20="","",N(C20)+N(F20))</f>
        <v/>
      </c>
      <c r="J20" s="81" t="str">
        <f aca="false">IF($A20="","",SUMIFS(Purchase_Register!$AI$6:$AI$205,Purchase_Register!$C$6:$C$205,$A20))</f>
        <v/>
      </c>
      <c r="K20" s="103" t="str">
        <f aca="false">IF($A20="","",H20-I20)</f>
        <v/>
      </c>
      <c r="L20" s="82" t="str">
        <f aca="false">IF(OR($A20="",N(H20)=0),"",I20/H20)</f>
        <v/>
      </c>
      <c r="M20" s="31" t="str">
        <f aca="false">IF($A20="","",IF(N(H20)=0,IF(N(I20)&gt;0,"No Budget - Spending","No Budget"),IF(I20&gt;H20,"Over Budget",IF(I20/H20&gt;=Settings!$B$8,"Watch","Within Budget"))))</f>
        <v/>
      </c>
      <c r="N20" s="33" t="n">
        <f aca="false">IF($A20="",-ROW(),N(H20)+N(I20)/1000+(1000-ROW())/1000000)</f>
        <v>-20</v>
      </c>
    </row>
    <row r="21" customFormat="false" ht="15" hidden="false" customHeight="false" outlineLevel="0" collapsed="false">
      <c r="A21" s="79" t="str">
        <f aca="false">IF(Lists!$A$18="","",Lists!$A$18)</f>
        <v/>
      </c>
      <c r="B21" s="71"/>
      <c r="C21" s="81" t="str">
        <f aca="false">IF($A21="","",SUMIFS(Purchase_Register!$AD$6:$AD$205,Purchase_Register!$C$6:$C$205,$A21,Purchase_Register!$H$6:$H$205,"OPEX",Purchase_Register!$K$6:$K$205,"Approved"))</f>
        <v/>
      </c>
      <c r="D21" s="82" t="str">
        <f aca="false">IF(OR($A21="",N(B21)=0),"",C21/B21)</f>
        <v/>
      </c>
      <c r="E21" s="71"/>
      <c r="F21" s="81" t="str">
        <f aca="false">IF($A21="","",SUMIFS(Purchase_Register!$AD$6:$AD$205,Purchase_Register!$C$6:$C$205,$A21,Purchase_Register!$H$6:$H$205,"CAPEX",Purchase_Register!$K$6:$K$205,"Approved"))</f>
        <v/>
      </c>
      <c r="G21" s="82" t="str">
        <f aca="false">IF(OR($A21="",N(E21)=0),"",F21/E21)</f>
        <v/>
      </c>
      <c r="H21" s="47" t="str">
        <f aca="false">IF($A21="","",N(B21)+N(E21))</f>
        <v/>
      </c>
      <c r="I21" s="47" t="str">
        <f aca="false">IF($A21="","",N(C21)+N(F21))</f>
        <v/>
      </c>
      <c r="J21" s="81" t="str">
        <f aca="false">IF($A21="","",SUMIFS(Purchase_Register!$AI$6:$AI$205,Purchase_Register!$C$6:$C$205,$A21))</f>
        <v/>
      </c>
      <c r="K21" s="103" t="str">
        <f aca="false">IF($A21="","",H21-I21)</f>
        <v/>
      </c>
      <c r="L21" s="82" t="str">
        <f aca="false">IF(OR($A21="",N(H21)=0),"",I21/H21)</f>
        <v/>
      </c>
      <c r="M21" s="31" t="str">
        <f aca="false">IF($A21="","",IF(N(H21)=0,IF(N(I21)&gt;0,"No Budget - Spending","No Budget"),IF(I21&gt;H21,"Over Budget",IF(I21/H21&gt;=Settings!$B$8,"Watch","Within Budget"))))</f>
        <v/>
      </c>
      <c r="N21" s="33" t="n">
        <f aca="false">IF($A21="",-ROW(),N(H21)+N(I21)/1000+(1000-ROW())/1000000)</f>
        <v>-21</v>
      </c>
    </row>
    <row r="22" customFormat="false" ht="15" hidden="false" customHeight="false" outlineLevel="0" collapsed="false">
      <c r="A22" s="79" t="str">
        <f aca="false">IF(Lists!$A$19="","",Lists!$A$19)</f>
        <v/>
      </c>
      <c r="B22" s="71"/>
      <c r="C22" s="81" t="str">
        <f aca="false">IF($A22="","",SUMIFS(Purchase_Register!$AD$6:$AD$205,Purchase_Register!$C$6:$C$205,$A22,Purchase_Register!$H$6:$H$205,"OPEX",Purchase_Register!$K$6:$K$205,"Approved"))</f>
        <v/>
      </c>
      <c r="D22" s="82" t="str">
        <f aca="false">IF(OR($A22="",N(B22)=0),"",C22/B22)</f>
        <v/>
      </c>
      <c r="E22" s="71"/>
      <c r="F22" s="81" t="str">
        <f aca="false">IF($A22="","",SUMIFS(Purchase_Register!$AD$6:$AD$205,Purchase_Register!$C$6:$C$205,$A22,Purchase_Register!$H$6:$H$205,"CAPEX",Purchase_Register!$K$6:$K$205,"Approved"))</f>
        <v/>
      </c>
      <c r="G22" s="82" t="str">
        <f aca="false">IF(OR($A22="",N(E22)=0),"",F22/E22)</f>
        <v/>
      </c>
      <c r="H22" s="47" t="str">
        <f aca="false">IF($A22="","",N(B22)+N(E22))</f>
        <v/>
      </c>
      <c r="I22" s="47" t="str">
        <f aca="false">IF($A22="","",N(C22)+N(F22))</f>
        <v/>
      </c>
      <c r="J22" s="81" t="str">
        <f aca="false">IF($A22="","",SUMIFS(Purchase_Register!$AI$6:$AI$205,Purchase_Register!$C$6:$C$205,$A22))</f>
        <v/>
      </c>
      <c r="K22" s="103" t="str">
        <f aca="false">IF($A22="","",H22-I22)</f>
        <v/>
      </c>
      <c r="L22" s="82" t="str">
        <f aca="false">IF(OR($A22="",N(H22)=0),"",I22/H22)</f>
        <v/>
      </c>
      <c r="M22" s="31" t="str">
        <f aca="false">IF($A22="","",IF(N(H22)=0,IF(N(I22)&gt;0,"No Budget - Spending","No Budget"),IF(I22&gt;H22,"Over Budget",IF(I22/H22&gt;=Settings!$B$8,"Watch","Within Budget"))))</f>
        <v/>
      </c>
      <c r="N22" s="33" t="n">
        <f aca="false">IF($A22="",-ROW(),N(H22)+N(I22)/1000+(1000-ROW())/1000000)</f>
        <v>-22</v>
      </c>
    </row>
    <row r="23" customFormat="false" ht="15" hidden="false" customHeight="false" outlineLevel="0" collapsed="false">
      <c r="A23" s="79" t="str">
        <f aca="false">IF(Lists!$A$20="","",Lists!$A$20)</f>
        <v/>
      </c>
      <c r="B23" s="71"/>
      <c r="C23" s="81" t="str">
        <f aca="false">IF($A23="","",SUMIFS(Purchase_Register!$AD$6:$AD$205,Purchase_Register!$C$6:$C$205,$A23,Purchase_Register!$H$6:$H$205,"OPEX",Purchase_Register!$K$6:$K$205,"Approved"))</f>
        <v/>
      </c>
      <c r="D23" s="82" t="str">
        <f aca="false">IF(OR($A23="",N(B23)=0),"",C23/B23)</f>
        <v/>
      </c>
      <c r="E23" s="71"/>
      <c r="F23" s="81" t="str">
        <f aca="false">IF($A23="","",SUMIFS(Purchase_Register!$AD$6:$AD$205,Purchase_Register!$C$6:$C$205,$A23,Purchase_Register!$H$6:$H$205,"CAPEX",Purchase_Register!$K$6:$K$205,"Approved"))</f>
        <v/>
      </c>
      <c r="G23" s="82" t="str">
        <f aca="false">IF(OR($A23="",N(E23)=0),"",F23/E23)</f>
        <v/>
      </c>
      <c r="H23" s="47" t="str">
        <f aca="false">IF($A23="","",N(B23)+N(E23))</f>
        <v/>
      </c>
      <c r="I23" s="47" t="str">
        <f aca="false">IF($A23="","",N(C23)+N(F23))</f>
        <v/>
      </c>
      <c r="J23" s="81" t="str">
        <f aca="false">IF($A23="","",SUMIFS(Purchase_Register!$AI$6:$AI$205,Purchase_Register!$C$6:$C$205,$A23))</f>
        <v/>
      </c>
      <c r="K23" s="103" t="str">
        <f aca="false">IF($A23="","",H23-I23)</f>
        <v/>
      </c>
      <c r="L23" s="82" t="str">
        <f aca="false">IF(OR($A23="",N(H23)=0),"",I23/H23)</f>
        <v/>
      </c>
      <c r="M23" s="31" t="str">
        <f aca="false">IF($A23="","",IF(N(H23)=0,IF(N(I23)&gt;0,"No Budget - Spending","No Budget"),IF(I23&gt;H23,"Over Budget",IF(I23/H23&gt;=Settings!$B$8,"Watch","Within Budget"))))</f>
        <v/>
      </c>
      <c r="N23" s="33" t="n">
        <f aca="false">IF($A23="",-ROW(),N(H23)+N(I23)/1000+(1000-ROW())/1000000)</f>
        <v>-23</v>
      </c>
    </row>
    <row r="24" customFormat="false" ht="15" hidden="false" customHeight="false" outlineLevel="0" collapsed="false">
      <c r="A24" s="79" t="str">
        <f aca="false">IF(Lists!$A$21="","",Lists!$A$21)</f>
        <v/>
      </c>
      <c r="B24" s="71"/>
      <c r="C24" s="81" t="str">
        <f aca="false">IF($A24="","",SUMIFS(Purchase_Register!$AD$6:$AD$205,Purchase_Register!$C$6:$C$205,$A24,Purchase_Register!$H$6:$H$205,"OPEX",Purchase_Register!$K$6:$K$205,"Approved"))</f>
        <v/>
      </c>
      <c r="D24" s="82" t="str">
        <f aca="false">IF(OR($A24="",N(B24)=0),"",C24/B24)</f>
        <v/>
      </c>
      <c r="E24" s="71"/>
      <c r="F24" s="81" t="str">
        <f aca="false">IF($A24="","",SUMIFS(Purchase_Register!$AD$6:$AD$205,Purchase_Register!$C$6:$C$205,$A24,Purchase_Register!$H$6:$H$205,"CAPEX",Purchase_Register!$K$6:$K$205,"Approved"))</f>
        <v/>
      </c>
      <c r="G24" s="82" t="str">
        <f aca="false">IF(OR($A24="",N(E24)=0),"",F24/E24)</f>
        <v/>
      </c>
      <c r="H24" s="47" t="str">
        <f aca="false">IF($A24="","",N(B24)+N(E24))</f>
        <v/>
      </c>
      <c r="I24" s="47" t="str">
        <f aca="false">IF($A24="","",N(C24)+N(F24))</f>
        <v/>
      </c>
      <c r="J24" s="81" t="str">
        <f aca="false">IF($A24="","",SUMIFS(Purchase_Register!$AI$6:$AI$205,Purchase_Register!$C$6:$C$205,$A24))</f>
        <v/>
      </c>
      <c r="K24" s="103" t="str">
        <f aca="false">IF($A24="","",H24-I24)</f>
        <v/>
      </c>
      <c r="L24" s="82" t="str">
        <f aca="false">IF(OR($A24="",N(H24)=0),"",I24/H24)</f>
        <v/>
      </c>
      <c r="M24" s="31" t="str">
        <f aca="false">IF($A24="","",IF(N(H24)=0,IF(N(I24)&gt;0,"No Budget - Spending","No Budget"),IF(I24&gt;H24,"Over Budget",IF(I24/H24&gt;=Settings!$B$8,"Watch","Within Budget"))))</f>
        <v/>
      </c>
      <c r="N24" s="33" t="n">
        <f aca="false">IF($A24="",-ROW(),N(H24)+N(I24)/1000+(1000-ROW())/1000000)</f>
        <v>-24</v>
      </c>
    </row>
    <row r="25" customFormat="false" ht="15" hidden="false" customHeight="false" outlineLevel="0" collapsed="false">
      <c r="A25" s="85" t="s">
        <v>445</v>
      </c>
      <c r="B25" s="87" t="n">
        <f aca="false">SUM(B5:B24)</f>
        <v>103000000</v>
      </c>
      <c r="C25" s="87" t="n">
        <f aca="false">SUM(C5:C24)</f>
        <v>41134815.25</v>
      </c>
      <c r="D25" s="104" t="n">
        <f aca="false">IF(B25=0,"",C25/B25)</f>
        <v>0.399367138349515</v>
      </c>
      <c r="E25" s="87" t="n">
        <f aca="false">SUM(E5:E24)</f>
        <v>18500000</v>
      </c>
      <c r="F25" s="87" t="n">
        <f aca="false">SUM(F5:F24)</f>
        <v>12554045.945</v>
      </c>
      <c r="G25" s="104" t="n">
        <f aca="false">IF(E25=0,"",F25/E25)</f>
        <v>0.678597078108108</v>
      </c>
      <c r="H25" s="87" t="n">
        <f aca="false">SUM(H5:H24)</f>
        <v>121500000</v>
      </c>
      <c r="I25" s="87" t="n">
        <f aca="false">SUM(I5:I24)</f>
        <v>53688861.195</v>
      </c>
      <c r="J25" s="87" t="n">
        <f aca="false">SUM(J5:J24)</f>
        <v>33847315.95</v>
      </c>
      <c r="K25" s="87" t="n">
        <f aca="false">SUM(K5:K24)</f>
        <v>67811138.805</v>
      </c>
      <c r="L25" s="104" t="n">
        <f aca="false">IF(H25=0,"",I25/H25)</f>
        <v>0.441883631234568</v>
      </c>
      <c r="M25" s="91" t="str">
        <f aca="false">COUNTIF(M5:M24,"Over Budget")&amp;" over / "&amp;COUNTIF(M5:M24,"Watch")&amp;" watch"</f>
        <v>1 over / 1 watch</v>
      </c>
    </row>
    <row r="27" customFormat="false" ht="15" hidden="false" customHeight="false" outlineLevel="0" collapsed="false">
      <c r="A27" s="105" t="s">
        <v>462</v>
      </c>
    </row>
  </sheetData>
  <sheetProtection sheet="true" formatCells="false" formatColumns="false" formatRows="false" sort="false" autoFilter="false"/>
  <conditionalFormatting sqref="D5:D25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{EE418DF9-BE7F-45CF-8C48-5F93B5D71C96}</x14:id>
        </ext>
      </extLst>
    </cfRule>
  </conditionalFormatting>
  <conditionalFormatting sqref="G5:G25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{69F46A65-6F73-4358-8416-5016203DCA92}</x14:id>
        </ext>
      </extLst>
    </cfRule>
  </conditionalFormatting>
  <conditionalFormatting sqref="L5:L25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{1E74F593-61C7-48B0-B055-41B6FADD80B1}</x14:id>
        </ext>
      </extLst>
    </cfRule>
  </conditionalFormatting>
  <conditionalFormatting sqref="M5:M24">
    <cfRule type="expression" priority="5" aboveAverage="0" equalAverage="0" bottom="0" percent="0" rank="0" text="" dxfId="39">
      <formula>$M5="Over Budget"</formula>
    </cfRule>
    <cfRule type="expression" priority="6" aboveAverage="0" equalAverage="0" bottom="0" percent="0" rank="0" text="" dxfId="39">
      <formula>$M5="No Budget - Spending"</formula>
    </cfRule>
    <cfRule type="expression" priority="7" aboveAverage="0" equalAverage="0" bottom="0" percent="0" rank="0" text="" dxfId="12">
      <formula>$M5="Watch"</formula>
    </cfRule>
    <cfRule type="expression" priority="8" aboveAverage="0" equalAverage="0" bottom="0" percent="0" rank="0" text="" dxfId="38">
      <formula>$M5="Within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418DF9-BE7F-45CF-8C48-5F93B5D71C9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D5:D25</xm:sqref>
        </x14:conditionalFormatting>
        <x14:conditionalFormatting xmlns:xm="http://schemas.microsoft.com/office/excel/2006/main">
          <x14:cfRule type="dataBar" id="{69F46A65-6F73-4358-8416-5016203DCA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G5:G25</xm:sqref>
        </x14:conditionalFormatting>
        <x14:conditionalFormatting xmlns:xm="http://schemas.microsoft.com/office/excel/2006/main">
          <x14:cfRule type="dataBar" id="{1E74F593-61C7-48B0-B055-41B6FADD80B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L5:L25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39" t="s">
        <v>463</v>
      </c>
    </row>
    <row r="2" customFormat="false" ht="15" hidden="false" customHeight="false" outlineLevel="0" collapsed="false">
      <c r="A2" s="40" t="s">
        <v>464</v>
      </c>
    </row>
    <row r="4" customFormat="false" ht="31.5" hidden="false" customHeight="true" outlineLevel="0" collapsed="false">
      <c r="A4" s="28" t="s">
        <v>80</v>
      </c>
      <c r="B4" s="28" t="s">
        <v>54</v>
      </c>
      <c r="C4" s="28" t="s">
        <v>56</v>
      </c>
      <c r="D4" s="28" t="s">
        <v>58</v>
      </c>
      <c r="E4" s="28" t="s">
        <v>60</v>
      </c>
      <c r="F4" s="28" t="s">
        <v>62</v>
      </c>
      <c r="G4" s="28" t="s">
        <v>63</v>
      </c>
      <c r="H4" s="28" t="s">
        <v>465</v>
      </c>
      <c r="I4" s="28" t="s">
        <v>466</v>
      </c>
      <c r="J4" s="28" t="s">
        <v>467</v>
      </c>
      <c r="K4" s="28" t="s">
        <v>468</v>
      </c>
    </row>
    <row r="5" customFormat="false" ht="15" hidden="false" customHeight="false" outlineLevel="0" collapsed="false">
      <c r="A5" s="79" t="str">
        <f aca="false">IF(Lists!$J$2="","",Lists!$J$2)</f>
        <v>Savar Leather Works Ltd</v>
      </c>
      <c r="B5" s="81" t="n">
        <f aca="false">IF($A5="","",SUMIFS(Purchase_Register!$AK$6:$AK$205,Purchase_Register!$M$6:$M$205,$A5,Purchase_Register!$AQ$6:$AQ$205,"Not Yet Due"))</f>
        <v>3668848.05</v>
      </c>
      <c r="C5" s="81" t="n">
        <f aca="false">IF($A5="","",SUMIFS(Purchase_Register!$AK$6:$AK$205,Purchase_Register!$M$6:$M$205,$A5,Purchase_Register!$AQ$6:$AQ$205,"1-30 Days"))</f>
        <v>814188.17</v>
      </c>
      <c r="D5" s="81" t="n">
        <f aca="false">IF($A5="","",SUMIFS(Purchase_Register!$AK$6:$AK$205,Purchase_Register!$M$6:$M$205,$A5,Purchase_Register!$AQ$6:$AQ$205,"31-60 Days"))</f>
        <v>0</v>
      </c>
      <c r="E5" s="81" t="n">
        <f aca="false">IF($A5="","",SUMIFS(Purchase_Register!$AK$6:$AK$205,Purchase_Register!$M$6:$M$205,$A5,Purchase_Register!$AQ$6:$AQ$205,"61-90 Days"))</f>
        <v>0</v>
      </c>
      <c r="F5" s="81" t="n">
        <f aca="false">IF($A5="","",SUMIFS(Purchase_Register!$AK$6:$AK$205,Purchase_Register!$M$6:$M$205,$A5,Purchase_Register!$AQ$6:$AQ$205,"90+ Days"))</f>
        <v>0</v>
      </c>
      <c r="G5" s="81" t="n">
        <f aca="false">IF($A5="","",SUMIFS(Purchase_Register!$AK$6:$AK$205,Purchase_Register!$M$6:$M$205,$A5,Purchase_Register!$AQ$6:$AQ$205,"No Due Date"))</f>
        <v>1383379.2</v>
      </c>
      <c r="H5" s="106" t="n">
        <f aca="false">IF($A5="","",SUM(B5:G5))</f>
        <v>5866415.42</v>
      </c>
      <c r="I5" s="47" t="n">
        <f aca="false">IF($A5="","",SUM(C5:F5))</f>
        <v>814188.17</v>
      </c>
      <c r="J5" s="38" t="n">
        <f aca="false">IF(OR($A5="",N(H5)=0),"",I5/H5)</f>
        <v>0.138788018186411</v>
      </c>
      <c r="K5" s="80" t="n">
        <f aca="false">IF($A5="","",IFERROR(_xlfn.MAXIFS(Purchase_Register!$AP$6:$AP$205,Purchase_Register!$M$6:$M$205,$A5),0))</f>
        <v>22</v>
      </c>
    </row>
    <row r="6" customFormat="false" ht="15" hidden="false" customHeight="false" outlineLevel="0" collapsed="false">
      <c r="A6" s="79" t="str">
        <f aca="false">IF(Lists!$J$3="","",Lists!$J$3)</f>
        <v>Bengal Sole Industries</v>
      </c>
      <c r="B6" s="81" t="n">
        <f aca="false">IF($A6="","",SUMIFS(Purchase_Register!$AK$6:$AK$205,Purchase_Register!$M$6:$M$205,$A6,Purchase_Register!$AQ$6:$AQ$205,"Not Yet Due"))</f>
        <v>859320</v>
      </c>
      <c r="C6" s="81" t="n">
        <f aca="false">IF($A6="","",SUMIFS(Purchase_Register!$AK$6:$AK$205,Purchase_Register!$M$6:$M$205,$A6,Purchase_Register!$AQ$6:$AQ$205,"1-30 Days"))</f>
        <v>0</v>
      </c>
      <c r="D6" s="81" t="n">
        <f aca="false">IF($A6="","",SUMIFS(Purchase_Register!$AK$6:$AK$205,Purchase_Register!$M$6:$M$205,$A6,Purchase_Register!$AQ$6:$AQ$205,"31-60 Days"))</f>
        <v>0</v>
      </c>
      <c r="E6" s="81" t="n">
        <f aca="false">IF($A6="","",SUMIFS(Purchase_Register!$AK$6:$AK$205,Purchase_Register!$M$6:$M$205,$A6,Purchase_Register!$AQ$6:$AQ$205,"61-90 Days"))</f>
        <v>1074150</v>
      </c>
      <c r="F6" s="81" t="n">
        <f aca="false">IF($A6="","",SUMIFS(Purchase_Register!$AK$6:$AK$205,Purchase_Register!$M$6:$M$205,$A6,Purchase_Register!$AQ$6:$AQ$205,"90+ Days"))</f>
        <v>0</v>
      </c>
      <c r="G6" s="81" t="n">
        <f aca="false">IF($A6="","",SUMIFS(Purchase_Register!$AK$6:$AK$205,Purchase_Register!$M$6:$M$205,$A6,Purchase_Register!$AQ$6:$AQ$205,"No Due Date"))</f>
        <v>4129230</v>
      </c>
      <c r="H6" s="106" t="n">
        <f aca="false">IF($A6="","",SUM(B6:G6))</f>
        <v>6062700</v>
      </c>
      <c r="I6" s="47" t="n">
        <f aca="false">IF($A6="","",SUM(C6:F6))</f>
        <v>1074150</v>
      </c>
      <c r="J6" s="38" t="n">
        <f aca="false">IF(OR($A6="",N(H6)=0),"",I6/H6)</f>
        <v>0.177173536543124</v>
      </c>
      <c r="K6" s="80" t="n">
        <f aca="false">IF($A6="","",IFERROR(_xlfn.MAXIFS(Purchase_Register!$AP$6:$AP$205,Purchase_Register!$M$6:$M$205,$A6),0))</f>
        <v>71</v>
      </c>
    </row>
    <row r="7" customFormat="false" ht="15" hidden="false" customHeight="false" outlineLevel="0" collapsed="false">
      <c r="A7" s="79" t="str">
        <f aca="false">IF(Lists!$J$4="","",Lists!$J$4)</f>
        <v>Gazipur Chem Trade</v>
      </c>
      <c r="B7" s="81" t="n">
        <f aca="false">IF($A7="","",SUMIFS(Purchase_Register!$AK$6:$AK$205,Purchase_Register!$M$6:$M$205,$A7,Purchase_Register!$AQ$6:$AQ$205,"Not Yet Due"))</f>
        <v>1175835</v>
      </c>
      <c r="C7" s="81" t="n">
        <f aca="false">IF($A7="","",SUMIFS(Purchase_Register!$AK$6:$AK$205,Purchase_Register!$M$6:$M$205,$A7,Purchase_Register!$AQ$6:$AQ$205,"1-30 Days"))</f>
        <v>0</v>
      </c>
      <c r="D7" s="81" t="n">
        <f aca="false">IF($A7="","",SUMIFS(Purchase_Register!$AK$6:$AK$205,Purchase_Register!$M$6:$M$205,$A7,Purchase_Register!$AQ$6:$AQ$205,"31-60 Days"))</f>
        <v>0</v>
      </c>
      <c r="E7" s="81" t="n">
        <f aca="false">IF($A7="","",SUMIFS(Purchase_Register!$AK$6:$AK$205,Purchase_Register!$M$6:$M$205,$A7,Purchase_Register!$AQ$6:$AQ$205,"61-90 Days"))</f>
        <v>0</v>
      </c>
      <c r="F7" s="81" t="n">
        <f aca="false">IF($A7="","",SUMIFS(Purchase_Register!$AK$6:$AK$205,Purchase_Register!$M$6:$M$205,$A7,Purchase_Register!$AQ$6:$AQ$205,"90+ Days"))</f>
        <v>0</v>
      </c>
      <c r="G7" s="81" t="n">
        <f aca="false">IF($A7="","",SUMIFS(Purchase_Register!$AK$6:$AK$205,Purchase_Register!$M$6:$M$205,$A7,Purchase_Register!$AQ$6:$AQ$205,"No Due Date"))</f>
        <v>272512.5</v>
      </c>
      <c r="H7" s="106" t="n">
        <f aca="false">IF($A7="","",SUM(B7:G7))</f>
        <v>1448347.5</v>
      </c>
      <c r="I7" s="47" t="n">
        <f aca="false">IF($A7="","",SUM(C7:F7))</f>
        <v>0</v>
      </c>
      <c r="J7" s="38" t="n">
        <f aca="false">IF(OR($A7="",N(H7)=0),"",I7/H7)</f>
        <v>0</v>
      </c>
      <c r="K7" s="80" t="n">
        <f aca="false">IF($A7="","",IFERROR(_xlfn.MAXIFS(Purchase_Register!$AP$6:$AP$205,Purchase_Register!$M$6:$M$205,$A7),0))</f>
        <v>0</v>
      </c>
    </row>
    <row r="8" customFormat="false" ht="15" hidden="false" customHeight="false" outlineLevel="0" collapsed="false">
      <c r="A8" s="79" t="str">
        <f aca="false">IF(Lists!$J$5="","",Lists!$J$5)</f>
        <v>Chattogram Packaging Ltd</v>
      </c>
      <c r="B8" s="81" t="n">
        <f aca="false">IF($A8="","",SUMIFS(Purchase_Register!$AK$6:$AK$205,Purchase_Register!$M$6:$M$205,$A8,Purchase_Register!$AQ$6:$AQ$205,"Not Yet Due"))</f>
        <v>0</v>
      </c>
      <c r="C8" s="81" t="n">
        <f aca="false">IF($A8="","",SUMIFS(Purchase_Register!$AK$6:$AK$205,Purchase_Register!$M$6:$M$205,$A8,Purchase_Register!$AQ$6:$AQ$205,"1-30 Days"))</f>
        <v>0</v>
      </c>
      <c r="D8" s="81" t="n">
        <f aca="false">IF($A8="","",SUMIFS(Purchase_Register!$AK$6:$AK$205,Purchase_Register!$M$6:$M$205,$A8,Purchase_Register!$AQ$6:$AQ$205,"31-60 Days"))</f>
        <v>0</v>
      </c>
      <c r="E8" s="81" t="n">
        <f aca="false">IF($A8="","",SUMIFS(Purchase_Register!$AK$6:$AK$205,Purchase_Register!$M$6:$M$205,$A8,Purchase_Register!$AQ$6:$AQ$205,"61-90 Days"))</f>
        <v>0</v>
      </c>
      <c r="F8" s="81" t="n">
        <f aca="false">IF($A8="","",SUMIFS(Purchase_Register!$AK$6:$AK$205,Purchase_Register!$M$6:$M$205,$A8,Purchase_Register!$AQ$6:$AQ$205,"90+ Days"))</f>
        <v>0</v>
      </c>
      <c r="G8" s="81" t="n">
        <f aca="false">IF($A8="","",SUMIFS(Purchase_Register!$AK$6:$AK$205,Purchase_Register!$M$6:$M$205,$A8,Purchase_Register!$AQ$6:$AQ$205,"No Due Date"))</f>
        <v>0</v>
      </c>
      <c r="H8" s="106" t="n">
        <f aca="false">IF($A8="","",SUM(B8:G8))</f>
        <v>0</v>
      </c>
      <c r="I8" s="47" t="n">
        <f aca="false">IF($A8="","",SUM(C8:F8))</f>
        <v>0</v>
      </c>
      <c r="J8" s="38" t="str">
        <f aca="false">IF(OR($A8="",N(H8)=0),"",I8/H8)</f>
        <v/>
      </c>
      <c r="K8" s="80" t="n">
        <f aca="false">IF($A8="","",IFERROR(_xlfn.MAXIFS(Purchase_Register!$AP$6:$AP$205,Purchase_Register!$M$6:$M$205,$A8),0))</f>
        <v>0</v>
      </c>
    </row>
    <row r="9" customFormat="false" ht="15" hidden="false" customHeight="false" outlineLevel="0" collapsed="false">
      <c r="A9" s="79" t="str">
        <f aca="false">IF(Lists!$J$6="","",Lists!$J$6)</f>
        <v>Delta Thread &amp; Trims</v>
      </c>
      <c r="B9" s="81" t="n">
        <f aca="false">IF($A9="","",SUMIFS(Purchase_Register!$AK$6:$AK$205,Purchase_Register!$M$6:$M$205,$A9,Purchase_Register!$AQ$6:$AQ$205,"Not Yet Due"))</f>
        <v>193275.6</v>
      </c>
      <c r="C9" s="81" t="n">
        <f aca="false">IF($A9="","",SUMIFS(Purchase_Register!$AK$6:$AK$205,Purchase_Register!$M$6:$M$205,$A9,Purchase_Register!$AQ$6:$AQ$205,"1-30 Days"))</f>
        <v>0</v>
      </c>
      <c r="D9" s="81" t="n">
        <f aca="false">IF($A9="","",SUMIFS(Purchase_Register!$AK$6:$AK$205,Purchase_Register!$M$6:$M$205,$A9,Purchase_Register!$AQ$6:$AQ$205,"31-60 Days"))</f>
        <v>108675</v>
      </c>
      <c r="E9" s="81" t="n">
        <f aca="false">IF($A9="","",SUMIFS(Purchase_Register!$AK$6:$AK$205,Purchase_Register!$M$6:$M$205,$A9,Purchase_Register!$AQ$6:$AQ$205,"61-90 Days"))</f>
        <v>300468</v>
      </c>
      <c r="F9" s="81" t="n">
        <f aca="false">IF($A9="","",SUMIFS(Purchase_Register!$AK$6:$AK$205,Purchase_Register!$M$6:$M$205,$A9,Purchase_Register!$AQ$6:$AQ$205,"90+ Days"))</f>
        <v>0</v>
      </c>
      <c r="G9" s="81" t="n">
        <f aca="false">IF($A9="","",SUMIFS(Purchase_Register!$AK$6:$AK$205,Purchase_Register!$M$6:$M$205,$A9,Purchase_Register!$AQ$6:$AQ$205,"No Due Date"))</f>
        <v>0</v>
      </c>
      <c r="H9" s="106" t="n">
        <f aca="false">IF($A9="","",SUM(B9:G9))</f>
        <v>602418.6</v>
      </c>
      <c r="I9" s="47" t="n">
        <f aca="false">IF($A9="","",SUM(C9:F9))</f>
        <v>409143</v>
      </c>
      <c r="J9" s="38" t="n">
        <f aca="false">IF(OR($A9="",N(H9)=0),"",I9/H9)</f>
        <v>0.679167276707592</v>
      </c>
      <c r="K9" s="80" t="n">
        <f aca="false">IF($A9="","",IFERROR(_xlfn.MAXIFS(Purchase_Register!$AP$6:$AP$205,Purchase_Register!$M$6:$M$205,$A9),0))</f>
        <v>70</v>
      </c>
    </row>
    <row r="10" customFormat="false" ht="15" hidden="false" customHeight="false" outlineLevel="0" collapsed="false">
      <c r="A10" s="79" t="str">
        <f aca="false">IF(Lists!$J$7="","",Lists!$J$7)</f>
        <v>Narayanganj Board Mills</v>
      </c>
      <c r="B10" s="81" t="n">
        <f aca="false">IF($A10="","",SUMIFS(Purchase_Register!$AK$6:$AK$205,Purchase_Register!$M$6:$M$205,$A10,Purchase_Register!$AQ$6:$AQ$205,"Not Yet Due"))</f>
        <v>0</v>
      </c>
      <c r="C10" s="81" t="n">
        <f aca="false">IF($A10="","",SUMIFS(Purchase_Register!$AK$6:$AK$205,Purchase_Register!$M$6:$M$205,$A10,Purchase_Register!$AQ$6:$AQ$205,"1-30 Days"))</f>
        <v>0</v>
      </c>
      <c r="D10" s="81" t="n">
        <f aca="false">IF($A10="","",SUMIFS(Purchase_Register!$AK$6:$AK$205,Purchase_Register!$M$6:$M$205,$A10,Purchase_Register!$AQ$6:$AQ$205,"31-60 Days"))</f>
        <v>352800</v>
      </c>
      <c r="E10" s="81" t="n">
        <f aca="false">IF($A10="","",SUMIFS(Purchase_Register!$AK$6:$AK$205,Purchase_Register!$M$6:$M$205,$A10,Purchase_Register!$AQ$6:$AQ$205,"61-90 Days"))</f>
        <v>0</v>
      </c>
      <c r="F10" s="81" t="n">
        <f aca="false">IF($A10="","",SUMIFS(Purchase_Register!$AK$6:$AK$205,Purchase_Register!$M$6:$M$205,$A10,Purchase_Register!$AQ$6:$AQ$205,"90+ Days"))</f>
        <v>0</v>
      </c>
      <c r="G10" s="81" t="n">
        <f aca="false">IF($A10="","",SUMIFS(Purchase_Register!$AK$6:$AK$205,Purchase_Register!$M$6:$M$205,$A10,Purchase_Register!$AQ$6:$AQ$205,"No Due Date"))</f>
        <v>0</v>
      </c>
      <c r="H10" s="106" t="n">
        <f aca="false">IF($A10="","",SUM(B10:G10))</f>
        <v>352800</v>
      </c>
      <c r="I10" s="47" t="n">
        <f aca="false">IF($A10="","",SUM(C10:F10))</f>
        <v>352800</v>
      </c>
      <c r="J10" s="38" t="n">
        <f aca="false">IF(OR($A10="",N(H10)=0),"",I10/H10)</f>
        <v>1</v>
      </c>
      <c r="K10" s="80" t="n">
        <f aca="false">IF($A10="","",IFERROR(_xlfn.MAXIFS(Purchase_Register!$AP$6:$AP$205,Purchase_Register!$M$6:$M$205,$A10),0))</f>
        <v>31</v>
      </c>
    </row>
    <row r="11" customFormat="false" ht="15" hidden="false" customHeight="false" outlineLevel="0" collapsed="false">
      <c r="A11" s="79" t="str">
        <f aca="false">IF(Lists!$J$8="","",Lists!$J$8)</f>
        <v>Dongguan Sole Tech Co.</v>
      </c>
      <c r="B11" s="81" t="n">
        <f aca="false">IF($A11="","",SUMIFS(Purchase_Register!$AK$6:$AK$205,Purchase_Register!$M$6:$M$205,$A11,Purchase_Register!$AQ$6:$AQ$205,"Not Yet Due"))</f>
        <v>2456367.8</v>
      </c>
      <c r="C11" s="81" t="n">
        <f aca="false">IF($A11="","",SUMIFS(Purchase_Register!$AK$6:$AK$205,Purchase_Register!$M$6:$M$205,$A11,Purchase_Register!$AQ$6:$AQ$205,"1-30 Days"))</f>
        <v>0</v>
      </c>
      <c r="D11" s="81" t="n">
        <f aca="false">IF($A11="","",SUMIFS(Purchase_Register!$AK$6:$AK$205,Purchase_Register!$M$6:$M$205,$A11,Purchase_Register!$AQ$6:$AQ$205,"31-60 Days"))</f>
        <v>0</v>
      </c>
      <c r="E11" s="81" t="n">
        <f aca="false">IF($A11="","",SUMIFS(Purchase_Register!$AK$6:$AK$205,Purchase_Register!$M$6:$M$205,$A11,Purchase_Register!$AQ$6:$AQ$205,"61-90 Days"))</f>
        <v>0</v>
      </c>
      <c r="F11" s="81" t="n">
        <f aca="false">IF($A11="","",SUMIFS(Purchase_Register!$AK$6:$AK$205,Purchase_Register!$M$6:$M$205,$A11,Purchase_Register!$AQ$6:$AQ$205,"90+ Days"))</f>
        <v>0</v>
      </c>
      <c r="G11" s="81" t="n">
        <f aca="false">IF($A11="","",SUMIFS(Purchase_Register!$AK$6:$AK$205,Purchase_Register!$M$6:$M$205,$A11,Purchase_Register!$AQ$6:$AQ$205,"No Due Date"))</f>
        <v>0</v>
      </c>
      <c r="H11" s="106" t="n">
        <f aca="false">IF($A11="","",SUM(B11:G11))</f>
        <v>2456367.8</v>
      </c>
      <c r="I11" s="47" t="n">
        <f aca="false">IF($A11="","",SUM(C11:F11))</f>
        <v>0</v>
      </c>
      <c r="J11" s="38" t="n">
        <f aca="false">IF(OR($A11="",N(H11)=0),"",I11/H11)</f>
        <v>0</v>
      </c>
      <c r="K11" s="80" t="n">
        <f aca="false">IF($A11="","",IFERROR(_xlfn.MAXIFS(Purchase_Register!$AP$6:$AP$205,Purchase_Register!$M$6:$M$205,$A11),0))</f>
        <v>0</v>
      </c>
    </row>
    <row r="12" customFormat="false" ht="15" hidden="false" customHeight="false" outlineLevel="0" collapsed="false">
      <c r="A12" s="79" t="str">
        <f aca="false">IF(Lists!$J$9="","",Lists!$J$9)</f>
        <v>Jiangsu Footwear Machinery Co.</v>
      </c>
      <c r="B12" s="81" t="n">
        <f aca="false">IF($A12="","",SUMIFS(Purchase_Register!$AK$6:$AK$205,Purchase_Register!$M$6:$M$205,$A12,Purchase_Register!$AQ$6:$AQ$205,"Not Yet Due"))</f>
        <v>5092356.36</v>
      </c>
      <c r="C12" s="81" t="n">
        <f aca="false">IF($A12="","",SUMIFS(Purchase_Register!$AK$6:$AK$205,Purchase_Register!$M$6:$M$205,$A12,Purchase_Register!$AQ$6:$AQ$205,"1-30 Days"))</f>
        <v>0</v>
      </c>
      <c r="D12" s="81" t="n">
        <f aca="false">IF($A12="","",SUMIFS(Purchase_Register!$AK$6:$AK$205,Purchase_Register!$M$6:$M$205,$A12,Purchase_Register!$AQ$6:$AQ$205,"31-60 Days"))</f>
        <v>0</v>
      </c>
      <c r="E12" s="81" t="n">
        <f aca="false">IF($A12="","",SUMIFS(Purchase_Register!$AK$6:$AK$205,Purchase_Register!$M$6:$M$205,$A12,Purchase_Register!$AQ$6:$AQ$205,"61-90 Days"))</f>
        <v>0</v>
      </c>
      <c r="F12" s="81" t="n">
        <f aca="false">IF($A12="","",SUMIFS(Purchase_Register!$AK$6:$AK$205,Purchase_Register!$M$6:$M$205,$A12,Purchase_Register!$AQ$6:$AQ$205,"90+ Days"))</f>
        <v>0</v>
      </c>
      <c r="G12" s="81" t="n">
        <f aca="false">IF($A12="","",SUMIFS(Purchase_Register!$AK$6:$AK$205,Purchase_Register!$M$6:$M$205,$A12,Purchase_Register!$AQ$6:$AQ$205,"No Due Date"))</f>
        <v>0</v>
      </c>
      <c r="H12" s="106" t="n">
        <f aca="false">IF($A12="","",SUM(B12:G12))</f>
        <v>5092356.36</v>
      </c>
      <c r="I12" s="47" t="n">
        <f aca="false">IF($A12="","",SUM(C12:F12))</f>
        <v>0</v>
      </c>
      <c r="J12" s="38" t="n">
        <f aca="false">IF(OR($A12="",N(H12)=0),"",I12/H12)</f>
        <v>0</v>
      </c>
      <c r="K12" s="80" t="n">
        <f aca="false">IF($A12="","",IFERROR(_xlfn.MAXIFS(Purchase_Register!$AP$6:$AP$205,Purchase_Register!$M$6:$M$205,$A12),0))</f>
        <v>0</v>
      </c>
    </row>
    <row r="13" customFormat="false" ht="15" hidden="false" customHeight="false" outlineLevel="0" collapsed="false">
      <c r="A13" s="79" t="str">
        <f aca="false">IF(Lists!$J$10="","",Lists!$J$10)</f>
        <v>Dhaka Spares &amp; Tools</v>
      </c>
      <c r="B13" s="81" t="n">
        <f aca="false">IF($A13="","",SUMIFS(Purchase_Register!$AK$6:$AK$205,Purchase_Register!$M$6:$M$205,$A13,Purchase_Register!$AQ$6:$AQ$205,"Not Yet Due"))</f>
        <v>0</v>
      </c>
      <c r="C13" s="81" t="n">
        <f aca="false">IF($A13="","",SUMIFS(Purchase_Register!$AK$6:$AK$205,Purchase_Register!$M$6:$M$205,$A13,Purchase_Register!$AQ$6:$AQ$205,"1-30 Days"))</f>
        <v>185179.5</v>
      </c>
      <c r="D13" s="81" t="n">
        <f aca="false">IF($A13="","",SUMIFS(Purchase_Register!$AK$6:$AK$205,Purchase_Register!$M$6:$M$205,$A13,Purchase_Register!$AQ$6:$AQ$205,"31-60 Days"))</f>
        <v>107392.5</v>
      </c>
      <c r="E13" s="81" t="n">
        <f aca="false">IF($A13="","",SUMIFS(Purchase_Register!$AK$6:$AK$205,Purchase_Register!$M$6:$M$205,$A13,Purchase_Register!$AQ$6:$AQ$205,"61-90 Days"))</f>
        <v>0</v>
      </c>
      <c r="F13" s="81" t="n">
        <f aca="false">IF($A13="","",SUMIFS(Purchase_Register!$AK$6:$AK$205,Purchase_Register!$M$6:$M$205,$A13,Purchase_Register!$AQ$6:$AQ$205,"90+ Days"))</f>
        <v>0</v>
      </c>
      <c r="G13" s="81" t="n">
        <f aca="false">IF($A13="","",SUMIFS(Purchase_Register!$AK$6:$AK$205,Purchase_Register!$M$6:$M$205,$A13,Purchase_Register!$AQ$6:$AQ$205,"No Due Date"))</f>
        <v>116796.6</v>
      </c>
      <c r="H13" s="106" t="n">
        <f aca="false">IF($A13="","",SUM(B13:G13))</f>
        <v>409368.6</v>
      </c>
      <c r="I13" s="47" t="n">
        <f aca="false">IF($A13="","",SUM(C13:F13))</f>
        <v>292572</v>
      </c>
      <c r="J13" s="38" t="n">
        <f aca="false">IF(OR($A13="",N(H13)=0),"",I13/H13)</f>
        <v>0.714690867838911</v>
      </c>
      <c r="K13" s="80" t="n">
        <f aca="false">IF($A13="","",IFERROR(_xlfn.MAXIFS(Purchase_Register!$AP$6:$AP$205,Purchase_Register!$M$6:$M$205,$A13),0))</f>
        <v>36</v>
      </c>
    </row>
    <row r="14" customFormat="false" ht="15" hidden="false" customHeight="false" outlineLevel="0" collapsed="false">
      <c r="A14" s="79" t="str">
        <f aca="false">IF(Lists!$J$11="","",Lists!$J$11)</f>
        <v>Tech Point BD</v>
      </c>
      <c r="B14" s="81" t="n">
        <f aca="false">IF($A14="","",SUMIFS(Purchase_Register!$AK$6:$AK$205,Purchase_Register!$M$6:$M$205,$A14,Purchase_Register!$AQ$6:$AQ$205,"Not Yet Due"))</f>
        <v>0</v>
      </c>
      <c r="C14" s="81" t="n">
        <f aca="false">IF($A14="","",SUMIFS(Purchase_Register!$AK$6:$AK$205,Purchase_Register!$M$6:$M$205,$A14,Purchase_Register!$AQ$6:$AQ$205,"1-30 Days"))</f>
        <v>380910.07</v>
      </c>
      <c r="D14" s="81" t="n">
        <f aca="false">IF($A14="","",SUMIFS(Purchase_Register!$AK$6:$AK$205,Purchase_Register!$M$6:$M$205,$A14,Purchase_Register!$AQ$6:$AQ$205,"31-60 Days"))</f>
        <v>0</v>
      </c>
      <c r="E14" s="81" t="n">
        <f aca="false">IF($A14="","",SUMIFS(Purchase_Register!$AK$6:$AK$205,Purchase_Register!$M$6:$M$205,$A14,Purchase_Register!$AQ$6:$AQ$205,"61-90 Days"))</f>
        <v>0</v>
      </c>
      <c r="F14" s="81" t="n">
        <f aca="false">IF($A14="","",SUMIFS(Purchase_Register!$AK$6:$AK$205,Purchase_Register!$M$6:$M$205,$A14,Purchase_Register!$AQ$6:$AQ$205,"90+ Days"))</f>
        <v>0</v>
      </c>
      <c r="G14" s="81" t="n">
        <f aca="false">IF($A14="","",SUMIFS(Purchase_Register!$AK$6:$AK$205,Purchase_Register!$M$6:$M$205,$A14,Purchase_Register!$AQ$6:$AQ$205,"No Due Date"))</f>
        <v>0</v>
      </c>
      <c r="H14" s="106" t="n">
        <f aca="false">IF($A14="","",SUM(B14:G14))</f>
        <v>380910.07</v>
      </c>
      <c r="I14" s="47" t="n">
        <f aca="false">IF($A14="","",SUM(C14:F14))</f>
        <v>380910.07</v>
      </c>
      <c r="J14" s="38" t="n">
        <f aca="false">IF(OR($A14="",N(H14)=0),"",I14/H14)</f>
        <v>1</v>
      </c>
      <c r="K14" s="80" t="n">
        <f aca="false">IF($A14="","",IFERROR(_xlfn.MAXIFS(Purchase_Register!$AP$6:$AP$205,Purchase_Register!$M$6:$M$205,$A14),0))</f>
        <v>19</v>
      </c>
    </row>
    <row r="15" customFormat="false" ht="15" hidden="false" customHeight="false" outlineLevel="0" collapsed="false">
      <c r="A15" s="79" t="str">
        <f aca="false">IF(Lists!$J$12="","",Lists!$J$12)</f>
        <v/>
      </c>
      <c r="B15" s="81" t="str">
        <f aca="false">IF($A15="","",SUMIFS(Purchase_Register!$AK$6:$AK$205,Purchase_Register!$M$6:$M$205,$A15,Purchase_Register!$AQ$6:$AQ$205,"Not Yet Due"))</f>
        <v/>
      </c>
      <c r="C15" s="81" t="str">
        <f aca="false">IF($A15="","",SUMIFS(Purchase_Register!$AK$6:$AK$205,Purchase_Register!$M$6:$M$205,$A15,Purchase_Register!$AQ$6:$AQ$205,"1-30 Days"))</f>
        <v/>
      </c>
      <c r="D15" s="81" t="str">
        <f aca="false">IF($A15="","",SUMIFS(Purchase_Register!$AK$6:$AK$205,Purchase_Register!$M$6:$M$205,$A15,Purchase_Register!$AQ$6:$AQ$205,"31-60 Days"))</f>
        <v/>
      </c>
      <c r="E15" s="81" t="str">
        <f aca="false">IF($A15="","",SUMIFS(Purchase_Register!$AK$6:$AK$205,Purchase_Register!$M$6:$M$205,$A15,Purchase_Register!$AQ$6:$AQ$205,"61-90 Days"))</f>
        <v/>
      </c>
      <c r="F15" s="81" t="str">
        <f aca="false">IF($A15="","",SUMIFS(Purchase_Register!$AK$6:$AK$205,Purchase_Register!$M$6:$M$205,$A15,Purchase_Register!$AQ$6:$AQ$205,"90+ Days"))</f>
        <v/>
      </c>
      <c r="G15" s="81" t="str">
        <f aca="false">IF($A15="","",SUMIFS(Purchase_Register!$AK$6:$AK$205,Purchase_Register!$M$6:$M$205,$A15,Purchase_Register!$AQ$6:$AQ$205,"No Due Date"))</f>
        <v/>
      </c>
      <c r="H15" s="106" t="str">
        <f aca="false">IF($A15="","",SUM(B15:G15))</f>
        <v/>
      </c>
      <c r="I15" s="47" t="str">
        <f aca="false">IF($A15="","",SUM(C15:F15))</f>
        <v/>
      </c>
      <c r="J15" s="38" t="str">
        <f aca="false">IF(OR($A15="",N(H15)=0),"",I15/H15)</f>
        <v/>
      </c>
      <c r="K15" s="80" t="str">
        <f aca="false">IF($A15="","",IFERROR(_xlfn.MAXIFS(Purchase_Register!$AP$6:$AP$205,Purchase_Register!$M$6:$M$205,$A15),0))</f>
        <v/>
      </c>
    </row>
    <row r="16" customFormat="false" ht="15" hidden="false" customHeight="false" outlineLevel="0" collapsed="false">
      <c r="A16" s="79" t="str">
        <f aca="false">IF(Lists!$J$13="","",Lists!$J$13)</f>
        <v/>
      </c>
      <c r="B16" s="81" t="str">
        <f aca="false">IF($A16="","",SUMIFS(Purchase_Register!$AK$6:$AK$205,Purchase_Register!$M$6:$M$205,$A16,Purchase_Register!$AQ$6:$AQ$205,"Not Yet Due"))</f>
        <v/>
      </c>
      <c r="C16" s="81" t="str">
        <f aca="false">IF($A16="","",SUMIFS(Purchase_Register!$AK$6:$AK$205,Purchase_Register!$M$6:$M$205,$A16,Purchase_Register!$AQ$6:$AQ$205,"1-30 Days"))</f>
        <v/>
      </c>
      <c r="D16" s="81" t="str">
        <f aca="false">IF($A16="","",SUMIFS(Purchase_Register!$AK$6:$AK$205,Purchase_Register!$M$6:$M$205,$A16,Purchase_Register!$AQ$6:$AQ$205,"31-60 Days"))</f>
        <v/>
      </c>
      <c r="E16" s="81" t="str">
        <f aca="false">IF($A16="","",SUMIFS(Purchase_Register!$AK$6:$AK$205,Purchase_Register!$M$6:$M$205,$A16,Purchase_Register!$AQ$6:$AQ$205,"61-90 Days"))</f>
        <v/>
      </c>
      <c r="F16" s="81" t="str">
        <f aca="false">IF($A16="","",SUMIFS(Purchase_Register!$AK$6:$AK$205,Purchase_Register!$M$6:$M$205,$A16,Purchase_Register!$AQ$6:$AQ$205,"90+ Days"))</f>
        <v/>
      </c>
      <c r="G16" s="81" t="str">
        <f aca="false">IF($A16="","",SUMIFS(Purchase_Register!$AK$6:$AK$205,Purchase_Register!$M$6:$M$205,$A16,Purchase_Register!$AQ$6:$AQ$205,"No Due Date"))</f>
        <v/>
      </c>
      <c r="H16" s="106" t="str">
        <f aca="false">IF($A16="","",SUM(B16:G16))</f>
        <v/>
      </c>
      <c r="I16" s="47" t="str">
        <f aca="false">IF($A16="","",SUM(C16:F16))</f>
        <v/>
      </c>
      <c r="J16" s="38" t="str">
        <f aca="false">IF(OR($A16="",N(H16)=0),"",I16/H16)</f>
        <v/>
      </c>
      <c r="K16" s="80" t="str">
        <f aca="false">IF($A16="","",IFERROR(_xlfn.MAXIFS(Purchase_Register!$AP$6:$AP$205,Purchase_Register!$M$6:$M$205,$A16),0))</f>
        <v/>
      </c>
    </row>
    <row r="17" customFormat="false" ht="15" hidden="false" customHeight="false" outlineLevel="0" collapsed="false">
      <c r="A17" s="79" t="str">
        <f aca="false">IF(Lists!$J$14="","",Lists!$J$14)</f>
        <v/>
      </c>
      <c r="B17" s="81" t="str">
        <f aca="false">IF($A17="","",SUMIFS(Purchase_Register!$AK$6:$AK$205,Purchase_Register!$M$6:$M$205,$A17,Purchase_Register!$AQ$6:$AQ$205,"Not Yet Due"))</f>
        <v/>
      </c>
      <c r="C17" s="81" t="str">
        <f aca="false">IF($A17="","",SUMIFS(Purchase_Register!$AK$6:$AK$205,Purchase_Register!$M$6:$M$205,$A17,Purchase_Register!$AQ$6:$AQ$205,"1-30 Days"))</f>
        <v/>
      </c>
      <c r="D17" s="81" t="str">
        <f aca="false">IF($A17="","",SUMIFS(Purchase_Register!$AK$6:$AK$205,Purchase_Register!$M$6:$M$205,$A17,Purchase_Register!$AQ$6:$AQ$205,"31-60 Days"))</f>
        <v/>
      </c>
      <c r="E17" s="81" t="str">
        <f aca="false">IF($A17="","",SUMIFS(Purchase_Register!$AK$6:$AK$205,Purchase_Register!$M$6:$M$205,$A17,Purchase_Register!$AQ$6:$AQ$205,"61-90 Days"))</f>
        <v/>
      </c>
      <c r="F17" s="81" t="str">
        <f aca="false">IF($A17="","",SUMIFS(Purchase_Register!$AK$6:$AK$205,Purchase_Register!$M$6:$M$205,$A17,Purchase_Register!$AQ$6:$AQ$205,"90+ Days"))</f>
        <v/>
      </c>
      <c r="G17" s="81" t="str">
        <f aca="false">IF($A17="","",SUMIFS(Purchase_Register!$AK$6:$AK$205,Purchase_Register!$M$6:$M$205,$A17,Purchase_Register!$AQ$6:$AQ$205,"No Due Date"))</f>
        <v/>
      </c>
      <c r="H17" s="106" t="str">
        <f aca="false">IF($A17="","",SUM(B17:G17))</f>
        <v/>
      </c>
      <c r="I17" s="47" t="str">
        <f aca="false">IF($A17="","",SUM(C17:F17))</f>
        <v/>
      </c>
      <c r="J17" s="38" t="str">
        <f aca="false">IF(OR($A17="",N(H17)=0),"",I17/H17)</f>
        <v/>
      </c>
      <c r="K17" s="80" t="str">
        <f aca="false">IF($A17="","",IFERROR(_xlfn.MAXIFS(Purchase_Register!$AP$6:$AP$205,Purchase_Register!$M$6:$M$205,$A17),0))</f>
        <v/>
      </c>
    </row>
    <row r="18" customFormat="false" ht="15" hidden="false" customHeight="false" outlineLevel="0" collapsed="false">
      <c r="A18" s="79" t="str">
        <f aca="false">IF(Lists!$J$15="","",Lists!$J$15)</f>
        <v/>
      </c>
      <c r="B18" s="81" t="str">
        <f aca="false">IF($A18="","",SUMIFS(Purchase_Register!$AK$6:$AK$205,Purchase_Register!$M$6:$M$205,$A18,Purchase_Register!$AQ$6:$AQ$205,"Not Yet Due"))</f>
        <v/>
      </c>
      <c r="C18" s="81" t="str">
        <f aca="false">IF($A18="","",SUMIFS(Purchase_Register!$AK$6:$AK$205,Purchase_Register!$M$6:$M$205,$A18,Purchase_Register!$AQ$6:$AQ$205,"1-30 Days"))</f>
        <v/>
      </c>
      <c r="D18" s="81" t="str">
        <f aca="false">IF($A18="","",SUMIFS(Purchase_Register!$AK$6:$AK$205,Purchase_Register!$M$6:$M$205,$A18,Purchase_Register!$AQ$6:$AQ$205,"31-60 Days"))</f>
        <v/>
      </c>
      <c r="E18" s="81" t="str">
        <f aca="false">IF($A18="","",SUMIFS(Purchase_Register!$AK$6:$AK$205,Purchase_Register!$M$6:$M$205,$A18,Purchase_Register!$AQ$6:$AQ$205,"61-90 Days"))</f>
        <v/>
      </c>
      <c r="F18" s="81" t="str">
        <f aca="false">IF($A18="","",SUMIFS(Purchase_Register!$AK$6:$AK$205,Purchase_Register!$M$6:$M$205,$A18,Purchase_Register!$AQ$6:$AQ$205,"90+ Days"))</f>
        <v/>
      </c>
      <c r="G18" s="81" t="str">
        <f aca="false">IF($A18="","",SUMIFS(Purchase_Register!$AK$6:$AK$205,Purchase_Register!$M$6:$M$205,$A18,Purchase_Register!$AQ$6:$AQ$205,"No Due Date"))</f>
        <v/>
      </c>
      <c r="H18" s="106" t="str">
        <f aca="false">IF($A18="","",SUM(B18:G18))</f>
        <v/>
      </c>
      <c r="I18" s="47" t="str">
        <f aca="false">IF($A18="","",SUM(C18:F18))</f>
        <v/>
      </c>
      <c r="J18" s="38" t="str">
        <f aca="false">IF(OR($A18="",N(H18)=0),"",I18/H18)</f>
        <v/>
      </c>
      <c r="K18" s="80" t="str">
        <f aca="false">IF($A18="","",IFERROR(_xlfn.MAXIFS(Purchase_Register!$AP$6:$AP$205,Purchase_Register!$M$6:$M$205,$A18),0))</f>
        <v/>
      </c>
    </row>
    <row r="19" customFormat="false" ht="15" hidden="false" customHeight="false" outlineLevel="0" collapsed="false">
      <c r="A19" s="79" t="str">
        <f aca="false">IF(Lists!$J$16="","",Lists!$J$16)</f>
        <v/>
      </c>
      <c r="B19" s="81" t="str">
        <f aca="false">IF($A19="","",SUMIFS(Purchase_Register!$AK$6:$AK$205,Purchase_Register!$M$6:$M$205,$A19,Purchase_Register!$AQ$6:$AQ$205,"Not Yet Due"))</f>
        <v/>
      </c>
      <c r="C19" s="81" t="str">
        <f aca="false">IF($A19="","",SUMIFS(Purchase_Register!$AK$6:$AK$205,Purchase_Register!$M$6:$M$205,$A19,Purchase_Register!$AQ$6:$AQ$205,"1-30 Days"))</f>
        <v/>
      </c>
      <c r="D19" s="81" t="str">
        <f aca="false">IF($A19="","",SUMIFS(Purchase_Register!$AK$6:$AK$205,Purchase_Register!$M$6:$M$205,$A19,Purchase_Register!$AQ$6:$AQ$205,"31-60 Days"))</f>
        <v/>
      </c>
      <c r="E19" s="81" t="str">
        <f aca="false">IF($A19="","",SUMIFS(Purchase_Register!$AK$6:$AK$205,Purchase_Register!$M$6:$M$205,$A19,Purchase_Register!$AQ$6:$AQ$205,"61-90 Days"))</f>
        <v/>
      </c>
      <c r="F19" s="81" t="str">
        <f aca="false">IF($A19="","",SUMIFS(Purchase_Register!$AK$6:$AK$205,Purchase_Register!$M$6:$M$205,$A19,Purchase_Register!$AQ$6:$AQ$205,"90+ Days"))</f>
        <v/>
      </c>
      <c r="G19" s="81" t="str">
        <f aca="false">IF($A19="","",SUMIFS(Purchase_Register!$AK$6:$AK$205,Purchase_Register!$M$6:$M$205,$A19,Purchase_Register!$AQ$6:$AQ$205,"No Due Date"))</f>
        <v/>
      </c>
      <c r="H19" s="106" t="str">
        <f aca="false">IF($A19="","",SUM(B19:G19))</f>
        <v/>
      </c>
      <c r="I19" s="47" t="str">
        <f aca="false">IF($A19="","",SUM(C19:F19))</f>
        <v/>
      </c>
      <c r="J19" s="38" t="str">
        <f aca="false">IF(OR($A19="",N(H19)=0),"",I19/H19)</f>
        <v/>
      </c>
      <c r="K19" s="80" t="str">
        <f aca="false">IF($A19="","",IFERROR(_xlfn.MAXIFS(Purchase_Register!$AP$6:$AP$205,Purchase_Register!$M$6:$M$205,$A19),0))</f>
        <v/>
      </c>
    </row>
    <row r="20" customFormat="false" ht="15" hidden="false" customHeight="false" outlineLevel="0" collapsed="false">
      <c r="A20" s="79" t="str">
        <f aca="false">IF(Lists!$J$17="","",Lists!$J$17)</f>
        <v/>
      </c>
      <c r="B20" s="81" t="str">
        <f aca="false">IF($A20="","",SUMIFS(Purchase_Register!$AK$6:$AK$205,Purchase_Register!$M$6:$M$205,$A20,Purchase_Register!$AQ$6:$AQ$205,"Not Yet Due"))</f>
        <v/>
      </c>
      <c r="C20" s="81" t="str">
        <f aca="false">IF($A20="","",SUMIFS(Purchase_Register!$AK$6:$AK$205,Purchase_Register!$M$6:$M$205,$A20,Purchase_Register!$AQ$6:$AQ$205,"1-30 Days"))</f>
        <v/>
      </c>
      <c r="D20" s="81" t="str">
        <f aca="false">IF($A20="","",SUMIFS(Purchase_Register!$AK$6:$AK$205,Purchase_Register!$M$6:$M$205,$A20,Purchase_Register!$AQ$6:$AQ$205,"31-60 Days"))</f>
        <v/>
      </c>
      <c r="E20" s="81" t="str">
        <f aca="false">IF($A20="","",SUMIFS(Purchase_Register!$AK$6:$AK$205,Purchase_Register!$M$6:$M$205,$A20,Purchase_Register!$AQ$6:$AQ$205,"61-90 Days"))</f>
        <v/>
      </c>
      <c r="F20" s="81" t="str">
        <f aca="false">IF($A20="","",SUMIFS(Purchase_Register!$AK$6:$AK$205,Purchase_Register!$M$6:$M$205,$A20,Purchase_Register!$AQ$6:$AQ$205,"90+ Days"))</f>
        <v/>
      </c>
      <c r="G20" s="81" t="str">
        <f aca="false">IF($A20="","",SUMIFS(Purchase_Register!$AK$6:$AK$205,Purchase_Register!$M$6:$M$205,$A20,Purchase_Register!$AQ$6:$AQ$205,"No Due Date"))</f>
        <v/>
      </c>
      <c r="H20" s="106" t="str">
        <f aca="false">IF($A20="","",SUM(B20:G20))</f>
        <v/>
      </c>
      <c r="I20" s="47" t="str">
        <f aca="false">IF($A20="","",SUM(C20:F20))</f>
        <v/>
      </c>
      <c r="J20" s="38" t="str">
        <f aca="false">IF(OR($A20="",N(H20)=0),"",I20/H20)</f>
        <v/>
      </c>
      <c r="K20" s="80" t="str">
        <f aca="false">IF($A20="","",IFERROR(_xlfn.MAXIFS(Purchase_Register!$AP$6:$AP$205,Purchase_Register!$M$6:$M$205,$A20),0))</f>
        <v/>
      </c>
    </row>
    <row r="21" customFormat="false" ht="15" hidden="false" customHeight="false" outlineLevel="0" collapsed="false">
      <c r="A21" s="79" t="str">
        <f aca="false">IF(Lists!$J$18="","",Lists!$J$18)</f>
        <v/>
      </c>
      <c r="B21" s="81" t="str">
        <f aca="false">IF($A21="","",SUMIFS(Purchase_Register!$AK$6:$AK$205,Purchase_Register!$M$6:$M$205,$A21,Purchase_Register!$AQ$6:$AQ$205,"Not Yet Due"))</f>
        <v/>
      </c>
      <c r="C21" s="81" t="str">
        <f aca="false">IF($A21="","",SUMIFS(Purchase_Register!$AK$6:$AK$205,Purchase_Register!$M$6:$M$205,$A21,Purchase_Register!$AQ$6:$AQ$205,"1-30 Days"))</f>
        <v/>
      </c>
      <c r="D21" s="81" t="str">
        <f aca="false">IF($A21="","",SUMIFS(Purchase_Register!$AK$6:$AK$205,Purchase_Register!$M$6:$M$205,$A21,Purchase_Register!$AQ$6:$AQ$205,"31-60 Days"))</f>
        <v/>
      </c>
      <c r="E21" s="81" t="str">
        <f aca="false">IF($A21="","",SUMIFS(Purchase_Register!$AK$6:$AK$205,Purchase_Register!$M$6:$M$205,$A21,Purchase_Register!$AQ$6:$AQ$205,"61-90 Days"))</f>
        <v/>
      </c>
      <c r="F21" s="81" t="str">
        <f aca="false">IF($A21="","",SUMIFS(Purchase_Register!$AK$6:$AK$205,Purchase_Register!$M$6:$M$205,$A21,Purchase_Register!$AQ$6:$AQ$205,"90+ Days"))</f>
        <v/>
      </c>
      <c r="G21" s="81" t="str">
        <f aca="false">IF($A21="","",SUMIFS(Purchase_Register!$AK$6:$AK$205,Purchase_Register!$M$6:$M$205,$A21,Purchase_Register!$AQ$6:$AQ$205,"No Due Date"))</f>
        <v/>
      </c>
      <c r="H21" s="106" t="str">
        <f aca="false">IF($A21="","",SUM(B21:G21))</f>
        <v/>
      </c>
      <c r="I21" s="47" t="str">
        <f aca="false">IF($A21="","",SUM(C21:F21))</f>
        <v/>
      </c>
      <c r="J21" s="38" t="str">
        <f aca="false">IF(OR($A21="",N(H21)=0),"",I21/H21)</f>
        <v/>
      </c>
      <c r="K21" s="80" t="str">
        <f aca="false">IF($A21="","",IFERROR(_xlfn.MAXIFS(Purchase_Register!$AP$6:$AP$205,Purchase_Register!$M$6:$M$205,$A21),0))</f>
        <v/>
      </c>
    </row>
    <row r="22" customFormat="false" ht="15" hidden="false" customHeight="false" outlineLevel="0" collapsed="false">
      <c r="A22" s="79" t="str">
        <f aca="false">IF(Lists!$J$19="","",Lists!$J$19)</f>
        <v/>
      </c>
      <c r="B22" s="81" t="str">
        <f aca="false">IF($A22="","",SUMIFS(Purchase_Register!$AK$6:$AK$205,Purchase_Register!$M$6:$M$205,$A22,Purchase_Register!$AQ$6:$AQ$205,"Not Yet Due"))</f>
        <v/>
      </c>
      <c r="C22" s="81" t="str">
        <f aca="false">IF($A22="","",SUMIFS(Purchase_Register!$AK$6:$AK$205,Purchase_Register!$M$6:$M$205,$A22,Purchase_Register!$AQ$6:$AQ$205,"1-30 Days"))</f>
        <v/>
      </c>
      <c r="D22" s="81" t="str">
        <f aca="false">IF($A22="","",SUMIFS(Purchase_Register!$AK$6:$AK$205,Purchase_Register!$M$6:$M$205,$A22,Purchase_Register!$AQ$6:$AQ$205,"31-60 Days"))</f>
        <v/>
      </c>
      <c r="E22" s="81" t="str">
        <f aca="false">IF($A22="","",SUMIFS(Purchase_Register!$AK$6:$AK$205,Purchase_Register!$M$6:$M$205,$A22,Purchase_Register!$AQ$6:$AQ$205,"61-90 Days"))</f>
        <v/>
      </c>
      <c r="F22" s="81" t="str">
        <f aca="false">IF($A22="","",SUMIFS(Purchase_Register!$AK$6:$AK$205,Purchase_Register!$M$6:$M$205,$A22,Purchase_Register!$AQ$6:$AQ$205,"90+ Days"))</f>
        <v/>
      </c>
      <c r="G22" s="81" t="str">
        <f aca="false">IF($A22="","",SUMIFS(Purchase_Register!$AK$6:$AK$205,Purchase_Register!$M$6:$M$205,$A22,Purchase_Register!$AQ$6:$AQ$205,"No Due Date"))</f>
        <v/>
      </c>
      <c r="H22" s="106" t="str">
        <f aca="false">IF($A22="","",SUM(B22:G22))</f>
        <v/>
      </c>
      <c r="I22" s="47" t="str">
        <f aca="false">IF($A22="","",SUM(C22:F22))</f>
        <v/>
      </c>
      <c r="J22" s="38" t="str">
        <f aca="false">IF(OR($A22="",N(H22)=0),"",I22/H22)</f>
        <v/>
      </c>
      <c r="K22" s="80" t="str">
        <f aca="false">IF($A22="","",IFERROR(_xlfn.MAXIFS(Purchase_Register!$AP$6:$AP$205,Purchase_Register!$M$6:$M$205,$A22),0))</f>
        <v/>
      </c>
    </row>
    <row r="23" customFormat="false" ht="15" hidden="false" customHeight="false" outlineLevel="0" collapsed="false">
      <c r="A23" s="79" t="str">
        <f aca="false">IF(Lists!$J$20="","",Lists!$J$20)</f>
        <v/>
      </c>
      <c r="B23" s="81" t="str">
        <f aca="false">IF($A23="","",SUMIFS(Purchase_Register!$AK$6:$AK$205,Purchase_Register!$M$6:$M$205,$A23,Purchase_Register!$AQ$6:$AQ$205,"Not Yet Due"))</f>
        <v/>
      </c>
      <c r="C23" s="81" t="str">
        <f aca="false">IF($A23="","",SUMIFS(Purchase_Register!$AK$6:$AK$205,Purchase_Register!$M$6:$M$205,$A23,Purchase_Register!$AQ$6:$AQ$205,"1-30 Days"))</f>
        <v/>
      </c>
      <c r="D23" s="81" t="str">
        <f aca="false">IF($A23="","",SUMIFS(Purchase_Register!$AK$6:$AK$205,Purchase_Register!$M$6:$M$205,$A23,Purchase_Register!$AQ$6:$AQ$205,"31-60 Days"))</f>
        <v/>
      </c>
      <c r="E23" s="81" t="str">
        <f aca="false">IF($A23="","",SUMIFS(Purchase_Register!$AK$6:$AK$205,Purchase_Register!$M$6:$M$205,$A23,Purchase_Register!$AQ$6:$AQ$205,"61-90 Days"))</f>
        <v/>
      </c>
      <c r="F23" s="81" t="str">
        <f aca="false">IF($A23="","",SUMIFS(Purchase_Register!$AK$6:$AK$205,Purchase_Register!$M$6:$M$205,$A23,Purchase_Register!$AQ$6:$AQ$205,"90+ Days"))</f>
        <v/>
      </c>
      <c r="G23" s="81" t="str">
        <f aca="false">IF($A23="","",SUMIFS(Purchase_Register!$AK$6:$AK$205,Purchase_Register!$M$6:$M$205,$A23,Purchase_Register!$AQ$6:$AQ$205,"No Due Date"))</f>
        <v/>
      </c>
      <c r="H23" s="106" t="str">
        <f aca="false">IF($A23="","",SUM(B23:G23))</f>
        <v/>
      </c>
      <c r="I23" s="47" t="str">
        <f aca="false">IF($A23="","",SUM(C23:F23))</f>
        <v/>
      </c>
      <c r="J23" s="38" t="str">
        <f aca="false">IF(OR($A23="",N(H23)=0),"",I23/H23)</f>
        <v/>
      </c>
      <c r="K23" s="80" t="str">
        <f aca="false">IF($A23="","",IFERROR(_xlfn.MAXIFS(Purchase_Register!$AP$6:$AP$205,Purchase_Register!$M$6:$M$205,$A23),0))</f>
        <v/>
      </c>
    </row>
    <row r="24" customFormat="false" ht="15" hidden="false" customHeight="false" outlineLevel="0" collapsed="false">
      <c r="A24" s="79" t="str">
        <f aca="false">IF(Lists!$J$21="","",Lists!$J$21)</f>
        <v/>
      </c>
      <c r="B24" s="81" t="str">
        <f aca="false">IF($A24="","",SUMIFS(Purchase_Register!$AK$6:$AK$205,Purchase_Register!$M$6:$M$205,$A24,Purchase_Register!$AQ$6:$AQ$205,"Not Yet Due"))</f>
        <v/>
      </c>
      <c r="C24" s="81" t="str">
        <f aca="false">IF($A24="","",SUMIFS(Purchase_Register!$AK$6:$AK$205,Purchase_Register!$M$6:$M$205,$A24,Purchase_Register!$AQ$6:$AQ$205,"1-30 Days"))</f>
        <v/>
      </c>
      <c r="D24" s="81" t="str">
        <f aca="false">IF($A24="","",SUMIFS(Purchase_Register!$AK$6:$AK$205,Purchase_Register!$M$6:$M$205,$A24,Purchase_Register!$AQ$6:$AQ$205,"31-60 Days"))</f>
        <v/>
      </c>
      <c r="E24" s="81" t="str">
        <f aca="false">IF($A24="","",SUMIFS(Purchase_Register!$AK$6:$AK$205,Purchase_Register!$M$6:$M$205,$A24,Purchase_Register!$AQ$6:$AQ$205,"61-90 Days"))</f>
        <v/>
      </c>
      <c r="F24" s="81" t="str">
        <f aca="false">IF($A24="","",SUMIFS(Purchase_Register!$AK$6:$AK$205,Purchase_Register!$M$6:$M$205,$A24,Purchase_Register!$AQ$6:$AQ$205,"90+ Days"))</f>
        <v/>
      </c>
      <c r="G24" s="81" t="str">
        <f aca="false">IF($A24="","",SUMIFS(Purchase_Register!$AK$6:$AK$205,Purchase_Register!$M$6:$M$205,$A24,Purchase_Register!$AQ$6:$AQ$205,"No Due Date"))</f>
        <v/>
      </c>
      <c r="H24" s="106" t="str">
        <f aca="false">IF($A24="","",SUM(B24:G24))</f>
        <v/>
      </c>
      <c r="I24" s="47" t="str">
        <f aca="false">IF($A24="","",SUM(C24:F24))</f>
        <v/>
      </c>
      <c r="J24" s="38" t="str">
        <f aca="false">IF(OR($A24="",N(H24)=0),"",I24/H24)</f>
        <v/>
      </c>
      <c r="K24" s="80" t="str">
        <f aca="false">IF($A24="","",IFERROR(_xlfn.MAXIFS(Purchase_Register!$AP$6:$AP$205,Purchase_Register!$M$6:$M$205,$A24),0))</f>
        <v/>
      </c>
    </row>
    <row r="25" customFormat="false" ht="15" hidden="false" customHeight="false" outlineLevel="0" collapsed="false">
      <c r="A25" s="79" t="str">
        <f aca="false">IF(Lists!$J$22="","",Lists!$J$22)</f>
        <v/>
      </c>
      <c r="B25" s="81" t="str">
        <f aca="false">IF($A25="","",SUMIFS(Purchase_Register!$AK$6:$AK$205,Purchase_Register!$M$6:$M$205,$A25,Purchase_Register!$AQ$6:$AQ$205,"Not Yet Due"))</f>
        <v/>
      </c>
      <c r="C25" s="81" t="str">
        <f aca="false">IF($A25="","",SUMIFS(Purchase_Register!$AK$6:$AK$205,Purchase_Register!$M$6:$M$205,$A25,Purchase_Register!$AQ$6:$AQ$205,"1-30 Days"))</f>
        <v/>
      </c>
      <c r="D25" s="81" t="str">
        <f aca="false">IF($A25="","",SUMIFS(Purchase_Register!$AK$6:$AK$205,Purchase_Register!$M$6:$M$205,$A25,Purchase_Register!$AQ$6:$AQ$205,"31-60 Days"))</f>
        <v/>
      </c>
      <c r="E25" s="81" t="str">
        <f aca="false">IF($A25="","",SUMIFS(Purchase_Register!$AK$6:$AK$205,Purchase_Register!$M$6:$M$205,$A25,Purchase_Register!$AQ$6:$AQ$205,"61-90 Days"))</f>
        <v/>
      </c>
      <c r="F25" s="81" t="str">
        <f aca="false">IF($A25="","",SUMIFS(Purchase_Register!$AK$6:$AK$205,Purchase_Register!$M$6:$M$205,$A25,Purchase_Register!$AQ$6:$AQ$205,"90+ Days"))</f>
        <v/>
      </c>
      <c r="G25" s="81" t="str">
        <f aca="false">IF($A25="","",SUMIFS(Purchase_Register!$AK$6:$AK$205,Purchase_Register!$M$6:$M$205,$A25,Purchase_Register!$AQ$6:$AQ$205,"No Due Date"))</f>
        <v/>
      </c>
      <c r="H25" s="106" t="str">
        <f aca="false">IF($A25="","",SUM(B25:G25))</f>
        <v/>
      </c>
      <c r="I25" s="47" t="str">
        <f aca="false">IF($A25="","",SUM(C25:F25))</f>
        <v/>
      </c>
      <c r="J25" s="38" t="str">
        <f aca="false">IF(OR($A25="",N(H25)=0),"",I25/H25)</f>
        <v/>
      </c>
      <c r="K25" s="80" t="str">
        <f aca="false">IF($A25="","",IFERROR(_xlfn.MAXIFS(Purchase_Register!$AP$6:$AP$205,Purchase_Register!$M$6:$M$205,$A25),0))</f>
        <v/>
      </c>
    </row>
    <row r="26" customFormat="false" ht="15" hidden="false" customHeight="false" outlineLevel="0" collapsed="false">
      <c r="A26" s="79" t="str">
        <f aca="false">IF(Lists!$J$23="","",Lists!$J$23)</f>
        <v/>
      </c>
      <c r="B26" s="81" t="str">
        <f aca="false">IF($A26="","",SUMIFS(Purchase_Register!$AK$6:$AK$205,Purchase_Register!$M$6:$M$205,$A26,Purchase_Register!$AQ$6:$AQ$205,"Not Yet Due"))</f>
        <v/>
      </c>
      <c r="C26" s="81" t="str">
        <f aca="false">IF($A26="","",SUMIFS(Purchase_Register!$AK$6:$AK$205,Purchase_Register!$M$6:$M$205,$A26,Purchase_Register!$AQ$6:$AQ$205,"1-30 Days"))</f>
        <v/>
      </c>
      <c r="D26" s="81" t="str">
        <f aca="false">IF($A26="","",SUMIFS(Purchase_Register!$AK$6:$AK$205,Purchase_Register!$M$6:$M$205,$A26,Purchase_Register!$AQ$6:$AQ$205,"31-60 Days"))</f>
        <v/>
      </c>
      <c r="E26" s="81" t="str">
        <f aca="false">IF($A26="","",SUMIFS(Purchase_Register!$AK$6:$AK$205,Purchase_Register!$M$6:$M$205,$A26,Purchase_Register!$AQ$6:$AQ$205,"61-90 Days"))</f>
        <v/>
      </c>
      <c r="F26" s="81" t="str">
        <f aca="false">IF($A26="","",SUMIFS(Purchase_Register!$AK$6:$AK$205,Purchase_Register!$M$6:$M$205,$A26,Purchase_Register!$AQ$6:$AQ$205,"90+ Days"))</f>
        <v/>
      </c>
      <c r="G26" s="81" t="str">
        <f aca="false">IF($A26="","",SUMIFS(Purchase_Register!$AK$6:$AK$205,Purchase_Register!$M$6:$M$205,$A26,Purchase_Register!$AQ$6:$AQ$205,"No Due Date"))</f>
        <v/>
      </c>
      <c r="H26" s="106" t="str">
        <f aca="false">IF($A26="","",SUM(B26:G26))</f>
        <v/>
      </c>
      <c r="I26" s="47" t="str">
        <f aca="false">IF($A26="","",SUM(C26:F26))</f>
        <v/>
      </c>
      <c r="J26" s="38" t="str">
        <f aca="false">IF(OR($A26="",N(H26)=0),"",I26/H26)</f>
        <v/>
      </c>
      <c r="K26" s="80" t="str">
        <f aca="false">IF($A26="","",IFERROR(_xlfn.MAXIFS(Purchase_Register!$AP$6:$AP$205,Purchase_Register!$M$6:$M$205,$A26),0))</f>
        <v/>
      </c>
    </row>
    <row r="27" customFormat="false" ht="15" hidden="false" customHeight="false" outlineLevel="0" collapsed="false">
      <c r="A27" s="79" t="str">
        <f aca="false">IF(Lists!$J$24="","",Lists!$J$24)</f>
        <v/>
      </c>
      <c r="B27" s="81" t="str">
        <f aca="false">IF($A27="","",SUMIFS(Purchase_Register!$AK$6:$AK$205,Purchase_Register!$M$6:$M$205,$A27,Purchase_Register!$AQ$6:$AQ$205,"Not Yet Due"))</f>
        <v/>
      </c>
      <c r="C27" s="81" t="str">
        <f aca="false">IF($A27="","",SUMIFS(Purchase_Register!$AK$6:$AK$205,Purchase_Register!$M$6:$M$205,$A27,Purchase_Register!$AQ$6:$AQ$205,"1-30 Days"))</f>
        <v/>
      </c>
      <c r="D27" s="81" t="str">
        <f aca="false">IF($A27="","",SUMIFS(Purchase_Register!$AK$6:$AK$205,Purchase_Register!$M$6:$M$205,$A27,Purchase_Register!$AQ$6:$AQ$205,"31-60 Days"))</f>
        <v/>
      </c>
      <c r="E27" s="81" t="str">
        <f aca="false">IF($A27="","",SUMIFS(Purchase_Register!$AK$6:$AK$205,Purchase_Register!$M$6:$M$205,$A27,Purchase_Register!$AQ$6:$AQ$205,"61-90 Days"))</f>
        <v/>
      </c>
      <c r="F27" s="81" t="str">
        <f aca="false">IF($A27="","",SUMIFS(Purchase_Register!$AK$6:$AK$205,Purchase_Register!$M$6:$M$205,$A27,Purchase_Register!$AQ$6:$AQ$205,"90+ Days"))</f>
        <v/>
      </c>
      <c r="G27" s="81" t="str">
        <f aca="false">IF($A27="","",SUMIFS(Purchase_Register!$AK$6:$AK$205,Purchase_Register!$M$6:$M$205,$A27,Purchase_Register!$AQ$6:$AQ$205,"No Due Date"))</f>
        <v/>
      </c>
      <c r="H27" s="106" t="str">
        <f aca="false">IF($A27="","",SUM(B27:G27))</f>
        <v/>
      </c>
      <c r="I27" s="47" t="str">
        <f aca="false">IF($A27="","",SUM(C27:F27))</f>
        <v/>
      </c>
      <c r="J27" s="38" t="str">
        <f aca="false">IF(OR($A27="",N(H27)=0),"",I27/H27)</f>
        <v/>
      </c>
      <c r="K27" s="80" t="str">
        <f aca="false">IF($A27="","",IFERROR(_xlfn.MAXIFS(Purchase_Register!$AP$6:$AP$205,Purchase_Register!$M$6:$M$205,$A27),0))</f>
        <v/>
      </c>
    </row>
    <row r="28" customFormat="false" ht="15" hidden="false" customHeight="false" outlineLevel="0" collapsed="false">
      <c r="A28" s="79" t="str">
        <f aca="false">IF(Lists!$J$25="","",Lists!$J$25)</f>
        <v/>
      </c>
      <c r="B28" s="81" t="str">
        <f aca="false">IF($A28="","",SUMIFS(Purchase_Register!$AK$6:$AK$205,Purchase_Register!$M$6:$M$205,$A28,Purchase_Register!$AQ$6:$AQ$205,"Not Yet Due"))</f>
        <v/>
      </c>
      <c r="C28" s="81" t="str">
        <f aca="false">IF($A28="","",SUMIFS(Purchase_Register!$AK$6:$AK$205,Purchase_Register!$M$6:$M$205,$A28,Purchase_Register!$AQ$6:$AQ$205,"1-30 Days"))</f>
        <v/>
      </c>
      <c r="D28" s="81" t="str">
        <f aca="false">IF($A28="","",SUMIFS(Purchase_Register!$AK$6:$AK$205,Purchase_Register!$M$6:$M$205,$A28,Purchase_Register!$AQ$6:$AQ$205,"31-60 Days"))</f>
        <v/>
      </c>
      <c r="E28" s="81" t="str">
        <f aca="false">IF($A28="","",SUMIFS(Purchase_Register!$AK$6:$AK$205,Purchase_Register!$M$6:$M$205,$A28,Purchase_Register!$AQ$6:$AQ$205,"61-90 Days"))</f>
        <v/>
      </c>
      <c r="F28" s="81" t="str">
        <f aca="false">IF($A28="","",SUMIFS(Purchase_Register!$AK$6:$AK$205,Purchase_Register!$M$6:$M$205,$A28,Purchase_Register!$AQ$6:$AQ$205,"90+ Days"))</f>
        <v/>
      </c>
      <c r="G28" s="81" t="str">
        <f aca="false">IF($A28="","",SUMIFS(Purchase_Register!$AK$6:$AK$205,Purchase_Register!$M$6:$M$205,$A28,Purchase_Register!$AQ$6:$AQ$205,"No Due Date"))</f>
        <v/>
      </c>
      <c r="H28" s="106" t="str">
        <f aca="false">IF($A28="","",SUM(B28:G28))</f>
        <v/>
      </c>
      <c r="I28" s="47" t="str">
        <f aca="false">IF($A28="","",SUM(C28:F28))</f>
        <v/>
      </c>
      <c r="J28" s="38" t="str">
        <f aca="false">IF(OR($A28="",N(H28)=0),"",I28/H28)</f>
        <v/>
      </c>
      <c r="K28" s="80" t="str">
        <f aca="false">IF($A28="","",IFERROR(_xlfn.MAXIFS(Purchase_Register!$AP$6:$AP$205,Purchase_Register!$M$6:$M$205,$A28),0))</f>
        <v/>
      </c>
    </row>
    <row r="29" customFormat="false" ht="15" hidden="false" customHeight="false" outlineLevel="0" collapsed="false">
      <c r="A29" s="79" t="str">
        <f aca="false">IF(Lists!$J$26="","",Lists!$J$26)</f>
        <v/>
      </c>
      <c r="B29" s="81" t="str">
        <f aca="false">IF($A29="","",SUMIFS(Purchase_Register!$AK$6:$AK$205,Purchase_Register!$M$6:$M$205,$A29,Purchase_Register!$AQ$6:$AQ$205,"Not Yet Due"))</f>
        <v/>
      </c>
      <c r="C29" s="81" t="str">
        <f aca="false">IF($A29="","",SUMIFS(Purchase_Register!$AK$6:$AK$205,Purchase_Register!$M$6:$M$205,$A29,Purchase_Register!$AQ$6:$AQ$205,"1-30 Days"))</f>
        <v/>
      </c>
      <c r="D29" s="81" t="str">
        <f aca="false">IF($A29="","",SUMIFS(Purchase_Register!$AK$6:$AK$205,Purchase_Register!$M$6:$M$205,$A29,Purchase_Register!$AQ$6:$AQ$205,"31-60 Days"))</f>
        <v/>
      </c>
      <c r="E29" s="81" t="str">
        <f aca="false">IF($A29="","",SUMIFS(Purchase_Register!$AK$6:$AK$205,Purchase_Register!$M$6:$M$205,$A29,Purchase_Register!$AQ$6:$AQ$205,"61-90 Days"))</f>
        <v/>
      </c>
      <c r="F29" s="81" t="str">
        <f aca="false">IF($A29="","",SUMIFS(Purchase_Register!$AK$6:$AK$205,Purchase_Register!$M$6:$M$205,$A29,Purchase_Register!$AQ$6:$AQ$205,"90+ Days"))</f>
        <v/>
      </c>
      <c r="G29" s="81" t="str">
        <f aca="false">IF($A29="","",SUMIFS(Purchase_Register!$AK$6:$AK$205,Purchase_Register!$M$6:$M$205,$A29,Purchase_Register!$AQ$6:$AQ$205,"No Due Date"))</f>
        <v/>
      </c>
      <c r="H29" s="106" t="str">
        <f aca="false">IF($A29="","",SUM(B29:G29))</f>
        <v/>
      </c>
      <c r="I29" s="47" t="str">
        <f aca="false">IF($A29="","",SUM(C29:F29))</f>
        <v/>
      </c>
      <c r="J29" s="38" t="str">
        <f aca="false">IF(OR($A29="",N(H29)=0),"",I29/H29)</f>
        <v/>
      </c>
      <c r="K29" s="80" t="str">
        <f aca="false">IF($A29="","",IFERROR(_xlfn.MAXIFS(Purchase_Register!$AP$6:$AP$205,Purchase_Register!$M$6:$M$205,$A29),0))</f>
        <v/>
      </c>
    </row>
    <row r="30" customFormat="false" ht="15" hidden="false" customHeight="false" outlineLevel="0" collapsed="false">
      <c r="A30" s="79" t="str">
        <f aca="false">IF(Lists!$J$27="","",Lists!$J$27)</f>
        <v/>
      </c>
      <c r="B30" s="81" t="str">
        <f aca="false">IF($A30="","",SUMIFS(Purchase_Register!$AK$6:$AK$205,Purchase_Register!$M$6:$M$205,$A30,Purchase_Register!$AQ$6:$AQ$205,"Not Yet Due"))</f>
        <v/>
      </c>
      <c r="C30" s="81" t="str">
        <f aca="false">IF($A30="","",SUMIFS(Purchase_Register!$AK$6:$AK$205,Purchase_Register!$M$6:$M$205,$A30,Purchase_Register!$AQ$6:$AQ$205,"1-30 Days"))</f>
        <v/>
      </c>
      <c r="D30" s="81" t="str">
        <f aca="false">IF($A30="","",SUMIFS(Purchase_Register!$AK$6:$AK$205,Purchase_Register!$M$6:$M$205,$A30,Purchase_Register!$AQ$6:$AQ$205,"31-60 Days"))</f>
        <v/>
      </c>
      <c r="E30" s="81" t="str">
        <f aca="false">IF($A30="","",SUMIFS(Purchase_Register!$AK$6:$AK$205,Purchase_Register!$M$6:$M$205,$A30,Purchase_Register!$AQ$6:$AQ$205,"61-90 Days"))</f>
        <v/>
      </c>
      <c r="F30" s="81" t="str">
        <f aca="false">IF($A30="","",SUMIFS(Purchase_Register!$AK$6:$AK$205,Purchase_Register!$M$6:$M$205,$A30,Purchase_Register!$AQ$6:$AQ$205,"90+ Days"))</f>
        <v/>
      </c>
      <c r="G30" s="81" t="str">
        <f aca="false">IF($A30="","",SUMIFS(Purchase_Register!$AK$6:$AK$205,Purchase_Register!$M$6:$M$205,$A30,Purchase_Register!$AQ$6:$AQ$205,"No Due Date"))</f>
        <v/>
      </c>
      <c r="H30" s="106" t="str">
        <f aca="false">IF($A30="","",SUM(B30:G30))</f>
        <v/>
      </c>
      <c r="I30" s="47" t="str">
        <f aca="false">IF($A30="","",SUM(C30:F30))</f>
        <v/>
      </c>
      <c r="J30" s="38" t="str">
        <f aca="false">IF(OR($A30="",N(H30)=0),"",I30/H30)</f>
        <v/>
      </c>
      <c r="K30" s="80" t="str">
        <f aca="false">IF($A30="","",IFERROR(_xlfn.MAXIFS(Purchase_Register!$AP$6:$AP$205,Purchase_Register!$M$6:$M$205,$A30),0))</f>
        <v/>
      </c>
    </row>
    <row r="31" customFormat="false" ht="15" hidden="false" customHeight="false" outlineLevel="0" collapsed="false">
      <c r="A31" s="79" t="str">
        <f aca="false">IF(Lists!$J$28="","",Lists!$J$28)</f>
        <v/>
      </c>
      <c r="B31" s="81" t="str">
        <f aca="false">IF($A31="","",SUMIFS(Purchase_Register!$AK$6:$AK$205,Purchase_Register!$M$6:$M$205,$A31,Purchase_Register!$AQ$6:$AQ$205,"Not Yet Due"))</f>
        <v/>
      </c>
      <c r="C31" s="81" t="str">
        <f aca="false">IF($A31="","",SUMIFS(Purchase_Register!$AK$6:$AK$205,Purchase_Register!$M$6:$M$205,$A31,Purchase_Register!$AQ$6:$AQ$205,"1-30 Days"))</f>
        <v/>
      </c>
      <c r="D31" s="81" t="str">
        <f aca="false">IF($A31="","",SUMIFS(Purchase_Register!$AK$6:$AK$205,Purchase_Register!$M$6:$M$205,$A31,Purchase_Register!$AQ$6:$AQ$205,"31-60 Days"))</f>
        <v/>
      </c>
      <c r="E31" s="81" t="str">
        <f aca="false">IF($A31="","",SUMIFS(Purchase_Register!$AK$6:$AK$205,Purchase_Register!$M$6:$M$205,$A31,Purchase_Register!$AQ$6:$AQ$205,"61-90 Days"))</f>
        <v/>
      </c>
      <c r="F31" s="81" t="str">
        <f aca="false">IF($A31="","",SUMIFS(Purchase_Register!$AK$6:$AK$205,Purchase_Register!$M$6:$M$205,$A31,Purchase_Register!$AQ$6:$AQ$205,"90+ Days"))</f>
        <v/>
      </c>
      <c r="G31" s="81" t="str">
        <f aca="false">IF($A31="","",SUMIFS(Purchase_Register!$AK$6:$AK$205,Purchase_Register!$M$6:$M$205,$A31,Purchase_Register!$AQ$6:$AQ$205,"No Due Date"))</f>
        <v/>
      </c>
      <c r="H31" s="106" t="str">
        <f aca="false">IF($A31="","",SUM(B31:G31))</f>
        <v/>
      </c>
      <c r="I31" s="47" t="str">
        <f aca="false">IF($A31="","",SUM(C31:F31))</f>
        <v/>
      </c>
      <c r="J31" s="38" t="str">
        <f aca="false">IF(OR($A31="",N(H31)=0),"",I31/H31)</f>
        <v/>
      </c>
      <c r="K31" s="80" t="str">
        <f aca="false">IF($A31="","",IFERROR(_xlfn.MAXIFS(Purchase_Register!$AP$6:$AP$205,Purchase_Register!$M$6:$M$205,$A31),0))</f>
        <v/>
      </c>
    </row>
    <row r="32" customFormat="false" ht="15" hidden="false" customHeight="false" outlineLevel="0" collapsed="false">
      <c r="A32" s="79" t="str">
        <f aca="false">IF(Lists!$J$29="","",Lists!$J$29)</f>
        <v/>
      </c>
      <c r="B32" s="81" t="str">
        <f aca="false">IF($A32="","",SUMIFS(Purchase_Register!$AK$6:$AK$205,Purchase_Register!$M$6:$M$205,$A32,Purchase_Register!$AQ$6:$AQ$205,"Not Yet Due"))</f>
        <v/>
      </c>
      <c r="C32" s="81" t="str">
        <f aca="false">IF($A32="","",SUMIFS(Purchase_Register!$AK$6:$AK$205,Purchase_Register!$M$6:$M$205,$A32,Purchase_Register!$AQ$6:$AQ$205,"1-30 Days"))</f>
        <v/>
      </c>
      <c r="D32" s="81" t="str">
        <f aca="false">IF($A32="","",SUMIFS(Purchase_Register!$AK$6:$AK$205,Purchase_Register!$M$6:$M$205,$A32,Purchase_Register!$AQ$6:$AQ$205,"31-60 Days"))</f>
        <v/>
      </c>
      <c r="E32" s="81" t="str">
        <f aca="false">IF($A32="","",SUMIFS(Purchase_Register!$AK$6:$AK$205,Purchase_Register!$M$6:$M$205,$A32,Purchase_Register!$AQ$6:$AQ$205,"61-90 Days"))</f>
        <v/>
      </c>
      <c r="F32" s="81" t="str">
        <f aca="false">IF($A32="","",SUMIFS(Purchase_Register!$AK$6:$AK$205,Purchase_Register!$M$6:$M$205,$A32,Purchase_Register!$AQ$6:$AQ$205,"90+ Days"))</f>
        <v/>
      </c>
      <c r="G32" s="81" t="str">
        <f aca="false">IF($A32="","",SUMIFS(Purchase_Register!$AK$6:$AK$205,Purchase_Register!$M$6:$M$205,$A32,Purchase_Register!$AQ$6:$AQ$205,"No Due Date"))</f>
        <v/>
      </c>
      <c r="H32" s="106" t="str">
        <f aca="false">IF($A32="","",SUM(B32:G32))</f>
        <v/>
      </c>
      <c r="I32" s="47" t="str">
        <f aca="false">IF($A32="","",SUM(C32:F32))</f>
        <v/>
      </c>
      <c r="J32" s="38" t="str">
        <f aca="false">IF(OR($A32="",N(H32)=0),"",I32/H32)</f>
        <v/>
      </c>
      <c r="K32" s="80" t="str">
        <f aca="false">IF($A32="","",IFERROR(_xlfn.MAXIFS(Purchase_Register!$AP$6:$AP$205,Purchase_Register!$M$6:$M$205,$A32),0))</f>
        <v/>
      </c>
    </row>
    <row r="33" customFormat="false" ht="15" hidden="false" customHeight="false" outlineLevel="0" collapsed="false">
      <c r="A33" s="79" t="str">
        <f aca="false">IF(Lists!$J$30="","",Lists!$J$30)</f>
        <v/>
      </c>
      <c r="B33" s="81" t="str">
        <f aca="false">IF($A33="","",SUMIFS(Purchase_Register!$AK$6:$AK$205,Purchase_Register!$M$6:$M$205,$A33,Purchase_Register!$AQ$6:$AQ$205,"Not Yet Due"))</f>
        <v/>
      </c>
      <c r="C33" s="81" t="str">
        <f aca="false">IF($A33="","",SUMIFS(Purchase_Register!$AK$6:$AK$205,Purchase_Register!$M$6:$M$205,$A33,Purchase_Register!$AQ$6:$AQ$205,"1-30 Days"))</f>
        <v/>
      </c>
      <c r="D33" s="81" t="str">
        <f aca="false">IF($A33="","",SUMIFS(Purchase_Register!$AK$6:$AK$205,Purchase_Register!$M$6:$M$205,$A33,Purchase_Register!$AQ$6:$AQ$205,"31-60 Days"))</f>
        <v/>
      </c>
      <c r="E33" s="81" t="str">
        <f aca="false">IF($A33="","",SUMIFS(Purchase_Register!$AK$6:$AK$205,Purchase_Register!$M$6:$M$205,$A33,Purchase_Register!$AQ$6:$AQ$205,"61-90 Days"))</f>
        <v/>
      </c>
      <c r="F33" s="81" t="str">
        <f aca="false">IF($A33="","",SUMIFS(Purchase_Register!$AK$6:$AK$205,Purchase_Register!$M$6:$M$205,$A33,Purchase_Register!$AQ$6:$AQ$205,"90+ Days"))</f>
        <v/>
      </c>
      <c r="G33" s="81" t="str">
        <f aca="false">IF($A33="","",SUMIFS(Purchase_Register!$AK$6:$AK$205,Purchase_Register!$M$6:$M$205,$A33,Purchase_Register!$AQ$6:$AQ$205,"No Due Date"))</f>
        <v/>
      </c>
      <c r="H33" s="106" t="str">
        <f aca="false">IF($A33="","",SUM(B33:G33))</f>
        <v/>
      </c>
      <c r="I33" s="47" t="str">
        <f aca="false">IF($A33="","",SUM(C33:F33))</f>
        <v/>
      </c>
      <c r="J33" s="38" t="str">
        <f aca="false">IF(OR($A33="",N(H33)=0),"",I33/H33)</f>
        <v/>
      </c>
      <c r="K33" s="80" t="str">
        <f aca="false">IF($A33="","",IFERROR(_xlfn.MAXIFS(Purchase_Register!$AP$6:$AP$205,Purchase_Register!$M$6:$M$205,$A33),0))</f>
        <v/>
      </c>
    </row>
    <row r="34" customFormat="false" ht="15" hidden="false" customHeight="false" outlineLevel="0" collapsed="false">
      <c r="A34" s="79" t="str">
        <f aca="false">IF(Lists!$J$31="","",Lists!$J$31)</f>
        <v/>
      </c>
      <c r="B34" s="81" t="str">
        <f aca="false">IF($A34="","",SUMIFS(Purchase_Register!$AK$6:$AK$205,Purchase_Register!$M$6:$M$205,$A34,Purchase_Register!$AQ$6:$AQ$205,"Not Yet Due"))</f>
        <v/>
      </c>
      <c r="C34" s="81" t="str">
        <f aca="false">IF($A34="","",SUMIFS(Purchase_Register!$AK$6:$AK$205,Purchase_Register!$M$6:$M$205,$A34,Purchase_Register!$AQ$6:$AQ$205,"1-30 Days"))</f>
        <v/>
      </c>
      <c r="D34" s="81" t="str">
        <f aca="false">IF($A34="","",SUMIFS(Purchase_Register!$AK$6:$AK$205,Purchase_Register!$M$6:$M$205,$A34,Purchase_Register!$AQ$6:$AQ$205,"31-60 Days"))</f>
        <v/>
      </c>
      <c r="E34" s="81" t="str">
        <f aca="false">IF($A34="","",SUMIFS(Purchase_Register!$AK$6:$AK$205,Purchase_Register!$M$6:$M$205,$A34,Purchase_Register!$AQ$6:$AQ$205,"61-90 Days"))</f>
        <v/>
      </c>
      <c r="F34" s="81" t="str">
        <f aca="false">IF($A34="","",SUMIFS(Purchase_Register!$AK$6:$AK$205,Purchase_Register!$M$6:$M$205,$A34,Purchase_Register!$AQ$6:$AQ$205,"90+ Days"))</f>
        <v/>
      </c>
      <c r="G34" s="81" t="str">
        <f aca="false">IF($A34="","",SUMIFS(Purchase_Register!$AK$6:$AK$205,Purchase_Register!$M$6:$M$205,$A34,Purchase_Register!$AQ$6:$AQ$205,"No Due Date"))</f>
        <v/>
      </c>
      <c r="H34" s="106" t="str">
        <f aca="false">IF($A34="","",SUM(B34:G34))</f>
        <v/>
      </c>
      <c r="I34" s="47" t="str">
        <f aca="false">IF($A34="","",SUM(C34:F34))</f>
        <v/>
      </c>
      <c r="J34" s="38" t="str">
        <f aca="false">IF(OR($A34="",N(H34)=0),"",I34/H34)</f>
        <v/>
      </c>
      <c r="K34" s="80" t="str">
        <f aca="false">IF($A34="","",IFERROR(_xlfn.MAXIFS(Purchase_Register!$AP$6:$AP$205,Purchase_Register!$M$6:$M$205,$A34),0))</f>
        <v/>
      </c>
    </row>
    <row r="35" customFormat="false" ht="15" hidden="false" customHeight="false" outlineLevel="0" collapsed="false">
      <c r="A35" s="85" t="s">
        <v>445</v>
      </c>
      <c r="B35" s="87" t="n">
        <f aca="false">SUM(B5:B34)</f>
        <v>13446002.81</v>
      </c>
      <c r="C35" s="87" t="n">
        <f aca="false">SUM(C5:C34)</f>
        <v>1380277.74</v>
      </c>
      <c r="D35" s="87" t="n">
        <f aca="false">SUM(D5:D34)</f>
        <v>568867.5</v>
      </c>
      <c r="E35" s="87" t="n">
        <f aca="false">SUM(E5:E34)</f>
        <v>1374618</v>
      </c>
      <c r="F35" s="87" t="n">
        <f aca="false">SUM(F5:F34)</f>
        <v>0</v>
      </c>
      <c r="G35" s="87" t="n">
        <f aca="false">SUM(G5:G34)</f>
        <v>5901918.3</v>
      </c>
      <c r="H35" s="87" t="n">
        <f aca="false">SUM(H5:H34)</f>
        <v>22671684.35</v>
      </c>
      <c r="I35" s="87" t="n">
        <f aca="false">SUM(I5:I34)</f>
        <v>3323763.24</v>
      </c>
      <c r="J35" s="88" t="n">
        <f aca="false">IF(H35=0,"",I35/H35)</f>
        <v>0.146604160003666</v>
      </c>
      <c r="K35" s="107" t="n">
        <f aca="false">MAX(K5:K34)</f>
        <v>71</v>
      </c>
    </row>
  </sheetData>
  <sheetProtection sheet="true" formatCells="false" formatColumns="false" formatRows="false" sort="false" autoFilter="false"/>
  <conditionalFormatting sqref="C5:F34">
    <cfRule type="cellIs" priority="2" operator="greaterThan" aboveAverage="0" equalAverage="0" bottom="0" percent="0" rank="0" text="" dxfId="36">
      <formula>0</formula>
    </cfRule>
  </conditionalFormatting>
  <conditionalFormatting sqref="J5:J34">
    <cfRule type="dataBar" priority="3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{C0ABECB1-F9A6-43DB-88EE-3AC8D0B9159C}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ABECB1-F9A6-43DB-88EE-3AC8D0B915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J5:J34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39" t="s">
        <v>469</v>
      </c>
    </row>
    <row r="2" customFormat="false" ht="15" hidden="false" customHeight="false" outlineLevel="0" collapsed="false">
      <c r="A2" s="40" t="s">
        <v>470</v>
      </c>
    </row>
    <row r="4" customFormat="false" ht="31.5" hidden="false" customHeight="true" outlineLevel="0" collapsed="false">
      <c r="A4" s="28" t="s">
        <v>471</v>
      </c>
      <c r="B4" s="28" t="s">
        <v>472</v>
      </c>
      <c r="C4" s="28" t="s">
        <v>36</v>
      </c>
      <c r="D4" s="28" t="s">
        <v>1</v>
      </c>
      <c r="E4" s="28" t="s">
        <v>2</v>
      </c>
      <c r="F4" s="28" t="s">
        <v>473</v>
      </c>
      <c r="G4" s="28" t="s">
        <v>474</v>
      </c>
      <c r="H4" s="28" t="s">
        <v>475</v>
      </c>
      <c r="I4" s="28" t="s">
        <v>476</v>
      </c>
      <c r="J4" s="28" t="s">
        <v>477</v>
      </c>
      <c r="K4" s="28" t="s">
        <v>478</v>
      </c>
      <c r="L4" s="28" t="s">
        <v>479</v>
      </c>
    </row>
    <row r="5" customFormat="false" ht="15" hidden="false" customHeight="false" outlineLevel="0" collapsed="false">
      <c r="A5" s="108" t="n">
        <f aca="false">DATE(YEAR(Settings!$B$9),MONTH(Settings!$B$9)+0,1)</f>
        <v>46204</v>
      </c>
      <c r="B5" s="108" t="n">
        <f aca="false">DATE(YEAR(A5),MONTH(A5)+1,0)</f>
        <v>46234</v>
      </c>
      <c r="C5" s="46" t="str">
        <f aca="false">TEXT(A5,"mmm-yy")</f>
        <v>Jul-26</v>
      </c>
      <c r="D5" s="80" t="n">
        <f aca="false">COUNTIFS(Purchase_Register!$B$6:$B$205,"&gt;="&amp;A5,Purchase_Register!$B$6:$B$205,"&lt;="&amp;B5)</f>
        <v>10</v>
      </c>
      <c r="E5" s="80" t="n">
        <f aca="false">COUNTIFS(Purchase_Register!$P$6:$P$205,"&gt;="&amp;A5,Purchase_Register!$P$6:$P$205,"&lt;="&amp;B5)</f>
        <v>10</v>
      </c>
      <c r="F5" s="81" t="n">
        <f aca="false">SUMIFS(Purchase_Register!$AD$6:$AD$205,Purchase_Register!$P$6:$P$205,"&gt;="&amp;A5,Purchase_Register!$P$6:$P$205,"&lt;="&amp;B5)</f>
        <v>4933028.55</v>
      </c>
      <c r="G5" s="81" t="n">
        <f aca="false">SUMIFS(Purchase_Register!$AD$6:$AD$205,Purchase_Register!$P$6:$P$205,"&gt;="&amp;A5,Purchase_Register!$P$6:$P$205,"&lt;="&amp;B5,Purchase_Register!$H$6:$H$205,"OPEX")</f>
        <v>4933028.55</v>
      </c>
      <c r="H5" s="81" t="n">
        <f aca="false">SUMIFS(Purchase_Register!$AD$6:$AD$205,Purchase_Register!$P$6:$P$205,"&gt;="&amp;A5,Purchase_Register!$P$6:$P$205,"&lt;="&amp;B5,Purchase_Register!$H$6:$H$205,"CAPEX")</f>
        <v>0</v>
      </c>
      <c r="I5" s="81" t="n">
        <f aca="false">SUMIFS(Purchase_Register!$AI$6:$AI$205,Purchase_Register!$AN$6:$AN$205,"&gt;="&amp;A5,Purchase_Register!$AN$6:$AN$205,"&lt;="&amp;B5)</f>
        <v>3357636.2</v>
      </c>
      <c r="J5" s="81" t="n">
        <f aca="false">SUMIFS(Purchase_Register!$AK$6:$AK$205,Purchase_Register!$AO$6:$AO$205,"&gt;="&amp;A5,Purchase_Register!$AO$6:$AO$205,"&lt;="&amp;B5)</f>
        <v>0</v>
      </c>
      <c r="K5" s="47" t="n">
        <f aca="false">SUM($F$5:F5)</f>
        <v>4933028.55</v>
      </c>
      <c r="L5" s="47" t="n">
        <f aca="false">SUM($J$5:J5)</f>
        <v>0</v>
      </c>
    </row>
    <row r="6" customFormat="false" ht="15" hidden="false" customHeight="false" outlineLevel="0" collapsed="false">
      <c r="A6" s="108" t="n">
        <f aca="false">DATE(YEAR(Settings!$B$9),MONTH(Settings!$B$9)+1,1)</f>
        <v>46235</v>
      </c>
      <c r="B6" s="108" t="n">
        <f aca="false">DATE(YEAR(A6),MONTH(A6)+1,0)</f>
        <v>46265</v>
      </c>
      <c r="C6" s="46" t="str">
        <f aca="false">TEXT(A6,"mmm-yy")</f>
        <v>Aug-26</v>
      </c>
      <c r="D6" s="80" t="n">
        <f aca="false">COUNTIFS(Purchase_Register!$B$6:$B$205,"&gt;="&amp;A6,Purchase_Register!$B$6:$B$205,"&lt;="&amp;B6)</f>
        <v>11</v>
      </c>
      <c r="E6" s="80" t="n">
        <f aca="false">COUNTIFS(Purchase_Register!$P$6:$P$205,"&gt;="&amp;A6,Purchase_Register!$P$6:$P$205,"&lt;="&amp;B6)</f>
        <v>10</v>
      </c>
      <c r="F6" s="81" t="n">
        <f aca="false">SUMIFS(Purchase_Register!$AD$6:$AD$205,Purchase_Register!$P$6:$P$205,"&gt;="&amp;A6,Purchase_Register!$P$6:$P$205,"&lt;="&amp;B6)</f>
        <v>16519153.945</v>
      </c>
      <c r="G6" s="81" t="n">
        <f aca="false">SUMIFS(Purchase_Register!$AD$6:$AD$205,Purchase_Register!$P$6:$P$205,"&gt;="&amp;A6,Purchase_Register!$P$6:$P$205,"&lt;="&amp;B6,Purchase_Register!$H$6:$H$205,"OPEX")</f>
        <v>3965108</v>
      </c>
      <c r="H6" s="81" t="n">
        <f aca="false">SUMIFS(Purchase_Register!$AD$6:$AD$205,Purchase_Register!$P$6:$P$205,"&gt;="&amp;A6,Purchase_Register!$P$6:$P$205,"&lt;="&amp;B6,Purchase_Register!$H$6:$H$205,"CAPEX")</f>
        <v>12554045.945</v>
      </c>
      <c r="I6" s="81" t="n">
        <f aca="false">SUMIFS(Purchase_Register!$AI$6:$AI$205,Purchase_Register!$AN$6:$AN$205,"&gt;="&amp;A6,Purchase_Register!$AN$6:$AN$205,"&lt;="&amp;B6)</f>
        <v>11603702.52</v>
      </c>
      <c r="J6" s="81" t="n">
        <f aca="false">SUMIFS(Purchase_Register!$AK$6:$AK$205,Purchase_Register!$AO$6:$AO$205,"&gt;="&amp;A6,Purchase_Register!$AO$6:$AO$205,"&lt;="&amp;B6)</f>
        <v>1483293</v>
      </c>
      <c r="K6" s="47" t="n">
        <f aca="false">SUM($F$5:F6)</f>
        <v>21452182.495</v>
      </c>
      <c r="L6" s="47" t="n">
        <f aca="false">SUM($J$5:J6)</f>
        <v>1483293</v>
      </c>
    </row>
    <row r="7" customFormat="false" ht="15" hidden="false" customHeight="false" outlineLevel="0" collapsed="false">
      <c r="A7" s="108" t="n">
        <f aca="false">DATE(YEAR(Settings!$B$9),MONTH(Settings!$B$9)+2,1)</f>
        <v>46266</v>
      </c>
      <c r="B7" s="108" t="n">
        <f aca="false">DATE(YEAR(A7),MONTH(A7)+1,0)</f>
        <v>46295</v>
      </c>
      <c r="C7" s="46" t="str">
        <f aca="false">TEXT(A7,"mmm-yy")</f>
        <v>Sep-26</v>
      </c>
      <c r="D7" s="80" t="n">
        <f aca="false">COUNTIFS(Purchase_Register!$B$6:$B$205,"&gt;="&amp;A7,Purchase_Register!$B$6:$B$205,"&lt;="&amp;B7)</f>
        <v>9</v>
      </c>
      <c r="E7" s="80" t="n">
        <f aca="false">COUNTIFS(Purchase_Register!$P$6:$P$205,"&gt;="&amp;A7,Purchase_Register!$P$6:$P$205,"&lt;="&amp;B7)</f>
        <v>9</v>
      </c>
      <c r="F7" s="81" t="n">
        <f aca="false">SUMIFS(Purchase_Register!$AD$6:$AD$205,Purchase_Register!$P$6:$P$205,"&gt;="&amp;A7,Purchase_Register!$P$6:$P$205,"&lt;="&amp;B7)</f>
        <v>9514011.2</v>
      </c>
      <c r="G7" s="81" t="n">
        <f aca="false">SUMIFS(Purchase_Register!$AD$6:$AD$205,Purchase_Register!$P$6:$P$205,"&gt;="&amp;A7,Purchase_Register!$P$6:$P$205,"&lt;="&amp;B7,Purchase_Register!$H$6:$H$205,"OPEX")</f>
        <v>9514011.2</v>
      </c>
      <c r="H7" s="81" t="n">
        <f aca="false">SUMIFS(Purchase_Register!$AD$6:$AD$205,Purchase_Register!$P$6:$P$205,"&gt;="&amp;A7,Purchase_Register!$P$6:$P$205,"&lt;="&amp;B7,Purchase_Register!$H$6:$H$205,"CAPEX")</f>
        <v>0</v>
      </c>
      <c r="I7" s="81" t="n">
        <f aca="false">SUMIFS(Purchase_Register!$AI$6:$AI$205,Purchase_Register!$AN$6:$AN$205,"&gt;="&amp;A7,Purchase_Register!$AN$6:$AN$205,"&lt;="&amp;B7)</f>
        <v>9321879.38</v>
      </c>
      <c r="J7" s="81" t="n">
        <f aca="false">SUMIFS(Purchase_Register!$AK$6:$AK$205,Purchase_Register!$AO$6:$AO$205,"&gt;="&amp;A7,Purchase_Register!$AO$6:$AO$205,"&lt;="&amp;B7)</f>
        <v>1695538.74</v>
      </c>
      <c r="K7" s="47" t="n">
        <f aca="false">SUM($F$5:F7)</f>
        <v>30966193.695</v>
      </c>
      <c r="L7" s="47" t="n">
        <f aca="false">SUM($J$5:J7)</f>
        <v>3178831.74</v>
      </c>
    </row>
    <row r="8" customFormat="false" ht="15" hidden="false" customHeight="false" outlineLevel="0" collapsed="false">
      <c r="A8" s="108" t="n">
        <f aca="false">DATE(YEAR(Settings!$B$9),MONTH(Settings!$B$9)+3,1)</f>
        <v>46296</v>
      </c>
      <c r="B8" s="108" t="n">
        <f aca="false">DATE(YEAR(A8),MONTH(A8)+1,0)</f>
        <v>46326</v>
      </c>
      <c r="C8" s="46" t="str">
        <f aca="false">TEXT(A8,"mmm-yy")</f>
        <v>Oct-26</v>
      </c>
      <c r="D8" s="80" t="n">
        <f aca="false">COUNTIFS(Purchase_Register!$B$6:$B$205,"&gt;="&amp;A8,Purchase_Register!$B$6:$B$205,"&lt;="&amp;B8)</f>
        <v>5</v>
      </c>
      <c r="E8" s="80" t="n">
        <f aca="false">COUNTIFS(Purchase_Register!$P$6:$P$205,"&gt;="&amp;A8,Purchase_Register!$P$6:$P$205,"&lt;="&amp;B8)</f>
        <v>2</v>
      </c>
      <c r="F8" s="81" t="n">
        <f aca="false">SUMIFS(Purchase_Register!$AD$6:$AD$205,Purchase_Register!$P$6:$P$205,"&gt;="&amp;A8,Purchase_Register!$P$6:$P$205,"&lt;="&amp;B8)</f>
        <v>6892823.1</v>
      </c>
      <c r="G8" s="81" t="n">
        <f aca="false">SUMIFS(Purchase_Register!$AD$6:$AD$205,Purchase_Register!$P$6:$P$205,"&gt;="&amp;A8,Purchase_Register!$P$6:$P$205,"&lt;="&amp;B8,Purchase_Register!$H$6:$H$205,"OPEX")</f>
        <v>6892823.1</v>
      </c>
      <c r="H8" s="81" t="n">
        <f aca="false">SUMIFS(Purchase_Register!$AD$6:$AD$205,Purchase_Register!$P$6:$P$205,"&gt;="&amp;A8,Purchase_Register!$P$6:$P$205,"&lt;="&amp;B8,Purchase_Register!$H$6:$H$205,"CAPEX")</f>
        <v>0</v>
      </c>
      <c r="I8" s="81" t="n">
        <f aca="false">SUMIFS(Purchase_Register!$AI$6:$AI$205,Purchase_Register!$AN$6:$AN$205,"&gt;="&amp;A8,Purchase_Register!$AN$6:$AN$205,"&lt;="&amp;B8)</f>
        <v>3986520.85</v>
      </c>
      <c r="J8" s="81" t="n">
        <f aca="false">SUMIFS(Purchase_Register!$AK$6:$AK$205,Purchase_Register!$AO$6:$AO$205,"&gt;="&amp;A8,Purchase_Register!$AO$6:$AO$205,"&lt;="&amp;B8)</f>
        <v>6337449.38</v>
      </c>
      <c r="K8" s="47" t="n">
        <f aca="false">SUM($F$5:F8)</f>
        <v>37859016.795</v>
      </c>
      <c r="L8" s="47" t="n">
        <f aca="false">SUM($J$5:J8)</f>
        <v>9516281.12</v>
      </c>
    </row>
    <row r="9" customFormat="false" ht="15" hidden="false" customHeight="false" outlineLevel="0" collapsed="false">
      <c r="A9" s="108" t="n">
        <f aca="false">DATE(YEAR(Settings!$B$9),MONTH(Settings!$B$9)+4,1)</f>
        <v>46327</v>
      </c>
      <c r="B9" s="108" t="n">
        <f aca="false">DATE(YEAR(A9),MONTH(A9)+1,0)</f>
        <v>46356</v>
      </c>
      <c r="C9" s="46" t="str">
        <f aca="false">TEXT(A9,"mmm-yy")</f>
        <v>Nov-26</v>
      </c>
      <c r="D9" s="80" t="n">
        <f aca="false">COUNTIFS(Purchase_Register!$B$6:$B$205,"&gt;="&amp;A9,Purchase_Register!$B$6:$B$205,"&lt;="&amp;B9)</f>
        <v>0</v>
      </c>
      <c r="E9" s="80" t="n">
        <f aca="false">COUNTIFS(Purchase_Register!$P$6:$P$205,"&gt;="&amp;A9,Purchase_Register!$P$6:$P$205,"&lt;="&amp;B9)</f>
        <v>0</v>
      </c>
      <c r="F9" s="81" t="n">
        <f aca="false">SUMIFS(Purchase_Register!$AD$6:$AD$205,Purchase_Register!$P$6:$P$205,"&gt;="&amp;A9,Purchase_Register!$P$6:$P$205,"&lt;="&amp;B9)</f>
        <v>0</v>
      </c>
      <c r="G9" s="81" t="n">
        <f aca="false">SUMIFS(Purchase_Register!$AD$6:$AD$205,Purchase_Register!$P$6:$P$205,"&gt;="&amp;A9,Purchase_Register!$P$6:$P$205,"&lt;="&amp;B9,Purchase_Register!$H$6:$H$205,"OPEX")</f>
        <v>0</v>
      </c>
      <c r="H9" s="81" t="n">
        <f aca="false">SUMIFS(Purchase_Register!$AD$6:$AD$205,Purchase_Register!$P$6:$P$205,"&gt;="&amp;A9,Purchase_Register!$P$6:$P$205,"&lt;="&amp;B9,Purchase_Register!$H$6:$H$205,"CAPEX")</f>
        <v>0</v>
      </c>
      <c r="I9" s="81" t="n">
        <f aca="false">SUMIFS(Purchase_Register!$AI$6:$AI$205,Purchase_Register!$AN$6:$AN$205,"&gt;="&amp;A9,Purchase_Register!$AN$6:$AN$205,"&lt;="&amp;B9)</f>
        <v>0</v>
      </c>
      <c r="J9" s="81" t="n">
        <f aca="false">SUMIFS(Purchase_Register!$AK$6:$AK$205,Purchase_Register!$AO$6:$AO$205,"&gt;="&amp;A9,Purchase_Register!$AO$6:$AO$205,"&lt;="&amp;B9)</f>
        <v>7253484.93</v>
      </c>
      <c r="K9" s="47" t="n">
        <f aca="false">SUM($F$5:F9)</f>
        <v>37859016.795</v>
      </c>
      <c r="L9" s="47" t="n">
        <f aca="false">SUM($J$5:J9)</f>
        <v>16769766.05</v>
      </c>
    </row>
    <row r="10" customFormat="false" ht="15" hidden="false" customHeight="false" outlineLevel="0" collapsed="false">
      <c r="A10" s="108" t="n">
        <f aca="false">DATE(YEAR(Settings!$B$9),MONTH(Settings!$B$9)+5,1)</f>
        <v>46357</v>
      </c>
      <c r="B10" s="108" t="n">
        <f aca="false">DATE(YEAR(A10),MONTH(A10)+1,0)</f>
        <v>46387</v>
      </c>
      <c r="C10" s="46" t="str">
        <f aca="false">TEXT(A10,"mmm-yy")</f>
        <v>Dec-26</v>
      </c>
      <c r="D10" s="80" t="n">
        <f aca="false">COUNTIFS(Purchase_Register!$B$6:$B$205,"&gt;="&amp;A10,Purchase_Register!$B$6:$B$205,"&lt;="&amp;B10)</f>
        <v>0</v>
      </c>
      <c r="E10" s="80" t="n">
        <f aca="false">COUNTIFS(Purchase_Register!$P$6:$P$205,"&gt;="&amp;A10,Purchase_Register!$P$6:$P$205,"&lt;="&amp;B10)</f>
        <v>0</v>
      </c>
      <c r="F10" s="81" t="n">
        <f aca="false">SUMIFS(Purchase_Register!$AD$6:$AD$205,Purchase_Register!$P$6:$P$205,"&gt;="&amp;A10,Purchase_Register!$P$6:$P$205,"&lt;="&amp;B10)</f>
        <v>0</v>
      </c>
      <c r="G10" s="81" t="n">
        <f aca="false">SUMIFS(Purchase_Register!$AD$6:$AD$205,Purchase_Register!$P$6:$P$205,"&gt;="&amp;A10,Purchase_Register!$P$6:$P$205,"&lt;="&amp;B10,Purchase_Register!$H$6:$H$205,"OPEX")</f>
        <v>0</v>
      </c>
      <c r="H10" s="81" t="n">
        <f aca="false">SUMIFS(Purchase_Register!$AD$6:$AD$205,Purchase_Register!$P$6:$P$205,"&gt;="&amp;A10,Purchase_Register!$P$6:$P$205,"&lt;="&amp;B10,Purchase_Register!$H$6:$H$205,"CAPEX")</f>
        <v>0</v>
      </c>
      <c r="I10" s="81" t="n">
        <f aca="false">SUMIFS(Purchase_Register!$AI$6:$AI$205,Purchase_Register!$AN$6:$AN$205,"&gt;="&amp;A10,Purchase_Register!$AN$6:$AN$205,"&lt;="&amp;B10)</f>
        <v>0</v>
      </c>
      <c r="J10" s="81" t="n">
        <f aca="false">SUMIFS(Purchase_Register!$AK$6:$AK$205,Purchase_Register!$AO$6:$AO$205,"&gt;="&amp;A10,Purchase_Register!$AO$6:$AO$205,"&lt;="&amp;B10)</f>
        <v>0</v>
      </c>
      <c r="K10" s="47" t="n">
        <f aca="false">SUM($F$5:F10)</f>
        <v>37859016.795</v>
      </c>
      <c r="L10" s="47" t="n">
        <f aca="false">SUM($J$5:J10)</f>
        <v>16769766.05</v>
      </c>
    </row>
    <row r="11" customFormat="false" ht="15" hidden="false" customHeight="false" outlineLevel="0" collapsed="false">
      <c r="A11" s="108" t="n">
        <f aca="false">DATE(YEAR(Settings!$B$9),MONTH(Settings!$B$9)+6,1)</f>
        <v>46388</v>
      </c>
      <c r="B11" s="108" t="n">
        <f aca="false">DATE(YEAR(A11),MONTH(A11)+1,0)</f>
        <v>46418</v>
      </c>
      <c r="C11" s="46" t="str">
        <f aca="false">TEXT(A11,"mmm-yy")</f>
        <v>Jan-27</v>
      </c>
      <c r="D11" s="80" t="n">
        <f aca="false">COUNTIFS(Purchase_Register!$B$6:$B$205,"&gt;="&amp;A11,Purchase_Register!$B$6:$B$205,"&lt;="&amp;B11)</f>
        <v>0</v>
      </c>
      <c r="E11" s="80" t="n">
        <f aca="false">COUNTIFS(Purchase_Register!$P$6:$P$205,"&gt;="&amp;A11,Purchase_Register!$P$6:$P$205,"&lt;="&amp;B11)</f>
        <v>0</v>
      </c>
      <c r="F11" s="81" t="n">
        <f aca="false">SUMIFS(Purchase_Register!$AD$6:$AD$205,Purchase_Register!$P$6:$P$205,"&gt;="&amp;A11,Purchase_Register!$P$6:$P$205,"&lt;="&amp;B11)</f>
        <v>0</v>
      </c>
      <c r="G11" s="81" t="n">
        <f aca="false">SUMIFS(Purchase_Register!$AD$6:$AD$205,Purchase_Register!$P$6:$P$205,"&gt;="&amp;A11,Purchase_Register!$P$6:$P$205,"&lt;="&amp;B11,Purchase_Register!$H$6:$H$205,"OPEX")</f>
        <v>0</v>
      </c>
      <c r="H11" s="81" t="n">
        <f aca="false">SUMIFS(Purchase_Register!$AD$6:$AD$205,Purchase_Register!$P$6:$P$205,"&gt;="&amp;A11,Purchase_Register!$P$6:$P$205,"&lt;="&amp;B11,Purchase_Register!$H$6:$H$205,"CAPEX")</f>
        <v>0</v>
      </c>
      <c r="I11" s="81" t="n">
        <f aca="false">SUMIFS(Purchase_Register!$AI$6:$AI$205,Purchase_Register!$AN$6:$AN$205,"&gt;="&amp;A11,Purchase_Register!$AN$6:$AN$205,"&lt;="&amp;B11)</f>
        <v>0</v>
      </c>
      <c r="J11" s="81" t="n">
        <f aca="false">SUMIFS(Purchase_Register!$AK$6:$AK$205,Purchase_Register!$AO$6:$AO$205,"&gt;="&amp;A11,Purchase_Register!$AO$6:$AO$205,"&lt;="&amp;B11)</f>
        <v>0</v>
      </c>
      <c r="K11" s="47" t="n">
        <f aca="false">SUM($F$5:F11)</f>
        <v>37859016.795</v>
      </c>
      <c r="L11" s="47" t="n">
        <f aca="false">SUM($J$5:J11)</f>
        <v>16769766.05</v>
      </c>
    </row>
    <row r="12" customFormat="false" ht="15" hidden="false" customHeight="false" outlineLevel="0" collapsed="false">
      <c r="A12" s="108" t="n">
        <f aca="false">DATE(YEAR(Settings!$B$9),MONTH(Settings!$B$9)+7,1)</f>
        <v>46419</v>
      </c>
      <c r="B12" s="108" t="n">
        <f aca="false">DATE(YEAR(A12),MONTH(A12)+1,0)</f>
        <v>46446</v>
      </c>
      <c r="C12" s="46" t="str">
        <f aca="false">TEXT(A12,"mmm-yy")</f>
        <v>Feb-27</v>
      </c>
      <c r="D12" s="80" t="n">
        <f aca="false">COUNTIFS(Purchase_Register!$B$6:$B$205,"&gt;="&amp;A12,Purchase_Register!$B$6:$B$205,"&lt;="&amp;B12)</f>
        <v>0</v>
      </c>
      <c r="E12" s="80" t="n">
        <f aca="false">COUNTIFS(Purchase_Register!$P$6:$P$205,"&gt;="&amp;A12,Purchase_Register!$P$6:$P$205,"&lt;="&amp;B12)</f>
        <v>0</v>
      </c>
      <c r="F12" s="81" t="n">
        <f aca="false">SUMIFS(Purchase_Register!$AD$6:$AD$205,Purchase_Register!$P$6:$P$205,"&gt;="&amp;A12,Purchase_Register!$P$6:$P$205,"&lt;="&amp;B12)</f>
        <v>0</v>
      </c>
      <c r="G12" s="81" t="n">
        <f aca="false">SUMIFS(Purchase_Register!$AD$6:$AD$205,Purchase_Register!$P$6:$P$205,"&gt;="&amp;A12,Purchase_Register!$P$6:$P$205,"&lt;="&amp;B12,Purchase_Register!$H$6:$H$205,"OPEX")</f>
        <v>0</v>
      </c>
      <c r="H12" s="81" t="n">
        <f aca="false">SUMIFS(Purchase_Register!$AD$6:$AD$205,Purchase_Register!$P$6:$P$205,"&gt;="&amp;A12,Purchase_Register!$P$6:$P$205,"&lt;="&amp;B12,Purchase_Register!$H$6:$H$205,"CAPEX")</f>
        <v>0</v>
      </c>
      <c r="I12" s="81" t="n">
        <f aca="false">SUMIFS(Purchase_Register!$AI$6:$AI$205,Purchase_Register!$AN$6:$AN$205,"&gt;="&amp;A12,Purchase_Register!$AN$6:$AN$205,"&lt;="&amp;B12)</f>
        <v>0</v>
      </c>
      <c r="J12" s="81" t="n">
        <f aca="false">SUMIFS(Purchase_Register!$AK$6:$AK$205,Purchase_Register!$AO$6:$AO$205,"&gt;="&amp;A12,Purchase_Register!$AO$6:$AO$205,"&lt;="&amp;B12)</f>
        <v>0</v>
      </c>
      <c r="K12" s="47" t="n">
        <f aca="false">SUM($F$5:F12)</f>
        <v>37859016.795</v>
      </c>
      <c r="L12" s="47" t="n">
        <f aca="false">SUM($J$5:J12)</f>
        <v>16769766.05</v>
      </c>
    </row>
    <row r="13" customFormat="false" ht="15" hidden="false" customHeight="false" outlineLevel="0" collapsed="false">
      <c r="A13" s="108" t="n">
        <f aca="false">DATE(YEAR(Settings!$B$9),MONTH(Settings!$B$9)+8,1)</f>
        <v>46447</v>
      </c>
      <c r="B13" s="108" t="n">
        <f aca="false">DATE(YEAR(A13),MONTH(A13)+1,0)</f>
        <v>46477</v>
      </c>
      <c r="C13" s="46" t="str">
        <f aca="false">TEXT(A13,"mmm-yy")</f>
        <v>Mar-27</v>
      </c>
      <c r="D13" s="80" t="n">
        <f aca="false">COUNTIFS(Purchase_Register!$B$6:$B$205,"&gt;="&amp;A13,Purchase_Register!$B$6:$B$205,"&lt;="&amp;B13)</f>
        <v>0</v>
      </c>
      <c r="E13" s="80" t="n">
        <f aca="false">COUNTIFS(Purchase_Register!$P$6:$P$205,"&gt;="&amp;A13,Purchase_Register!$P$6:$P$205,"&lt;="&amp;B13)</f>
        <v>0</v>
      </c>
      <c r="F13" s="81" t="n">
        <f aca="false">SUMIFS(Purchase_Register!$AD$6:$AD$205,Purchase_Register!$P$6:$P$205,"&gt;="&amp;A13,Purchase_Register!$P$6:$P$205,"&lt;="&amp;B13)</f>
        <v>0</v>
      </c>
      <c r="G13" s="81" t="n">
        <f aca="false">SUMIFS(Purchase_Register!$AD$6:$AD$205,Purchase_Register!$P$6:$P$205,"&gt;="&amp;A13,Purchase_Register!$P$6:$P$205,"&lt;="&amp;B13,Purchase_Register!$H$6:$H$205,"OPEX")</f>
        <v>0</v>
      </c>
      <c r="H13" s="81" t="n">
        <f aca="false">SUMIFS(Purchase_Register!$AD$6:$AD$205,Purchase_Register!$P$6:$P$205,"&gt;="&amp;A13,Purchase_Register!$P$6:$P$205,"&lt;="&amp;B13,Purchase_Register!$H$6:$H$205,"CAPEX")</f>
        <v>0</v>
      </c>
      <c r="I13" s="81" t="n">
        <f aca="false">SUMIFS(Purchase_Register!$AI$6:$AI$205,Purchase_Register!$AN$6:$AN$205,"&gt;="&amp;A13,Purchase_Register!$AN$6:$AN$205,"&lt;="&amp;B13)</f>
        <v>0</v>
      </c>
      <c r="J13" s="81" t="n">
        <f aca="false">SUMIFS(Purchase_Register!$AK$6:$AK$205,Purchase_Register!$AO$6:$AO$205,"&gt;="&amp;A13,Purchase_Register!$AO$6:$AO$205,"&lt;="&amp;B13)</f>
        <v>0</v>
      </c>
      <c r="K13" s="47" t="n">
        <f aca="false">SUM($F$5:F13)</f>
        <v>37859016.795</v>
      </c>
      <c r="L13" s="47" t="n">
        <f aca="false">SUM($J$5:J13)</f>
        <v>16769766.05</v>
      </c>
    </row>
    <row r="14" customFormat="false" ht="15" hidden="false" customHeight="false" outlineLevel="0" collapsed="false">
      <c r="A14" s="108" t="n">
        <f aca="false">DATE(YEAR(Settings!$B$9),MONTH(Settings!$B$9)+9,1)</f>
        <v>46478</v>
      </c>
      <c r="B14" s="108" t="n">
        <f aca="false">DATE(YEAR(A14),MONTH(A14)+1,0)</f>
        <v>46507</v>
      </c>
      <c r="C14" s="46" t="str">
        <f aca="false">TEXT(A14,"mmm-yy")</f>
        <v>Apr-27</v>
      </c>
      <c r="D14" s="80" t="n">
        <f aca="false">COUNTIFS(Purchase_Register!$B$6:$B$205,"&gt;="&amp;A14,Purchase_Register!$B$6:$B$205,"&lt;="&amp;B14)</f>
        <v>0</v>
      </c>
      <c r="E14" s="80" t="n">
        <f aca="false">COUNTIFS(Purchase_Register!$P$6:$P$205,"&gt;="&amp;A14,Purchase_Register!$P$6:$P$205,"&lt;="&amp;B14)</f>
        <v>0</v>
      </c>
      <c r="F14" s="81" t="n">
        <f aca="false">SUMIFS(Purchase_Register!$AD$6:$AD$205,Purchase_Register!$P$6:$P$205,"&gt;="&amp;A14,Purchase_Register!$P$6:$P$205,"&lt;="&amp;B14)</f>
        <v>0</v>
      </c>
      <c r="G14" s="81" t="n">
        <f aca="false">SUMIFS(Purchase_Register!$AD$6:$AD$205,Purchase_Register!$P$6:$P$205,"&gt;="&amp;A14,Purchase_Register!$P$6:$P$205,"&lt;="&amp;B14,Purchase_Register!$H$6:$H$205,"OPEX")</f>
        <v>0</v>
      </c>
      <c r="H14" s="81" t="n">
        <f aca="false">SUMIFS(Purchase_Register!$AD$6:$AD$205,Purchase_Register!$P$6:$P$205,"&gt;="&amp;A14,Purchase_Register!$P$6:$P$205,"&lt;="&amp;B14,Purchase_Register!$H$6:$H$205,"CAPEX")</f>
        <v>0</v>
      </c>
      <c r="I14" s="81" t="n">
        <f aca="false">SUMIFS(Purchase_Register!$AI$6:$AI$205,Purchase_Register!$AN$6:$AN$205,"&gt;="&amp;A14,Purchase_Register!$AN$6:$AN$205,"&lt;="&amp;B14)</f>
        <v>0</v>
      </c>
      <c r="J14" s="81" t="n">
        <f aca="false">SUMIFS(Purchase_Register!$AK$6:$AK$205,Purchase_Register!$AO$6:$AO$205,"&gt;="&amp;A14,Purchase_Register!$AO$6:$AO$205,"&lt;="&amp;B14)</f>
        <v>0</v>
      </c>
      <c r="K14" s="47" t="n">
        <f aca="false">SUM($F$5:F14)</f>
        <v>37859016.795</v>
      </c>
      <c r="L14" s="47" t="n">
        <f aca="false">SUM($J$5:J14)</f>
        <v>16769766.05</v>
      </c>
    </row>
    <row r="15" customFormat="false" ht="15" hidden="false" customHeight="false" outlineLevel="0" collapsed="false">
      <c r="A15" s="108" t="n">
        <f aca="false">DATE(YEAR(Settings!$B$9),MONTH(Settings!$B$9)+10,1)</f>
        <v>46508</v>
      </c>
      <c r="B15" s="108" t="n">
        <f aca="false">DATE(YEAR(A15),MONTH(A15)+1,0)</f>
        <v>46538</v>
      </c>
      <c r="C15" s="46" t="str">
        <f aca="false">TEXT(A15,"mmm-yy")</f>
        <v>May-27</v>
      </c>
      <c r="D15" s="80" t="n">
        <f aca="false">COUNTIFS(Purchase_Register!$B$6:$B$205,"&gt;="&amp;A15,Purchase_Register!$B$6:$B$205,"&lt;="&amp;B15)</f>
        <v>0</v>
      </c>
      <c r="E15" s="80" t="n">
        <f aca="false">COUNTIFS(Purchase_Register!$P$6:$P$205,"&gt;="&amp;A15,Purchase_Register!$P$6:$P$205,"&lt;="&amp;B15)</f>
        <v>0</v>
      </c>
      <c r="F15" s="81" t="n">
        <f aca="false">SUMIFS(Purchase_Register!$AD$6:$AD$205,Purchase_Register!$P$6:$P$205,"&gt;="&amp;A15,Purchase_Register!$P$6:$P$205,"&lt;="&amp;B15)</f>
        <v>0</v>
      </c>
      <c r="G15" s="81" t="n">
        <f aca="false">SUMIFS(Purchase_Register!$AD$6:$AD$205,Purchase_Register!$P$6:$P$205,"&gt;="&amp;A15,Purchase_Register!$P$6:$P$205,"&lt;="&amp;B15,Purchase_Register!$H$6:$H$205,"OPEX")</f>
        <v>0</v>
      </c>
      <c r="H15" s="81" t="n">
        <f aca="false">SUMIFS(Purchase_Register!$AD$6:$AD$205,Purchase_Register!$P$6:$P$205,"&gt;="&amp;A15,Purchase_Register!$P$6:$P$205,"&lt;="&amp;B15,Purchase_Register!$H$6:$H$205,"CAPEX")</f>
        <v>0</v>
      </c>
      <c r="I15" s="81" t="n">
        <f aca="false">SUMIFS(Purchase_Register!$AI$6:$AI$205,Purchase_Register!$AN$6:$AN$205,"&gt;="&amp;A15,Purchase_Register!$AN$6:$AN$205,"&lt;="&amp;B15)</f>
        <v>0</v>
      </c>
      <c r="J15" s="81" t="n">
        <f aca="false">SUMIFS(Purchase_Register!$AK$6:$AK$205,Purchase_Register!$AO$6:$AO$205,"&gt;="&amp;A15,Purchase_Register!$AO$6:$AO$205,"&lt;="&amp;B15)</f>
        <v>0</v>
      </c>
      <c r="K15" s="47" t="n">
        <f aca="false">SUM($F$5:F15)</f>
        <v>37859016.795</v>
      </c>
      <c r="L15" s="47" t="n">
        <f aca="false">SUM($J$5:J15)</f>
        <v>16769766.05</v>
      </c>
    </row>
    <row r="16" customFormat="false" ht="15" hidden="false" customHeight="false" outlineLevel="0" collapsed="false">
      <c r="A16" s="108" t="n">
        <f aca="false">DATE(YEAR(Settings!$B$9),MONTH(Settings!$B$9)+11,1)</f>
        <v>46539</v>
      </c>
      <c r="B16" s="108" t="n">
        <f aca="false">DATE(YEAR(A16),MONTH(A16)+1,0)</f>
        <v>46568</v>
      </c>
      <c r="C16" s="46" t="str">
        <f aca="false">TEXT(A16,"mmm-yy")</f>
        <v>Jun-27</v>
      </c>
      <c r="D16" s="80" t="n">
        <f aca="false">COUNTIFS(Purchase_Register!$B$6:$B$205,"&gt;="&amp;A16,Purchase_Register!$B$6:$B$205,"&lt;="&amp;B16)</f>
        <v>0</v>
      </c>
      <c r="E16" s="80" t="n">
        <f aca="false">COUNTIFS(Purchase_Register!$P$6:$P$205,"&gt;="&amp;A16,Purchase_Register!$P$6:$P$205,"&lt;="&amp;B16)</f>
        <v>0</v>
      </c>
      <c r="F16" s="81" t="n">
        <f aca="false">SUMIFS(Purchase_Register!$AD$6:$AD$205,Purchase_Register!$P$6:$P$205,"&gt;="&amp;A16,Purchase_Register!$P$6:$P$205,"&lt;="&amp;B16)</f>
        <v>0</v>
      </c>
      <c r="G16" s="81" t="n">
        <f aca="false">SUMIFS(Purchase_Register!$AD$6:$AD$205,Purchase_Register!$P$6:$P$205,"&gt;="&amp;A16,Purchase_Register!$P$6:$P$205,"&lt;="&amp;B16,Purchase_Register!$H$6:$H$205,"OPEX")</f>
        <v>0</v>
      </c>
      <c r="H16" s="81" t="n">
        <f aca="false">SUMIFS(Purchase_Register!$AD$6:$AD$205,Purchase_Register!$P$6:$P$205,"&gt;="&amp;A16,Purchase_Register!$P$6:$P$205,"&lt;="&amp;B16,Purchase_Register!$H$6:$H$205,"CAPEX")</f>
        <v>0</v>
      </c>
      <c r="I16" s="81" t="n">
        <f aca="false">SUMIFS(Purchase_Register!$AI$6:$AI$205,Purchase_Register!$AN$6:$AN$205,"&gt;="&amp;A16,Purchase_Register!$AN$6:$AN$205,"&lt;="&amp;B16)</f>
        <v>0</v>
      </c>
      <c r="J16" s="81" t="n">
        <f aca="false">SUMIFS(Purchase_Register!$AK$6:$AK$205,Purchase_Register!$AO$6:$AO$205,"&gt;="&amp;A16,Purchase_Register!$AO$6:$AO$205,"&lt;="&amp;B16)</f>
        <v>0</v>
      </c>
      <c r="K16" s="47" t="n">
        <f aca="false">SUM($F$5:F16)</f>
        <v>37859016.795</v>
      </c>
      <c r="L16" s="47" t="n">
        <f aca="false">SUM($J$5:J16)</f>
        <v>16769766.05</v>
      </c>
    </row>
    <row r="17" customFormat="false" ht="15" hidden="false" customHeight="false" outlineLevel="0" collapsed="false">
      <c r="C17" s="91" t="s">
        <v>445</v>
      </c>
      <c r="D17" s="87" t="n">
        <f aca="false">SUM(D5:D16)</f>
        <v>35</v>
      </c>
      <c r="E17" s="87" t="n">
        <f aca="false">SUM(E5:E16)</f>
        <v>31</v>
      </c>
      <c r="F17" s="87" t="n">
        <f aca="false">SUM(F5:F16)</f>
        <v>37859016.795</v>
      </c>
      <c r="G17" s="87" t="n">
        <f aca="false">SUM(G5:G16)</f>
        <v>25304970.85</v>
      </c>
      <c r="H17" s="87" t="n">
        <f aca="false">SUM(H5:H16)</f>
        <v>12554045.945</v>
      </c>
      <c r="I17" s="87" t="n">
        <f aca="false">SUM(I5:I16)</f>
        <v>28269738.95</v>
      </c>
      <c r="J17" s="87" t="n">
        <f aca="false">SUM(J5:J16)</f>
        <v>16769766.05</v>
      </c>
    </row>
    <row r="18" customFormat="false" ht="15" hidden="false" customHeight="false" outlineLevel="0" collapsed="false">
      <c r="C18" s="109" t="s">
        <v>480</v>
      </c>
      <c r="J18" s="110" t="n">
        <f aca="false">SUMIFS(Purchase_Register!$AK$6:$AK$205,Purchase_Register!$AO$6:$AO$205,"&lt;"&amp;A5)</f>
        <v>0</v>
      </c>
    </row>
    <row r="20" customFormat="false" ht="15" hidden="false" customHeight="false" outlineLevel="0" collapsed="false">
      <c r="A20" s="40" t="s">
        <v>481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39" t="s">
        <v>482</v>
      </c>
    </row>
    <row r="2" customFormat="false" ht="15" hidden="false" customHeight="false" outlineLevel="0" collapsed="false">
      <c r="A2" s="111" t="s">
        <v>483</v>
      </c>
    </row>
    <row r="4" customFormat="false" ht="15" hidden="false" customHeight="false" outlineLevel="0" collapsed="false">
      <c r="A4" s="112" t="s">
        <v>484</v>
      </c>
      <c r="B4" s="113" t="n">
        <f aca="true">TODAY()</f>
        <v>46310</v>
      </c>
    </row>
    <row r="5" customFormat="false" ht="15" hidden="false" customHeight="false" outlineLevel="0" collapsed="false">
      <c r="A5" s="112" t="s">
        <v>485</v>
      </c>
      <c r="B5" s="114" t="s">
        <v>486</v>
      </c>
    </row>
    <row r="6" customFormat="false" ht="15" hidden="false" customHeight="false" outlineLevel="0" collapsed="false">
      <c r="A6" s="112" t="s">
        <v>487</v>
      </c>
      <c r="B6" s="115" t="n">
        <v>0.98</v>
      </c>
    </row>
    <row r="7" customFormat="false" ht="15" hidden="false" customHeight="false" outlineLevel="0" collapsed="false">
      <c r="A7" s="112" t="s">
        <v>488</v>
      </c>
      <c r="B7" s="115" t="n">
        <v>0.05</v>
      </c>
    </row>
    <row r="8" customFormat="false" ht="15" hidden="false" customHeight="false" outlineLevel="0" collapsed="false">
      <c r="A8" s="112" t="s">
        <v>489</v>
      </c>
      <c r="B8" s="115" t="n">
        <v>0.85</v>
      </c>
    </row>
    <row r="9" customFormat="false" ht="15" hidden="false" customHeight="false" outlineLevel="0" collapsed="false">
      <c r="A9" s="112" t="s">
        <v>490</v>
      </c>
      <c r="B9" s="113" t="n">
        <v>46204</v>
      </c>
    </row>
    <row r="11" customFormat="false" ht="15" hidden="false" customHeight="false" outlineLevel="0" collapsed="false">
      <c r="A11" s="116" t="s">
        <v>110</v>
      </c>
      <c r="B11" s="116" t="s">
        <v>491</v>
      </c>
      <c r="C11" s="116" t="s">
        <v>492</v>
      </c>
    </row>
    <row r="12" customFormat="false" ht="15" hidden="false" customHeight="false" outlineLevel="0" collapsed="false">
      <c r="A12" s="112" t="s">
        <v>180</v>
      </c>
      <c r="B12" s="117" t="n">
        <v>1</v>
      </c>
      <c r="C12" s="118" t="s">
        <v>493</v>
      </c>
    </row>
    <row r="13" customFormat="false" ht="15" hidden="false" customHeight="false" outlineLevel="0" collapsed="false">
      <c r="A13" s="112" t="s">
        <v>165</v>
      </c>
      <c r="B13" s="117" t="n">
        <v>122</v>
      </c>
      <c r="C13" s="118" t="s">
        <v>494</v>
      </c>
    </row>
    <row r="14" customFormat="false" ht="15" hidden="false" customHeight="false" outlineLevel="0" collapsed="false">
      <c r="A14" s="112" t="s">
        <v>218</v>
      </c>
      <c r="B14" s="117" t="n">
        <v>17</v>
      </c>
      <c r="C14" s="118" t="s">
        <v>494</v>
      </c>
    </row>
    <row r="15" customFormat="false" ht="15" hidden="false" customHeight="false" outlineLevel="0" collapsed="false">
      <c r="A15" s="112" t="s">
        <v>495</v>
      </c>
      <c r="B15" s="117" t="n">
        <v>133</v>
      </c>
      <c r="C15" s="118" t="s">
        <v>494</v>
      </c>
    </row>
    <row r="16" customFormat="false" ht="15" hidden="false" customHeight="false" outlineLevel="0" collapsed="false">
      <c r="A16" s="112" t="s">
        <v>496</v>
      </c>
      <c r="B16" s="117" t="n">
        <v>1.45</v>
      </c>
      <c r="C16" s="118" t="s">
        <v>494</v>
      </c>
    </row>
    <row r="18" customFormat="false" ht="15" hidden="false" customHeight="false" outlineLevel="0" collapsed="false">
      <c r="A18" s="116" t="s">
        <v>497</v>
      </c>
      <c r="B18" s="116" t="s">
        <v>498</v>
      </c>
    </row>
    <row r="19" customFormat="false" ht="15" hidden="false" customHeight="false" outlineLevel="0" collapsed="false">
      <c r="A19" s="112" t="s">
        <v>499</v>
      </c>
      <c r="B19" s="119" t="n">
        <v>3</v>
      </c>
    </row>
    <row r="20" customFormat="false" ht="15" hidden="false" customHeight="false" outlineLevel="0" collapsed="false">
      <c r="A20" s="112" t="s">
        <v>500</v>
      </c>
      <c r="B20" s="119" t="n">
        <v>3</v>
      </c>
    </row>
    <row r="21" customFormat="false" ht="15" hidden="false" customHeight="false" outlineLevel="0" collapsed="false">
      <c r="A21" s="112" t="s">
        <v>501</v>
      </c>
      <c r="B21" s="115" t="n">
        <v>0.8</v>
      </c>
    </row>
    <row r="22" customFormat="false" ht="15" hidden="false" customHeight="false" outlineLevel="0" collapsed="false">
      <c r="A22" s="112" t="s">
        <v>502</v>
      </c>
      <c r="B22" s="115" t="n">
        <v>0.95</v>
      </c>
    </row>
    <row r="23" customFormat="false" ht="15" hidden="false" customHeight="false" outlineLevel="0" collapsed="false">
      <c r="A23" s="112" t="s">
        <v>503</v>
      </c>
      <c r="B23" s="119" t="n">
        <v>3</v>
      </c>
    </row>
    <row r="24" customFormat="false" ht="15" hidden="false" customHeight="false" outlineLevel="0" collapsed="false">
      <c r="A24" s="112" t="s">
        <v>504</v>
      </c>
      <c r="B24" s="120" t="n">
        <v>100000</v>
      </c>
    </row>
    <row r="25" customFormat="false" ht="15" hidden="false" customHeight="false" outlineLevel="0" collapsed="false">
      <c r="A25" s="112" t="s">
        <v>505</v>
      </c>
      <c r="B25" s="121" t="n">
        <v>0.01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30"/>
  </cols>
  <sheetData>
    <row r="1" customFormat="false" ht="15" hidden="false" customHeight="false" outlineLevel="0" collapsed="false">
      <c r="A1" s="116" t="s">
        <v>64</v>
      </c>
      <c r="B1" s="116" t="s">
        <v>28</v>
      </c>
      <c r="C1" s="116" t="s">
        <v>32</v>
      </c>
      <c r="D1" s="116" t="s">
        <v>102</v>
      </c>
      <c r="E1" s="116" t="s">
        <v>449</v>
      </c>
      <c r="F1" s="116" t="s">
        <v>108</v>
      </c>
      <c r="G1" s="116" t="s">
        <v>110</v>
      </c>
      <c r="H1" s="116" t="s">
        <v>121</v>
      </c>
      <c r="I1" s="116" t="s">
        <v>144</v>
      </c>
      <c r="J1" s="116" t="s">
        <v>80</v>
      </c>
    </row>
    <row r="2" customFormat="false" ht="15" hidden="false" customHeight="false" outlineLevel="0" collapsed="false">
      <c r="A2" s="122" t="s">
        <v>153</v>
      </c>
      <c r="B2" s="122" t="s">
        <v>156</v>
      </c>
      <c r="C2" s="122" t="s">
        <v>43</v>
      </c>
      <c r="D2" s="122" t="s">
        <v>159</v>
      </c>
      <c r="E2" s="122" t="s">
        <v>162</v>
      </c>
      <c r="F2" s="122" t="s">
        <v>164</v>
      </c>
      <c r="G2" s="122" t="s">
        <v>180</v>
      </c>
      <c r="H2" s="122" t="s">
        <v>174</v>
      </c>
      <c r="I2" s="122" t="s">
        <v>159</v>
      </c>
      <c r="J2" s="122" t="s">
        <v>161</v>
      </c>
    </row>
    <row r="3" customFormat="false" ht="15" hidden="false" customHeight="false" outlineLevel="0" collapsed="false">
      <c r="A3" s="122" t="s">
        <v>235</v>
      </c>
      <c r="B3" s="122" t="s">
        <v>185</v>
      </c>
      <c r="C3" s="122" t="s">
        <v>45</v>
      </c>
      <c r="D3" s="122" t="s">
        <v>390</v>
      </c>
      <c r="E3" s="122" t="s">
        <v>189</v>
      </c>
      <c r="F3" s="122" t="s">
        <v>191</v>
      </c>
      <c r="G3" s="122" t="s">
        <v>165</v>
      </c>
      <c r="H3" s="122" t="s">
        <v>166</v>
      </c>
      <c r="I3" s="122" t="s">
        <v>305</v>
      </c>
      <c r="J3" s="122" t="s">
        <v>201</v>
      </c>
    </row>
    <row r="4" customFormat="false" ht="15" hidden="false" customHeight="false" outlineLevel="0" collapsed="false">
      <c r="A4" s="122" t="s">
        <v>195</v>
      </c>
      <c r="B4" s="122" t="s">
        <v>198</v>
      </c>
      <c r="C4" s="122"/>
      <c r="D4" s="122" t="s">
        <v>61</v>
      </c>
      <c r="E4" s="122"/>
      <c r="F4" s="122" t="s">
        <v>203</v>
      </c>
      <c r="G4" s="122" t="s">
        <v>218</v>
      </c>
      <c r="H4" s="122" t="s">
        <v>181</v>
      </c>
      <c r="I4" s="122" t="s">
        <v>61</v>
      </c>
      <c r="J4" s="122" t="s">
        <v>225</v>
      </c>
    </row>
    <row r="5" customFormat="false" ht="15" hidden="false" customHeight="false" outlineLevel="0" collapsed="false">
      <c r="A5" s="122" t="s">
        <v>271</v>
      </c>
      <c r="B5" s="122" t="s">
        <v>222</v>
      </c>
      <c r="C5" s="122"/>
      <c r="D5" s="122"/>
      <c r="E5" s="122"/>
      <c r="F5" s="122" t="s">
        <v>227</v>
      </c>
      <c r="G5" s="122" t="s">
        <v>495</v>
      </c>
      <c r="H5" s="122" t="s">
        <v>506</v>
      </c>
      <c r="I5" s="122" t="s">
        <v>390</v>
      </c>
      <c r="J5" s="122" t="s">
        <v>277</v>
      </c>
    </row>
    <row r="6" customFormat="false" ht="15" hidden="false" customHeight="false" outlineLevel="0" collapsed="false">
      <c r="A6" s="122" t="s">
        <v>507</v>
      </c>
      <c r="B6" s="122" t="s">
        <v>238</v>
      </c>
      <c r="C6" s="122"/>
      <c r="D6" s="122"/>
      <c r="E6" s="122"/>
      <c r="F6" s="122" t="s">
        <v>279</v>
      </c>
      <c r="G6" s="122" t="s">
        <v>496</v>
      </c>
      <c r="H6" s="122" t="s">
        <v>192</v>
      </c>
      <c r="I6" s="122"/>
      <c r="J6" s="122" t="s">
        <v>241</v>
      </c>
    </row>
    <row r="7" customFormat="false" ht="15" hidden="false" customHeight="false" outlineLevel="0" collapsed="false">
      <c r="A7" s="122" t="s">
        <v>288</v>
      </c>
      <c r="B7" s="122" t="s">
        <v>274</v>
      </c>
      <c r="C7" s="122"/>
      <c r="D7" s="122"/>
      <c r="E7" s="122"/>
      <c r="F7" s="122" t="s">
        <v>217</v>
      </c>
      <c r="G7" s="122"/>
      <c r="H7" s="122" t="s">
        <v>315</v>
      </c>
      <c r="I7" s="122"/>
      <c r="J7" s="122" t="s">
        <v>261</v>
      </c>
    </row>
    <row r="8" customFormat="false" ht="15" hidden="false" customHeight="false" outlineLevel="0" collapsed="false">
      <c r="A8" s="122" t="s">
        <v>508</v>
      </c>
      <c r="B8" s="122" t="s">
        <v>291</v>
      </c>
      <c r="C8" s="122"/>
      <c r="D8" s="122"/>
      <c r="E8" s="122"/>
      <c r="F8" s="122" t="s">
        <v>243</v>
      </c>
      <c r="G8" s="122"/>
      <c r="H8" s="122"/>
      <c r="I8" s="122"/>
      <c r="J8" s="122" t="s">
        <v>188</v>
      </c>
    </row>
    <row r="9" customFormat="false" ht="15" hidden="false" customHeight="false" outlineLevel="0" collapsed="false">
      <c r="A9" s="122" t="s">
        <v>298</v>
      </c>
      <c r="B9" s="122" t="s">
        <v>308</v>
      </c>
      <c r="C9" s="122"/>
      <c r="D9" s="122"/>
      <c r="E9" s="122"/>
      <c r="F9" s="122" t="s">
        <v>250</v>
      </c>
      <c r="G9" s="122"/>
      <c r="H9" s="122"/>
      <c r="I9" s="122"/>
      <c r="J9" s="122" t="s">
        <v>312</v>
      </c>
    </row>
    <row r="10" customFormat="false" ht="15" hidden="false" customHeight="false" outlineLevel="0" collapsed="false">
      <c r="A10" s="122" t="s">
        <v>332</v>
      </c>
      <c r="B10" s="122" t="s">
        <v>335</v>
      </c>
      <c r="C10" s="122"/>
      <c r="D10" s="122"/>
      <c r="E10" s="122"/>
      <c r="F10" s="122" t="s">
        <v>296</v>
      </c>
      <c r="G10" s="122"/>
      <c r="H10" s="122"/>
      <c r="I10" s="122"/>
      <c r="J10" s="122" t="s">
        <v>294</v>
      </c>
    </row>
    <row r="11" customFormat="false" ht="15" hidden="false" customHeight="false" outlineLevel="0" collapsed="false">
      <c r="A11" s="122" t="s">
        <v>509</v>
      </c>
      <c r="B11" s="122" t="s">
        <v>301</v>
      </c>
      <c r="C11" s="122"/>
      <c r="D11" s="122"/>
      <c r="E11" s="122"/>
      <c r="F11" s="122" t="s">
        <v>314</v>
      </c>
      <c r="G11" s="122"/>
      <c r="H11" s="122"/>
      <c r="I11" s="122"/>
      <c r="J11" s="122" t="s">
        <v>338</v>
      </c>
    </row>
    <row r="12" customFormat="false" ht="15" hidden="false" customHeight="false" outlineLevel="0" collapsed="false">
      <c r="A12" s="122"/>
      <c r="B12" s="122"/>
      <c r="C12" s="122"/>
      <c r="D12" s="122"/>
      <c r="E12" s="122"/>
      <c r="F12" s="122"/>
      <c r="G12" s="122"/>
      <c r="H12" s="122"/>
      <c r="I12" s="122"/>
      <c r="J12" s="122"/>
    </row>
    <row r="13" customFormat="false" ht="15" hidden="false" customHeight="false" outlineLevel="0" collapsed="false">
      <c r="A13" s="122"/>
      <c r="B13" s="122"/>
      <c r="C13" s="122"/>
      <c r="D13" s="122"/>
      <c r="E13" s="122"/>
      <c r="F13" s="122"/>
      <c r="G13" s="122"/>
      <c r="H13" s="122"/>
      <c r="I13" s="122"/>
      <c r="J13" s="122"/>
    </row>
    <row r="14" customFormat="false" ht="15" hidden="false" customHeight="false" outlineLevel="0" collapsed="false">
      <c r="A14" s="122"/>
      <c r="B14" s="122"/>
      <c r="C14" s="122"/>
      <c r="D14" s="122"/>
      <c r="E14" s="122"/>
      <c r="F14" s="122"/>
      <c r="G14" s="122"/>
      <c r="H14" s="122"/>
      <c r="I14" s="122"/>
      <c r="J14" s="122"/>
    </row>
    <row r="15" customFormat="false" ht="15" hidden="false" customHeight="false" outlineLevel="0" collapsed="false">
      <c r="A15" s="122"/>
      <c r="B15" s="122"/>
      <c r="C15" s="122"/>
      <c r="D15" s="122"/>
      <c r="E15" s="122"/>
      <c r="F15" s="122"/>
      <c r="G15" s="122"/>
      <c r="H15" s="122"/>
      <c r="I15" s="122"/>
      <c r="J15" s="122"/>
    </row>
    <row r="16" customFormat="false" ht="15" hidden="false" customHeight="false" outlineLevel="0" collapsed="false">
      <c r="A16" s="122"/>
      <c r="B16" s="122"/>
      <c r="C16" s="122"/>
      <c r="D16" s="122"/>
      <c r="E16" s="122"/>
      <c r="F16" s="122"/>
      <c r="G16" s="122"/>
      <c r="H16" s="122"/>
      <c r="I16" s="122"/>
      <c r="J16" s="122"/>
    </row>
    <row r="17" customFormat="false" ht="15" hidden="false" customHeight="false" outlineLevel="0" collapsed="false">
      <c r="A17" s="122"/>
      <c r="B17" s="122"/>
      <c r="C17" s="122"/>
      <c r="D17" s="122"/>
      <c r="E17" s="122"/>
      <c r="F17" s="122"/>
      <c r="G17" s="122"/>
      <c r="H17" s="122"/>
      <c r="I17" s="122"/>
      <c r="J17" s="122"/>
    </row>
    <row r="18" customFormat="false" ht="15" hidden="false" customHeight="false" outlineLevel="0" collapsed="false">
      <c r="A18" s="122"/>
      <c r="B18" s="122"/>
      <c r="C18" s="122"/>
      <c r="D18" s="122"/>
      <c r="E18" s="122"/>
      <c r="F18" s="122"/>
      <c r="G18" s="122"/>
      <c r="H18" s="122"/>
      <c r="I18" s="122"/>
      <c r="J18" s="122"/>
    </row>
    <row r="19" customFormat="false" ht="15" hidden="false" customHeight="false" outlineLevel="0" collapsed="false">
      <c r="A19" s="122"/>
      <c r="B19" s="122"/>
      <c r="C19" s="122"/>
      <c r="D19" s="122"/>
      <c r="E19" s="122"/>
      <c r="F19" s="122"/>
      <c r="G19" s="122"/>
      <c r="H19" s="122"/>
      <c r="I19" s="122"/>
      <c r="J19" s="122"/>
    </row>
    <row r="20" customFormat="false" ht="15" hidden="false" customHeight="false" outlineLevel="0" collapsed="false">
      <c r="A20" s="122"/>
      <c r="B20" s="122"/>
      <c r="C20" s="122"/>
      <c r="D20" s="122"/>
      <c r="E20" s="122"/>
      <c r="F20" s="122"/>
      <c r="G20" s="122"/>
      <c r="H20" s="122"/>
      <c r="I20" s="122"/>
      <c r="J20" s="122"/>
    </row>
    <row r="21" customFormat="false" ht="15" hidden="false" customHeight="false" outlineLevel="0" collapsed="false">
      <c r="A21" s="122"/>
      <c r="B21" s="122"/>
      <c r="C21" s="122"/>
      <c r="D21" s="122"/>
      <c r="E21" s="122"/>
      <c r="F21" s="122"/>
      <c r="G21" s="122"/>
      <c r="H21" s="122"/>
      <c r="I21" s="122"/>
      <c r="J21" s="122"/>
    </row>
    <row r="22" customFormat="false" ht="15" hidden="false" customHeight="false" outlineLevel="0" collapsed="false">
      <c r="A22" s="122"/>
      <c r="B22" s="122"/>
      <c r="C22" s="122"/>
      <c r="D22" s="122"/>
      <c r="E22" s="122"/>
      <c r="F22" s="122"/>
      <c r="G22" s="122"/>
      <c r="H22" s="122"/>
      <c r="I22" s="122"/>
      <c r="J22" s="122"/>
    </row>
    <row r="23" customFormat="false" ht="15" hidden="false" customHeight="false" outlineLevel="0" collapsed="false">
      <c r="A23" s="122"/>
      <c r="B23" s="122"/>
      <c r="C23" s="122"/>
      <c r="D23" s="122"/>
      <c r="E23" s="122"/>
      <c r="F23" s="122"/>
      <c r="G23" s="122"/>
      <c r="H23" s="122"/>
      <c r="I23" s="122"/>
      <c r="J23" s="122"/>
    </row>
    <row r="24" customFormat="false" ht="15" hidden="false" customHeight="false" outlineLevel="0" collapsed="false">
      <c r="A24" s="122"/>
      <c r="B24" s="122"/>
      <c r="C24" s="122"/>
      <c r="D24" s="122"/>
      <c r="E24" s="122"/>
      <c r="F24" s="122"/>
      <c r="G24" s="122"/>
      <c r="H24" s="122"/>
      <c r="I24" s="122"/>
      <c r="J24" s="122"/>
    </row>
    <row r="25" customFormat="false" ht="15" hidden="false" customHeight="false" outlineLevel="0" collapsed="false">
      <c r="A25" s="122"/>
      <c r="B25" s="122"/>
      <c r="C25" s="122"/>
      <c r="D25" s="122"/>
      <c r="E25" s="122"/>
      <c r="F25" s="122"/>
      <c r="G25" s="122"/>
      <c r="H25" s="122"/>
      <c r="I25" s="122"/>
      <c r="J25" s="122"/>
    </row>
    <row r="26" customFormat="false" ht="15" hidden="false" customHeight="false" outlineLevel="0" collapsed="false">
      <c r="A26" s="122"/>
      <c r="B26" s="122"/>
      <c r="C26" s="122"/>
      <c r="D26" s="122"/>
      <c r="E26" s="122"/>
      <c r="F26" s="122"/>
      <c r="G26" s="122"/>
      <c r="H26" s="122"/>
      <c r="I26" s="122"/>
      <c r="J26" s="122"/>
    </row>
    <row r="27" customFormat="false" ht="15" hidden="false" customHeight="false" outlineLevel="0" collapsed="false">
      <c r="A27" s="122"/>
      <c r="B27" s="122"/>
      <c r="C27" s="122"/>
      <c r="D27" s="122"/>
      <c r="E27" s="122"/>
      <c r="F27" s="122"/>
      <c r="G27" s="122"/>
      <c r="H27" s="122"/>
      <c r="I27" s="122"/>
      <c r="J27" s="122"/>
    </row>
    <row r="28" customFormat="false" ht="15" hidden="false" customHeight="false" outlineLevel="0" collapsed="false">
      <c r="A28" s="122"/>
      <c r="B28" s="122"/>
      <c r="C28" s="122"/>
      <c r="D28" s="122"/>
      <c r="E28" s="122"/>
      <c r="F28" s="122"/>
      <c r="G28" s="122"/>
      <c r="H28" s="122"/>
      <c r="I28" s="122"/>
      <c r="J28" s="122"/>
    </row>
    <row r="29" customFormat="false" ht="15" hidden="false" customHeight="false" outlineLevel="0" collapsed="false">
      <c r="A29" s="122"/>
      <c r="B29" s="122"/>
      <c r="C29" s="122"/>
      <c r="D29" s="122"/>
      <c r="E29" s="122"/>
      <c r="F29" s="122"/>
      <c r="G29" s="122"/>
      <c r="H29" s="122"/>
      <c r="I29" s="122"/>
      <c r="J29" s="122"/>
    </row>
    <row r="30" customFormat="false" ht="15" hidden="false" customHeight="false" outlineLevel="0" collapsed="false">
      <c r="A30" s="122"/>
      <c r="B30" s="122"/>
      <c r="C30" s="122"/>
      <c r="D30" s="122"/>
      <c r="E30" s="122"/>
      <c r="F30" s="122"/>
      <c r="G30" s="122"/>
      <c r="H30" s="122"/>
      <c r="I30" s="122"/>
      <c r="J30" s="122"/>
    </row>
    <row r="31" customFormat="false" ht="15" hidden="false" customHeight="false" outlineLevel="0" collapsed="false">
      <c r="A31" s="122"/>
      <c r="B31" s="122"/>
      <c r="C31" s="122"/>
      <c r="D31" s="122"/>
      <c r="E31" s="122"/>
      <c r="F31" s="122"/>
      <c r="G31" s="122"/>
      <c r="H31" s="122"/>
      <c r="I31" s="122"/>
      <c r="J31" s="122"/>
    </row>
    <row r="32" customFormat="false" ht="15" hidden="false" customHeight="false" outlineLevel="0" collapsed="false">
      <c r="A32" s="122"/>
      <c r="B32" s="122"/>
      <c r="C32" s="122"/>
      <c r="D32" s="122"/>
      <c r="E32" s="122"/>
      <c r="F32" s="122"/>
      <c r="G32" s="122"/>
      <c r="H32" s="122"/>
      <c r="I32" s="122"/>
      <c r="J32" s="122"/>
    </row>
    <row r="33" customFormat="false" ht="15" hidden="false" customHeight="false" outlineLevel="0" collapsed="false">
      <c r="A33" s="122"/>
      <c r="B33" s="122"/>
      <c r="C33" s="122"/>
      <c r="D33" s="122"/>
      <c r="E33" s="122"/>
      <c r="F33" s="122"/>
      <c r="G33" s="122"/>
      <c r="H33" s="122"/>
      <c r="I33" s="122"/>
      <c r="J33" s="122"/>
    </row>
    <row r="34" customFormat="false" ht="15" hidden="false" customHeight="false" outlineLevel="0" collapsed="false">
      <c r="A34" s="122"/>
      <c r="B34" s="122"/>
      <c r="C34" s="122"/>
      <c r="D34" s="122"/>
      <c r="E34" s="122"/>
      <c r="F34" s="122"/>
      <c r="G34" s="122"/>
      <c r="H34" s="122"/>
      <c r="I34" s="122"/>
      <c r="J34" s="122"/>
    </row>
    <row r="35" customFormat="false" ht="15" hidden="false" customHeight="false" outlineLevel="0" collapsed="false">
      <c r="A35" s="122"/>
      <c r="B35" s="122"/>
      <c r="C35" s="122"/>
      <c r="D35" s="122"/>
      <c r="E35" s="122"/>
      <c r="F35" s="122"/>
      <c r="G35" s="122"/>
      <c r="H35" s="122"/>
      <c r="I35" s="122"/>
      <c r="J35" s="122"/>
    </row>
    <row r="36" customFormat="false" ht="15" hidden="false" customHeight="false" outlineLevel="0" collapsed="false">
      <c r="A36" s="122"/>
      <c r="B36" s="122"/>
      <c r="C36" s="122"/>
      <c r="D36" s="122"/>
      <c r="E36" s="122"/>
      <c r="F36" s="122"/>
      <c r="G36" s="122"/>
      <c r="H36" s="122"/>
      <c r="I36" s="122"/>
      <c r="J36" s="122"/>
    </row>
    <row r="37" customFormat="false" ht="15" hidden="false" customHeight="false" outlineLevel="0" collapsed="false">
      <c r="A37" s="122"/>
      <c r="B37" s="122"/>
      <c r="C37" s="122"/>
      <c r="D37" s="122"/>
      <c r="E37" s="122"/>
      <c r="F37" s="122"/>
      <c r="G37" s="122"/>
      <c r="H37" s="122"/>
      <c r="I37" s="122"/>
      <c r="J37" s="122"/>
    </row>
    <row r="38" customFormat="false" ht="15" hidden="false" customHeight="false" outlineLevel="0" collapsed="false">
      <c r="A38" s="122"/>
      <c r="B38" s="122"/>
      <c r="C38" s="122"/>
      <c r="D38" s="122"/>
      <c r="E38" s="122"/>
      <c r="F38" s="122"/>
      <c r="G38" s="122"/>
      <c r="H38" s="122"/>
      <c r="I38" s="122"/>
      <c r="J38" s="122"/>
    </row>
    <row r="39" customFormat="false" ht="15" hidden="false" customHeight="false" outlineLevel="0" collapsed="false">
      <c r="A39" s="122"/>
      <c r="B39" s="122"/>
      <c r="C39" s="122"/>
      <c r="D39" s="122"/>
      <c r="E39" s="122"/>
      <c r="F39" s="122"/>
      <c r="G39" s="122"/>
      <c r="H39" s="122"/>
      <c r="I39" s="122"/>
      <c r="J39" s="122"/>
    </row>
    <row r="40" customFormat="false" ht="15" hidden="false" customHeight="false" outlineLevel="0" collapsed="false">
      <c r="A40" s="122"/>
      <c r="B40" s="122"/>
      <c r="C40" s="122"/>
      <c r="D40" s="122"/>
      <c r="E40" s="122"/>
      <c r="F40" s="122"/>
      <c r="G40" s="122"/>
      <c r="H40" s="122"/>
      <c r="I40" s="122"/>
      <c r="J40" s="122"/>
    </row>
    <row r="41" customFormat="false" ht="15" hidden="false" customHeight="false" outlineLevel="0" collapsed="false">
      <c r="A41" s="122"/>
      <c r="B41" s="122"/>
      <c r="C41" s="122"/>
      <c r="D41" s="122"/>
      <c r="E41" s="122"/>
      <c r="F41" s="122"/>
      <c r="G41" s="122"/>
      <c r="H41" s="122"/>
      <c r="I41" s="122"/>
      <c r="J41" s="122"/>
    </row>
    <row r="43" customFormat="false" ht="15" hidden="false" customHeight="false" outlineLevel="0" collapsed="false">
      <c r="A43" s="118" t="s">
        <v>510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39" t="s">
        <v>511</v>
      </c>
    </row>
    <row r="2" customFormat="false" ht="15" hidden="false" customHeight="false" outlineLevel="0" collapsed="false">
      <c r="A2" s="40" t="s">
        <v>512</v>
      </c>
    </row>
    <row r="4" customFormat="false" ht="15" hidden="false" customHeight="false" outlineLevel="0" collapsed="false">
      <c r="A4" s="123" t="s">
        <v>513</v>
      </c>
      <c r="B4" s="124"/>
    </row>
    <row r="5" customFormat="false" ht="15" hidden="false" customHeight="false" outlineLevel="0" collapsed="false">
      <c r="A5" s="125" t="s">
        <v>514</v>
      </c>
      <c r="B5" s="126" t="s">
        <v>515</v>
      </c>
    </row>
    <row r="6" customFormat="false" ht="15" hidden="false" customHeight="false" outlineLevel="0" collapsed="false">
      <c r="A6" s="125" t="s">
        <v>516</v>
      </c>
      <c r="B6" s="126" t="s">
        <v>517</v>
      </c>
    </row>
    <row r="7" customFormat="false" ht="23.85" hidden="false" customHeight="false" outlineLevel="0" collapsed="false">
      <c r="A7" s="125" t="s">
        <v>518</v>
      </c>
      <c r="B7" s="126" t="s">
        <v>519</v>
      </c>
    </row>
    <row r="8" customFormat="false" ht="23.85" hidden="false" customHeight="false" outlineLevel="0" collapsed="false">
      <c r="A8" s="125" t="s">
        <v>520</v>
      </c>
      <c r="B8" s="126" t="s">
        <v>521</v>
      </c>
    </row>
    <row r="9" customFormat="false" ht="35.05" hidden="false" customHeight="false" outlineLevel="0" collapsed="false">
      <c r="A9" s="125" t="s">
        <v>522</v>
      </c>
      <c r="B9" s="126" t="s">
        <v>523</v>
      </c>
    </row>
    <row r="10" customFormat="false" ht="23.85" hidden="false" customHeight="false" outlineLevel="0" collapsed="false">
      <c r="A10" s="125" t="s">
        <v>524</v>
      </c>
      <c r="B10" s="126" t="s">
        <v>525</v>
      </c>
    </row>
    <row r="11" customFormat="false" ht="15" hidden="false" customHeight="false" outlineLevel="0" collapsed="false">
      <c r="A11" s="125"/>
      <c r="B11" s="126"/>
    </row>
    <row r="12" customFormat="false" ht="15" hidden="false" customHeight="false" outlineLevel="0" collapsed="false">
      <c r="A12" s="123" t="s">
        <v>526</v>
      </c>
      <c r="B12" s="124"/>
    </row>
    <row r="13" customFormat="false" ht="15" hidden="false" customHeight="false" outlineLevel="0" collapsed="false">
      <c r="A13" s="127" t="s">
        <v>527</v>
      </c>
      <c r="B13" s="126" t="s">
        <v>528</v>
      </c>
    </row>
    <row r="14" customFormat="false" ht="15" hidden="false" customHeight="false" outlineLevel="0" collapsed="false">
      <c r="A14" s="128" t="s">
        <v>529</v>
      </c>
      <c r="B14" s="126" t="s">
        <v>530</v>
      </c>
    </row>
    <row r="15" customFormat="false" ht="15" hidden="false" customHeight="false" outlineLevel="0" collapsed="false">
      <c r="A15" s="129" t="s">
        <v>531</v>
      </c>
      <c r="B15" s="126" t="s">
        <v>532</v>
      </c>
    </row>
    <row r="16" customFormat="false" ht="23.85" hidden="false" customHeight="false" outlineLevel="0" collapsed="false">
      <c r="A16" s="130" t="s">
        <v>533</v>
      </c>
      <c r="B16" s="126" t="s">
        <v>534</v>
      </c>
    </row>
    <row r="17" customFormat="false" ht="15" hidden="false" customHeight="false" outlineLevel="0" collapsed="false">
      <c r="A17" s="131" t="s">
        <v>535</v>
      </c>
      <c r="B17" s="126" t="s">
        <v>536</v>
      </c>
    </row>
    <row r="18" customFormat="false" ht="15" hidden="false" customHeight="false" outlineLevel="0" collapsed="false">
      <c r="A18" s="132" t="s">
        <v>537</v>
      </c>
      <c r="B18" s="126" t="s">
        <v>538</v>
      </c>
    </row>
    <row r="19" customFormat="false" ht="15" hidden="false" customHeight="false" outlineLevel="0" collapsed="false">
      <c r="A19" s="125"/>
      <c r="B19" s="126"/>
    </row>
    <row r="20" customFormat="false" ht="15" hidden="false" customHeight="false" outlineLevel="0" collapsed="false">
      <c r="A20" s="123" t="s">
        <v>539</v>
      </c>
      <c r="B20" s="124"/>
    </row>
    <row r="21" customFormat="false" ht="15" hidden="false" customHeight="false" outlineLevel="0" collapsed="false">
      <c r="A21" s="125" t="s">
        <v>540</v>
      </c>
      <c r="B21" s="126" t="s">
        <v>541</v>
      </c>
    </row>
    <row r="22" customFormat="false" ht="23.85" hidden="false" customHeight="false" outlineLevel="0" collapsed="false">
      <c r="A22" s="125" t="s">
        <v>542</v>
      </c>
      <c r="B22" s="126" t="s">
        <v>543</v>
      </c>
    </row>
    <row r="23" customFormat="false" ht="15" hidden="false" customHeight="false" outlineLevel="0" collapsed="false">
      <c r="A23" s="125" t="s">
        <v>544</v>
      </c>
      <c r="B23" s="126" t="s">
        <v>545</v>
      </c>
    </row>
    <row r="24" customFormat="false" ht="23.85" hidden="false" customHeight="false" outlineLevel="0" collapsed="false">
      <c r="A24" s="125" t="s">
        <v>546</v>
      </c>
      <c r="B24" s="126" t="s">
        <v>547</v>
      </c>
    </row>
    <row r="25" customFormat="false" ht="23.85" hidden="false" customHeight="false" outlineLevel="0" collapsed="false">
      <c r="A25" s="125" t="s">
        <v>548</v>
      </c>
      <c r="B25" s="126" t="s">
        <v>549</v>
      </c>
    </row>
    <row r="26" customFormat="false" ht="15" hidden="false" customHeight="false" outlineLevel="0" collapsed="false">
      <c r="A26" s="125" t="s">
        <v>550</v>
      </c>
      <c r="B26" s="126" t="s">
        <v>551</v>
      </c>
    </row>
    <row r="27" customFormat="false" ht="15" hidden="false" customHeight="false" outlineLevel="0" collapsed="false">
      <c r="A27" s="125" t="s">
        <v>552</v>
      </c>
      <c r="B27" s="126" t="s">
        <v>553</v>
      </c>
    </row>
    <row r="28" customFormat="false" ht="15" hidden="false" customHeight="false" outlineLevel="0" collapsed="false">
      <c r="A28" s="125" t="s">
        <v>554</v>
      </c>
      <c r="B28" s="126" t="s">
        <v>555</v>
      </c>
    </row>
    <row r="29" customFormat="false" ht="23.85" hidden="false" customHeight="false" outlineLevel="0" collapsed="false">
      <c r="A29" s="125" t="s">
        <v>556</v>
      </c>
      <c r="B29" s="126" t="s">
        <v>557</v>
      </c>
    </row>
    <row r="30" customFormat="false" ht="15" hidden="false" customHeight="false" outlineLevel="0" collapsed="false">
      <c r="A30" s="125"/>
      <c r="B30" s="126"/>
    </row>
    <row r="31" customFormat="false" ht="15" hidden="false" customHeight="false" outlineLevel="0" collapsed="false">
      <c r="A31" s="123" t="s">
        <v>558</v>
      </c>
      <c r="B31" s="124"/>
    </row>
    <row r="32" customFormat="false" ht="15" hidden="false" customHeight="false" outlineLevel="0" collapsed="false">
      <c r="A32" s="125" t="s">
        <v>143</v>
      </c>
      <c r="B32" s="126" t="s">
        <v>559</v>
      </c>
    </row>
    <row r="33" customFormat="false" ht="15" hidden="false" customHeight="false" outlineLevel="0" collapsed="false">
      <c r="A33" s="125" t="s">
        <v>560</v>
      </c>
      <c r="B33" s="126" t="s">
        <v>561</v>
      </c>
    </row>
    <row r="34" customFormat="false" ht="15" hidden="false" customHeight="false" outlineLevel="0" collapsed="false">
      <c r="A34" s="125" t="s">
        <v>562</v>
      </c>
      <c r="B34" s="126" t="s">
        <v>563</v>
      </c>
    </row>
    <row r="35" customFormat="false" ht="15" hidden="false" customHeight="false" outlineLevel="0" collapsed="false">
      <c r="A35" s="125" t="s">
        <v>564</v>
      </c>
      <c r="B35" s="126" t="s">
        <v>565</v>
      </c>
    </row>
    <row r="36" customFormat="false" ht="15" hidden="false" customHeight="false" outlineLevel="0" collapsed="false">
      <c r="A36" s="125" t="s">
        <v>566</v>
      </c>
      <c r="B36" s="126" t="s">
        <v>567</v>
      </c>
    </row>
    <row r="37" customFormat="false" ht="15" hidden="false" customHeight="false" outlineLevel="0" collapsed="false">
      <c r="A37" s="125" t="s">
        <v>568</v>
      </c>
      <c r="B37" s="126" t="s">
        <v>569</v>
      </c>
    </row>
    <row r="38" customFormat="false" ht="15" hidden="false" customHeight="false" outlineLevel="0" collapsed="false">
      <c r="A38" s="125" t="s">
        <v>570</v>
      </c>
      <c r="B38" s="126" t="s">
        <v>571</v>
      </c>
    </row>
    <row r="39" customFormat="false" ht="15" hidden="false" customHeight="false" outlineLevel="0" collapsed="false">
      <c r="A39" s="125"/>
      <c r="B39" s="126"/>
    </row>
    <row r="40" customFormat="false" ht="35.05" hidden="false" customHeight="false" outlineLevel="0" collapsed="false">
      <c r="A40" s="125" t="s">
        <v>572</v>
      </c>
      <c r="B40" s="126" t="s">
        <v>573</v>
      </c>
    </row>
    <row r="41" customFormat="false" ht="15" hidden="false" customHeight="false" outlineLevel="0" collapsed="false">
      <c r="A41" s="125" t="s">
        <v>574</v>
      </c>
      <c r="B41" s="126" t="s">
        <v>575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8" min="6" style="0" width="16"/>
    <col collapsed="false" customWidth="true" hidden="false" outlineLevel="0" max="9" min="9" style="0" width="30"/>
    <col collapsed="false" customWidth="true" hidden="false" outlineLevel="0" max="11" min="10" style="0" width="16"/>
  </cols>
  <sheetData>
    <row r="1" customFormat="false" ht="31.5" hidden="false" customHeight="true" outlineLevel="0" collapsed="false">
      <c r="A1" s="28" t="s">
        <v>576</v>
      </c>
      <c r="B1" s="28" t="s">
        <v>78</v>
      </c>
      <c r="C1" s="28" t="s">
        <v>97</v>
      </c>
      <c r="D1" s="28" t="s">
        <v>105</v>
      </c>
      <c r="E1" s="28" t="s">
        <v>577</v>
      </c>
      <c r="F1" s="28" t="s">
        <v>578</v>
      </c>
      <c r="G1" s="28" t="s">
        <v>579</v>
      </c>
      <c r="H1" s="28" t="s">
        <v>580</v>
      </c>
      <c r="I1" s="28" t="s">
        <v>151</v>
      </c>
      <c r="J1" s="28" t="s">
        <v>581</v>
      </c>
      <c r="K1" s="28" t="s">
        <v>582</v>
      </c>
    </row>
    <row r="2" customFormat="false" ht="15" hidden="false" customHeight="false" outlineLevel="0" collapsed="false">
      <c r="A2" s="133" t="s">
        <v>583</v>
      </c>
      <c r="B2" s="133" t="s">
        <v>152</v>
      </c>
      <c r="C2" s="133" t="s">
        <v>155</v>
      </c>
      <c r="D2" s="133" t="s">
        <v>163</v>
      </c>
      <c r="E2" s="134" t="n">
        <v>46188</v>
      </c>
      <c r="F2" s="135" t="n">
        <v>10500</v>
      </c>
      <c r="G2" s="135" t="n">
        <v>10500</v>
      </c>
      <c r="H2" s="133" t="s">
        <v>584</v>
      </c>
      <c r="I2" s="133"/>
      <c r="J2" s="133" t="s">
        <v>585</v>
      </c>
      <c r="K2" s="134"/>
    </row>
    <row r="3" customFormat="false" ht="15" hidden="false" customHeight="false" outlineLevel="0" collapsed="false">
      <c r="A3" s="133" t="s">
        <v>586</v>
      </c>
      <c r="B3" s="133" t="s">
        <v>168</v>
      </c>
      <c r="C3" s="133" t="s">
        <v>169</v>
      </c>
      <c r="D3" s="133" t="s">
        <v>173</v>
      </c>
      <c r="E3" s="134" t="n">
        <v>46198</v>
      </c>
      <c r="F3" s="135" t="n">
        <v>1204</v>
      </c>
      <c r="G3" s="135" t="n">
        <v>1204</v>
      </c>
      <c r="H3" s="133" t="s">
        <v>587</v>
      </c>
      <c r="I3" s="133"/>
      <c r="J3" s="133" t="s">
        <v>585</v>
      </c>
      <c r="K3" s="134"/>
    </row>
    <row r="4" customFormat="false" ht="15" hidden="false" customHeight="false" outlineLevel="0" collapsed="false">
      <c r="A4" s="133" t="s">
        <v>588</v>
      </c>
      <c r="B4" s="133" t="s">
        <v>168</v>
      </c>
      <c r="C4" s="133" t="s">
        <v>169</v>
      </c>
      <c r="D4" s="133" t="s">
        <v>173</v>
      </c>
      <c r="E4" s="134" t="n">
        <v>46199</v>
      </c>
      <c r="F4" s="135" t="n">
        <v>3296</v>
      </c>
      <c r="G4" s="135" t="n">
        <v>2802</v>
      </c>
      <c r="H4" s="133" t="s">
        <v>589</v>
      </c>
      <c r="I4" s="133"/>
      <c r="J4" s="133" t="s">
        <v>585</v>
      </c>
      <c r="K4" s="134"/>
    </row>
    <row r="5" customFormat="false" ht="15" hidden="false" customHeight="false" outlineLevel="0" collapsed="false">
      <c r="A5" s="133" t="s">
        <v>590</v>
      </c>
      <c r="B5" s="133" t="s">
        <v>175</v>
      </c>
      <c r="C5" s="133" t="s">
        <v>176</v>
      </c>
      <c r="D5" s="133" t="s">
        <v>179</v>
      </c>
      <c r="E5" s="134" t="n">
        <v>46206</v>
      </c>
      <c r="F5" s="135" t="n">
        <v>8400</v>
      </c>
      <c r="G5" s="135" t="n">
        <v>8400</v>
      </c>
      <c r="H5" s="133" t="s">
        <v>591</v>
      </c>
      <c r="I5" s="133"/>
      <c r="J5" s="133" t="s">
        <v>585</v>
      </c>
      <c r="K5" s="134"/>
    </row>
    <row r="6" customFormat="false" ht="15" hidden="false" customHeight="false" outlineLevel="0" collapsed="false">
      <c r="A6" s="133" t="s">
        <v>592</v>
      </c>
      <c r="B6" s="133" t="s">
        <v>183</v>
      </c>
      <c r="C6" s="133" t="s">
        <v>184</v>
      </c>
      <c r="D6" s="133" t="s">
        <v>190</v>
      </c>
      <c r="E6" s="134" t="n">
        <v>46229</v>
      </c>
      <c r="F6" s="135" t="n">
        <v>2579</v>
      </c>
      <c r="G6" s="135" t="n">
        <v>2579</v>
      </c>
      <c r="H6" s="133" t="s">
        <v>593</v>
      </c>
      <c r="I6" s="133"/>
      <c r="J6" s="133" t="s">
        <v>585</v>
      </c>
      <c r="K6" s="134"/>
    </row>
    <row r="7" customFormat="false" ht="15" hidden="false" customHeight="false" outlineLevel="0" collapsed="false">
      <c r="A7" s="133" t="s">
        <v>594</v>
      </c>
      <c r="B7" s="133" t="s">
        <v>183</v>
      </c>
      <c r="C7" s="133" t="s">
        <v>184</v>
      </c>
      <c r="D7" s="133" t="s">
        <v>190</v>
      </c>
      <c r="E7" s="134" t="n">
        <v>46230</v>
      </c>
      <c r="F7" s="135" t="n">
        <v>4821</v>
      </c>
      <c r="G7" s="135" t="n">
        <v>4821</v>
      </c>
      <c r="H7" s="133" t="s">
        <v>595</v>
      </c>
      <c r="I7" s="133"/>
      <c r="J7" s="133" t="s">
        <v>585</v>
      </c>
      <c r="K7" s="134"/>
    </row>
    <row r="8" customFormat="false" ht="15" hidden="false" customHeight="false" outlineLevel="0" collapsed="false">
      <c r="A8" s="133" t="s">
        <v>596</v>
      </c>
      <c r="B8" s="133" t="s">
        <v>194</v>
      </c>
      <c r="C8" s="133" t="s">
        <v>197</v>
      </c>
      <c r="D8" s="133" t="s">
        <v>202</v>
      </c>
      <c r="E8" s="134" t="n">
        <v>46208</v>
      </c>
      <c r="F8" s="135" t="n">
        <v>3023</v>
      </c>
      <c r="G8" s="135" t="n">
        <v>3023</v>
      </c>
      <c r="H8" s="133" t="s">
        <v>597</v>
      </c>
      <c r="I8" s="133"/>
      <c r="J8" s="133" t="s">
        <v>585</v>
      </c>
      <c r="K8" s="134"/>
    </row>
    <row r="9" customFormat="false" ht="15" hidden="false" customHeight="false" outlineLevel="0" collapsed="false">
      <c r="A9" s="133" t="s">
        <v>598</v>
      </c>
      <c r="B9" s="133" t="s">
        <v>194</v>
      </c>
      <c r="C9" s="133" t="s">
        <v>197</v>
      </c>
      <c r="D9" s="133" t="s">
        <v>202</v>
      </c>
      <c r="E9" s="134" t="n">
        <v>46209</v>
      </c>
      <c r="F9" s="135" t="n">
        <v>7416</v>
      </c>
      <c r="G9" s="135" t="n">
        <v>7416</v>
      </c>
      <c r="H9" s="133" t="s">
        <v>599</v>
      </c>
      <c r="I9" s="133"/>
      <c r="J9" s="133" t="s">
        <v>585</v>
      </c>
      <c r="K9" s="134"/>
    </row>
    <row r="10" customFormat="false" ht="15" hidden="false" customHeight="false" outlineLevel="0" collapsed="false">
      <c r="A10" s="133" t="s">
        <v>600</v>
      </c>
      <c r="B10" s="133" t="s">
        <v>206</v>
      </c>
      <c r="C10" s="133" t="s">
        <v>207</v>
      </c>
      <c r="D10" s="133" t="s">
        <v>210</v>
      </c>
      <c r="E10" s="134" t="n">
        <v>46204</v>
      </c>
      <c r="F10" s="135" t="n">
        <v>6800</v>
      </c>
      <c r="G10" s="135" t="n">
        <v>6800</v>
      </c>
      <c r="H10" s="133" t="s">
        <v>601</v>
      </c>
      <c r="I10" s="133"/>
      <c r="J10" s="133" t="s">
        <v>585</v>
      </c>
      <c r="K10" s="134"/>
    </row>
    <row r="11" customFormat="false" ht="15" hidden="false" customHeight="false" outlineLevel="0" collapsed="false">
      <c r="A11" s="133" t="s">
        <v>602</v>
      </c>
      <c r="B11" s="133" t="s">
        <v>212</v>
      </c>
      <c r="C11" s="133" t="s">
        <v>213</v>
      </c>
      <c r="D11" s="133" t="s">
        <v>216</v>
      </c>
      <c r="E11" s="134" t="n">
        <v>46247</v>
      </c>
      <c r="F11" s="135" t="n">
        <v>2308</v>
      </c>
      <c r="G11" s="135" t="n">
        <v>2308</v>
      </c>
      <c r="H11" s="133" t="s">
        <v>603</v>
      </c>
      <c r="I11" s="133"/>
      <c r="J11" s="133" t="s">
        <v>585</v>
      </c>
      <c r="K11" s="134"/>
    </row>
    <row r="12" customFormat="false" ht="15" hidden="false" customHeight="false" outlineLevel="0" collapsed="false">
      <c r="A12" s="133" t="s">
        <v>604</v>
      </c>
      <c r="B12" s="133" t="s">
        <v>212</v>
      </c>
      <c r="C12" s="133" t="s">
        <v>213</v>
      </c>
      <c r="D12" s="133" t="s">
        <v>216</v>
      </c>
      <c r="E12" s="134" t="n">
        <v>46248</v>
      </c>
      <c r="F12" s="135" t="n">
        <v>2492</v>
      </c>
      <c r="G12" s="135" t="n">
        <v>2492</v>
      </c>
      <c r="H12" s="133" t="s">
        <v>605</v>
      </c>
      <c r="I12" s="133"/>
      <c r="J12" s="133" t="s">
        <v>585</v>
      </c>
      <c r="K12" s="134"/>
    </row>
    <row r="13" customFormat="false" ht="15" hidden="false" customHeight="false" outlineLevel="0" collapsed="false">
      <c r="A13" s="133" t="s">
        <v>606</v>
      </c>
      <c r="B13" s="133" t="s">
        <v>220</v>
      </c>
      <c r="C13" s="133" t="s">
        <v>221</v>
      </c>
      <c r="D13" s="133" t="s">
        <v>226</v>
      </c>
      <c r="E13" s="134" t="n">
        <v>46227</v>
      </c>
      <c r="F13" s="135" t="n">
        <v>448</v>
      </c>
      <c r="G13" s="135" t="n">
        <v>448</v>
      </c>
      <c r="H13" s="133" t="s">
        <v>607</v>
      </c>
      <c r="I13" s="133"/>
      <c r="J13" s="133" t="s">
        <v>585</v>
      </c>
      <c r="K13" s="134"/>
    </row>
    <row r="14" customFormat="false" ht="15" hidden="false" customHeight="false" outlineLevel="0" collapsed="false">
      <c r="A14" s="133" t="s">
        <v>608</v>
      </c>
      <c r="B14" s="133" t="s">
        <v>220</v>
      </c>
      <c r="C14" s="133" t="s">
        <v>221</v>
      </c>
      <c r="D14" s="133" t="s">
        <v>226</v>
      </c>
      <c r="E14" s="134" t="n">
        <v>46229</v>
      </c>
      <c r="F14" s="135" t="n">
        <v>616</v>
      </c>
      <c r="G14" s="135" t="n">
        <v>524</v>
      </c>
      <c r="H14" s="133" t="s">
        <v>609</v>
      </c>
      <c r="I14" s="133"/>
      <c r="J14" s="133" t="s">
        <v>585</v>
      </c>
      <c r="K14" s="134"/>
    </row>
    <row r="15" customFormat="false" ht="15" hidden="false" customHeight="false" outlineLevel="0" collapsed="false">
      <c r="A15" s="133" t="s">
        <v>610</v>
      </c>
      <c r="B15" s="133" t="s">
        <v>228</v>
      </c>
      <c r="C15" s="133" t="s">
        <v>229</v>
      </c>
      <c r="D15" s="133" t="s">
        <v>232</v>
      </c>
      <c r="E15" s="134" t="n">
        <v>46213</v>
      </c>
      <c r="F15" s="135" t="n">
        <v>338</v>
      </c>
      <c r="G15" s="135" t="n">
        <v>338</v>
      </c>
      <c r="H15" s="133" t="s">
        <v>611</v>
      </c>
      <c r="I15" s="133"/>
      <c r="J15" s="133" t="s">
        <v>585</v>
      </c>
      <c r="K15" s="134"/>
    </row>
    <row r="16" customFormat="false" ht="15" hidden="false" customHeight="false" outlineLevel="0" collapsed="false">
      <c r="A16" s="133" t="s">
        <v>612</v>
      </c>
      <c r="B16" s="133" t="s">
        <v>228</v>
      </c>
      <c r="C16" s="133" t="s">
        <v>229</v>
      </c>
      <c r="D16" s="133" t="s">
        <v>232</v>
      </c>
      <c r="E16" s="134" t="n">
        <v>46214</v>
      </c>
      <c r="F16" s="135" t="n">
        <v>362</v>
      </c>
      <c r="G16" s="135" t="n">
        <v>362</v>
      </c>
      <c r="H16" s="133" t="s">
        <v>613</v>
      </c>
      <c r="I16" s="133"/>
      <c r="J16" s="133" t="s">
        <v>585</v>
      </c>
      <c r="K16" s="134"/>
    </row>
    <row r="17" customFormat="false" ht="15" hidden="false" customHeight="false" outlineLevel="0" collapsed="false">
      <c r="A17" s="133" t="s">
        <v>614</v>
      </c>
      <c r="B17" s="133" t="s">
        <v>234</v>
      </c>
      <c r="C17" s="133" t="s">
        <v>237</v>
      </c>
      <c r="D17" s="133" t="s">
        <v>242</v>
      </c>
      <c r="E17" s="134" t="n">
        <v>46222</v>
      </c>
      <c r="F17" s="135" t="n">
        <v>448</v>
      </c>
      <c r="G17" s="135" t="n">
        <v>448</v>
      </c>
      <c r="H17" s="133" t="s">
        <v>615</v>
      </c>
      <c r="I17" s="133"/>
      <c r="J17" s="133" t="s">
        <v>585</v>
      </c>
      <c r="K17" s="134"/>
    </row>
    <row r="18" customFormat="false" ht="15" hidden="false" customHeight="false" outlineLevel="0" collapsed="false">
      <c r="A18" s="133" t="s">
        <v>616</v>
      </c>
      <c r="B18" s="133" t="s">
        <v>234</v>
      </c>
      <c r="C18" s="133" t="s">
        <v>237</v>
      </c>
      <c r="D18" s="133" t="s">
        <v>242</v>
      </c>
      <c r="E18" s="134" t="n">
        <v>46223</v>
      </c>
      <c r="F18" s="135" t="n">
        <v>563</v>
      </c>
      <c r="G18" s="135" t="n">
        <v>563</v>
      </c>
      <c r="H18" s="133" t="s">
        <v>617</v>
      </c>
      <c r="I18" s="133"/>
      <c r="J18" s="133" t="s">
        <v>585</v>
      </c>
      <c r="K18" s="134"/>
    </row>
    <row r="19" customFormat="false" ht="15" hidden="false" customHeight="false" outlineLevel="0" collapsed="false">
      <c r="A19" s="133" t="s">
        <v>618</v>
      </c>
      <c r="B19" s="133" t="s">
        <v>234</v>
      </c>
      <c r="C19" s="133" t="s">
        <v>237</v>
      </c>
      <c r="D19" s="133" t="s">
        <v>242</v>
      </c>
      <c r="E19" s="134" t="n">
        <v>46225</v>
      </c>
      <c r="F19" s="135" t="n">
        <v>340</v>
      </c>
      <c r="G19" s="135" t="n">
        <v>340</v>
      </c>
      <c r="H19" s="133" t="s">
        <v>619</v>
      </c>
      <c r="I19" s="133"/>
      <c r="J19" s="133" t="s">
        <v>585</v>
      </c>
      <c r="K19" s="134"/>
    </row>
    <row r="20" customFormat="false" ht="15" hidden="false" customHeight="false" outlineLevel="0" collapsed="false">
      <c r="A20" s="133" t="s">
        <v>620</v>
      </c>
      <c r="B20" s="133" t="s">
        <v>245</v>
      </c>
      <c r="C20" s="133" t="s">
        <v>246</v>
      </c>
      <c r="D20" s="133" t="s">
        <v>249</v>
      </c>
      <c r="E20" s="134" t="n">
        <v>46225</v>
      </c>
      <c r="F20" s="135" t="n">
        <v>900</v>
      </c>
      <c r="G20" s="135" t="n">
        <v>900</v>
      </c>
      <c r="H20" s="133" t="s">
        <v>621</v>
      </c>
      <c r="I20" s="133"/>
      <c r="J20" s="133" t="s">
        <v>585</v>
      </c>
      <c r="K20" s="134"/>
    </row>
    <row r="21" customFormat="false" ht="15" hidden="false" customHeight="false" outlineLevel="0" collapsed="false">
      <c r="A21" s="133" t="s">
        <v>622</v>
      </c>
      <c r="B21" s="133" t="s">
        <v>252</v>
      </c>
      <c r="C21" s="133" t="s">
        <v>253</v>
      </c>
      <c r="D21" s="133" t="s">
        <v>256</v>
      </c>
      <c r="E21" s="134" t="n">
        <v>46229</v>
      </c>
      <c r="F21" s="135" t="n">
        <v>11700</v>
      </c>
      <c r="G21" s="135" t="n">
        <v>9945</v>
      </c>
      <c r="H21" s="133" t="s">
        <v>623</v>
      </c>
      <c r="I21" s="133"/>
      <c r="J21" s="133" t="s">
        <v>585</v>
      </c>
      <c r="K21" s="134"/>
    </row>
    <row r="22" customFormat="false" ht="15" hidden="false" customHeight="false" outlineLevel="0" collapsed="false">
      <c r="A22" s="133" t="s">
        <v>624</v>
      </c>
      <c r="B22" s="133" t="s">
        <v>257</v>
      </c>
      <c r="C22" s="133" t="s">
        <v>258</v>
      </c>
      <c r="D22" s="133" t="s">
        <v>262</v>
      </c>
      <c r="E22" s="134" t="n">
        <v>46249</v>
      </c>
      <c r="F22" s="135" t="n">
        <v>2000</v>
      </c>
      <c r="G22" s="135" t="n">
        <v>2000</v>
      </c>
      <c r="H22" s="133" t="s">
        <v>625</v>
      </c>
      <c r="I22" s="133"/>
      <c r="J22" s="133" t="s">
        <v>585</v>
      </c>
      <c r="K22" s="134"/>
    </row>
    <row r="23" customFormat="false" ht="15" hidden="false" customHeight="false" outlineLevel="0" collapsed="false">
      <c r="A23" s="133" t="s">
        <v>626</v>
      </c>
      <c r="B23" s="133" t="s">
        <v>264</v>
      </c>
      <c r="C23" s="133" t="s">
        <v>265</v>
      </c>
      <c r="D23" s="133" t="s">
        <v>268</v>
      </c>
      <c r="E23" s="134" t="n">
        <v>46261</v>
      </c>
      <c r="F23" s="135" t="n">
        <v>1422</v>
      </c>
      <c r="G23" s="135" t="n">
        <v>1422</v>
      </c>
      <c r="H23" s="133" t="s">
        <v>627</v>
      </c>
      <c r="I23" s="133"/>
      <c r="J23" s="133" t="s">
        <v>585</v>
      </c>
      <c r="K23" s="134"/>
    </row>
    <row r="24" customFormat="false" ht="15" hidden="false" customHeight="false" outlineLevel="0" collapsed="false">
      <c r="A24" s="133" t="s">
        <v>628</v>
      </c>
      <c r="B24" s="133" t="s">
        <v>264</v>
      </c>
      <c r="C24" s="133" t="s">
        <v>265</v>
      </c>
      <c r="D24" s="133" t="s">
        <v>268</v>
      </c>
      <c r="E24" s="134" t="n">
        <v>46262</v>
      </c>
      <c r="F24" s="135" t="n">
        <v>1656</v>
      </c>
      <c r="G24" s="135" t="n">
        <v>1656</v>
      </c>
      <c r="H24" s="133" t="s">
        <v>629</v>
      </c>
      <c r="I24" s="133"/>
      <c r="J24" s="133" t="s">
        <v>585</v>
      </c>
      <c r="K24" s="134"/>
    </row>
    <row r="25" customFormat="false" ht="15" hidden="false" customHeight="false" outlineLevel="0" collapsed="false">
      <c r="A25" s="133" t="s">
        <v>630</v>
      </c>
      <c r="B25" s="133" t="s">
        <v>264</v>
      </c>
      <c r="C25" s="133" t="s">
        <v>265</v>
      </c>
      <c r="D25" s="133" t="s">
        <v>268</v>
      </c>
      <c r="E25" s="134" t="n">
        <v>46263</v>
      </c>
      <c r="F25" s="135" t="n">
        <v>622</v>
      </c>
      <c r="G25" s="135" t="n">
        <v>622</v>
      </c>
      <c r="H25" s="133" t="s">
        <v>631</v>
      </c>
      <c r="I25" s="133"/>
      <c r="J25" s="133" t="s">
        <v>585</v>
      </c>
      <c r="K25" s="134"/>
    </row>
    <row r="26" customFormat="false" ht="15" hidden="false" customHeight="false" outlineLevel="0" collapsed="false">
      <c r="A26" s="133" t="s">
        <v>632</v>
      </c>
      <c r="B26" s="133" t="s">
        <v>270</v>
      </c>
      <c r="C26" s="133" t="s">
        <v>273</v>
      </c>
      <c r="D26" s="133" t="s">
        <v>278</v>
      </c>
      <c r="E26" s="134" t="n">
        <v>46241</v>
      </c>
      <c r="F26" s="135" t="n">
        <v>7603</v>
      </c>
      <c r="G26" s="135" t="n">
        <v>7603</v>
      </c>
      <c r="H26" s="133" t="s">
        <v>633</v>
      </c>
      <c r="I26" s="133"/>
      <c r="J26" s="133" t="s">
        <v>585</v>
      </c>
      <c r="K26" s="134"/>
    </row>
    <row r="27" customFormat="false" ht="15" hidden="false" customHeight="false" outlineLevel="0" collapsed="false">
      <c r="A27" s="133" t="s">
        <v>634</v>
      </c>
      <c r="B27" s="133" t="s">
        <v>270</v>
      </c>
      <c r="C27" s="133" t="s">
        <v>273</v>
      </c>
      <c r="D27" s="133" t="s">
        <v>278</v>
      </c>
      <c r="E27" s="134" t="n">
        <v>46242</v>
      </c>
      <c r="F27" s="135" t="n">
        <v>6226</v>
      </c>
      <c r="G27" s="135" t="n">
        <v>6226</v>
      </c>
      <c r="H27" s="133" t="s">
        <v>635</v>
      </c>
      <c r="I27" s="133"/>
      <c r="J27" s="133" t="s">
        <v>585</v>
      </c>
      <c r="K27" s="134"/>
    </row>
    <row r="28" customFormat="false" ht="15" hidden="false" customHeight="false" outlineLevel="0" collapsed="false">
      <c r="A28" s="133" t="s">
        <v>636</v>
      </c>
      <c r="B28" s="133" t="s">
        <v>270</v>
      </c>
      <c r="C28" s="133" t="s">
        <v>273</v>
      </c>
      <c r="D28" s="133" t="s">
        <v>278</v>
      </c>
      <c r="E28" s="134" t="n">
        <v>46244</v>
      </c>
      <c r="F28" s="135" t="n">
        <v>3471</v>
      </c>
      <c r="G28" s="135" t="n">
        <v>3471</v>
      </c>
      <c r="H28" s="133" t="s">
        <v>637</v>
      </c>
      <c r="I28" s="133"/>
      <c r="J28" s="133" t="s">
        <v>585</v>
      </c>
      <c r="K28" s="134"/>
    </row>
    <row r="29" customFormat="false" ht="15" hidden="false" customHeight="false" outlineLevel="0" collapsed="false">
      <c r="A29" s="133" t="s">
        <v>638</v>
      </c>
      <c r="B29" s="133" t="s">
        <v>281</v>
      </c>
      <c r="C29" s="133" t="s">
        <v>282</v>
      </c>
      <c r="D29" s="133" t="s">
        <v>285</v>
      </c>
      <c r="E29" s="134" t="n">
        <v>46238</v>
      </c>
      <c r="F29" s="135" t="n">
        <v>1500</v>
      </c>
      <c r="G29" s="135" t="n">
        <v>1500</v>
      </c>
      <c r="H29" s="133" t="s">
        <v>639</v>
      </c>
      <c r="I29" s="133"/>
      <c r="J29" s="133" t="s">
        <v>585</v>
      </c>
      <c r="K29" s="134"/>
    </row>
    <row r="30" customFormat="false" ht="15" hidden="false" customHeight="false" outlineLevel="0" collapsed="false">
      <c r="A30" s="133" t="s">
        <v>640</v>
      </c>
      <c r="B30" s="133" t="s">
        <v>287</v>
      </c>
      <c r="C30" s="133" t="s">
        <v>290</v>
      </c>
      <c r="D30" s="133" t="s">
        <v>295</v>
      </c>
      <c r="E30" s="134" t="n">
        <v>46254</v>
      </c>
      <c r="F30" s="135" t="n">
        <v>13</v>
      </c>
      <c r="G30" s="135" t="n">
        <v>13</v>
      </c>
      <c r="H30" s="133" t="s">
        <v>641</v>
      </c>
      <c r="I30" s="133"/>
      <c r="J30" s="133" t="s">
        <v>585</v>
      </c>
      <c r="K30" s="134"/>
    </row>
    <row r="31" customFormat="false" ht="15" hidden="false" customHeight="false" outlineLevel="0" collapsed="false">
      <c r="A31" s="133" t="s">
        <v>642</v>
      </c>
      <c r="B31" s="133" t="s">
        <v>287</v>
      </c>
      <c r="C31" s="133" t="s">
        <v>290</v>
      </c>
      <c r="D31" s="133" t="s">
        <v>295</v>
      </c>
      <c r="E31" s="134" t="n">
        <v>46255</v>
      </c>
      <c r="F31" s="135" t="n">
        <v>27</v>
      </c>
      <c r="G31" s="135" t="n">
        <v>23</v>
      </c>
      <c r="H31" s="133" t="s">
        <v>643</v>
      </c>
      <c r="I31" s="133"/>
      <c r="J31" s="133" t="s">
        <v>585</v>
      </c>
      <c r="K31" s="134"/>
    </row>
    <row r="32" customFormat="false" ht="15" hidden="false" customHeight="false" outlineLevel="0" collapsed="false">
      <c r="A32" s="133" t="s">
        <v>644</v>
      </c>
      <c r="B32" s="133" t="s">
        <v>297</v>
      </c>
      <c r="C32" s="133" t="s">
        <v>300</v>
      </c>
      <c r="D32" s="133" t="s">
        <v>304</v>
      </c>
      <c r="E32" s="134" t="n">
        <v>46243</v>
      </c>
      <c r="F32" s="135" t="n">
        <v>200</v>
      </c>
      <c r="G32" s="135" t="n">
        <v>200</v>
      </c>
      <c r="H32" s="133" t="s">
        <v>645</v>
      </c>
      <c r="I32" s="133"/>
      <c r="J32" s="133" t="s">
        <v>585</v>
      </c>
      <c r="K32" s="134"/>
    </row>
    <row r="33" customFormat="false" ht="15" hidden="false" customHeight="false" outlineLevel="0" collapsed="false">
      <c r="A33" s="133" t="s">
        <v>646</v>
      </c>
      <c r="B33" s="133" t="s">
        <v>306</v>
      </c>
      <c r="C33" s="133" t="s">
        <v>307</v>
      </c>
      <c r="D33" s="133" t="s">
        <v>313</v>
      </c>
      <c r="E33" s="134" t="n">
        <v>46294</v>
      </c>
      <c r="F33" s="135" t="n">
        <v>7</v>
      </c>
      <c r="G33" s="135" t="n">
        <v>7</v>
      </c>
      <c r="H33" s="133" t="s">
        <v>647</v>
      </c>
      <c r="I33" s="133"/>
      <c r="J33" s="133" t="s">
        <v>585</v>
      </c>
      <c r="K33" s="134"/>
    </row>
    <row r="34" customFormat="false" ht="15" hidden="false" customHeight="false" outlineLevel="0" collapsed="false">
      <c r="A34" s="133" t="s">
        <v>648</v>
      </c>
      <c r="B34" s="133" t="s">
        <v>306</v>
      </c>
      <c r="C34" s="133" t="s">
        <v>307</v>
      </c>
      <c r="D34" s="133" t="s">
        <v>313</v>
      </c>
      <c r="E34" s="134" t="n">
        <v>46297</v>
      </c>
      <c r="F34" s="135" t="n">
        <v>8</v>
      </c>
      <c r="G34" s="135" t="n">
        <v>8</v>
      </c>
      <c r="H34" s="133" t="s">
        <v>649</v>
      </c>
      <c r="I34" s="133"/>
      <c r="J34" s="133" t="s">
        <v>585</v>
      </c>
      <c r="K34" s="134"/>
    </row>
    <row r="35" customFormat="false" ht="15" hidden="false" customHeight="false" outlineLevel="0" collapsed="false">
      <c r="A35" s="133" t="s">
        <v>650</v>
      </c>
      <c r="B35" s="133" t="s">
        <v>316</v>
      </c>
      <c r="C35" s="133" t="s">
        <v>317</v>
      </c>
      <c r="D35" s="133" t="s">
        <v>320</v>
      </c>
      <c r="E35" s="134" t="n">
        <v>46294</v>
      </c>
      <c r="F35" s="135" t="n">
        <v>1</v>
      </c>
      <c r="G35" s="135" t="n">
        <v>1</v>
      </c>
      <c r="H35" s="133" t="s">
        <v>651</v>
      </c>
      <c r="I35" s="133"/>
      <c r="J35" s="133" t="s">
        <v>585</v>
      </c>
      <c r="K35" s="134"/>
    </row>
    <row r="36" customFormat="false" ht="15" hidden="false" customHeight="false" outlineLevel="0" collapsed="false">
      <c r="A36" s="133" t="s">
        <v>652</v>
      </c>
      <c r="B36" s="133" t="s">
        <v>316</v>
      </c>
      <c r="C36" s="133" t="s">
        <v>317</v>
      </c>
      <c r="D36" s="133" t="s">
        <v>320</v>
      </c>
      <c r="E36" s="134" t="n">
        <v>46295</v>
      </c>
      <c r="F36" s="135" t="n">
        <v>2</v>
      </c>
      <c r="G36" s="135" t="n">
        <v>2</v>
      </c>
      <c r="H36" s="133" t="s">
        <v>653</v>
      </c>
      <c r="I36" s="133"/>
      <c r="J36" s="133" t="s">
        <v>585</v>
      </c>
      <c r="K36" s="134"/>
    </row>
    <row r="37" customFormat="false" ht="15" hidden="false" customHeight="false" outlineLevel="0" collapsed="false">
      <c r="A37" s="133" t="s">
        <v>654</v>
      </c>
      <c r="B37" s="133" t="s">
        <v>321</v>
      </c>
      <c r="C37" s="133" t="s">
        <v>322</v>
      </c>
      <c r="D37" s="133" t="s">
        <v>325</v>
      </c>
      <c r="E37" s="134" t="n">
        <v>46295</v>
      </c>
      <c r="F37" s="135" t="n">
        <v>1</v>
      </c>
      <c r="G37" s="135" t="n">
        <v>1</v>
      </c>
      <c r="H37" s="133" t="s">
        <v>655</v>
      </c>
      <c r="I37" s="133"/>
      <c r="J37" s="133" t="s">
        <v>585</v>
      </c>
      <c r="K37" s="134"/>
    </row>
    <row r="38" customFormat="false" ht="15" hidden="false" customHeight="false" outlineLevel="0" collapsed="false">
      <c r="A38" s="133" t="s">
        <v>656</v>
      </c>
      <c r="B38" s="133" t="s">
        <v>321</v>
      </c>
      <c r="C38" s="133" t="s">
        <v>322</v>
      </c>
      <c r="D38" s="133" t="s">
        <v>325</v>
      </c>
      <c r="E38" s="134" t="n">
        <v>46296</v>
      </c>
      <c r="F38" s="135" t="n">
        <v>2</v>
      </c>
      <c r="G38" s="135" t="n">
        <v>2</v>
      </c>
      <c r="H38" s="133" t="s">
        <v>619</v>
      </c>
      <c r="I38" s="133"/>
      <c r="J38" s="133" t="s">
        <v>585</v>
      </c>
      <c r="K38" s="134"/>
    </row>
    <row r="39" customFormat="false" ht="15" hidden="false" customHeight="false" outlineLevel="0" collapsed="false">
      <c r="A39" s="133" t="s">
        <v>657</v>
      </c>
      <c r="B39" s="133" t="s">
        <v>326</v>
      </c>
      <c r="C39" s="133" t="s">
        <v>327</v>
      </c>
      <c r="D39" s="133" t="s">
        <v>330</v>
      </c>
      <c r="E39" s="134" t="n">
        <v>46261</v>
      </c>
      <c r="F39" s="135" t="n">
        <v>1</v>
      </c>
      <c r="G39" s="135" t="n">
        <v>1</v>
      </c>
      <c r="H39" s="133" t="s">
        <v>658</v>
      </c>
      <c r="I39" s="133"/>
      <c r="J39" s="133" t="s">
        <v>585</v>
      </c>
      <c r="K39" s="134"/>
    </row>
    <row r="40" customFormat="false" ht="15" hidden="false" customHeight="false" outlineLevel="0" collapsed="false">
      <c r="A40" s="133" t="s">
        <v>659</v>
      </c>
      <c r="B40" s="133" t="s">
        <v>331</v>
      </c>
      <c r="C40" s="133" t="s">
        <v>334</v>
      </c>
      <c r="D40" s="133" t="s">
        <v>339</v>
      </c>
      <c r="E40" s="134" t="n">
        <v>46261</v>
      </c>
      <c r="F40" s="135" t="n">
        <v>7</v>
      </c>
      <c r="G40" s="135" t="n">
        <v>7</v>
      </c>
      <c r="H40" s="133" t="s">
        <v>660</v>
      </c>
      <c r="I40" s="133"/>
      <c r="J40" s="133" t="s">
        <v>585</v>
      </c>
      <c r="K40" s="134"/>
    </row>
    <row r="41" customFormat="false" ht="15" hidden="false" customHeight="false" outlineLevel="0" collapsed="false">
      <c r="A41" s="133" t="s">
        <v>661</v>
      </c>
      <c r="B41" s="133" t="s">
        <v>340</v>
      </c>
      <c r="C41" s="133" t="s">
        <v>176</v>
      </c>
      <c r="D41" s="133" t="s">
        <v>342</v>
      </c>
      <c r="E41" s="134" t="n">
        <v>46272</v>
      </c>
      <c r="F41" s="135" t="n">
        <v>3959</v>
      </c>
      <c r="G41" s="135" t="n">
        <v>3959</v>
      </c>
      <c r="H41" s="133" t="s">
        <v>662</v>
      </c>
      <c r="I41" s="133"/>
      <c r="J41" s="133" t="s">
        <v>585</v>
      </c>
      <c r="K41" s="134"/>
    </row>
    <row r="42" customFormat="false" ht="15" hidden="false" customHeight="false" outlineLevel="0" collapsed="false">
      <c r="A42" s="133" t="s">
        <v>663</v>
      </c>
      <c r="B42" s="133" t="s">
        <v>340</v>
      </c>
      <c r="C42" s="133" t="s">
        <v>176</v>
      </c>
      <c r="D42" s="133" t="s">
        <v>342</v>
      </c>
      <c r="E42" s="134" t="n">
        <v>46273</v>
      </c>
      <c r="F42" s="135" t="n">
        <v>7341</v>
      </c>
      <c r="G42" s="135" t="n">
        <v>6240</v>
      </c>
      <c r="H42" s="133" t="s">
        <v>664</v>
      </c>
      <c r="I42" s="133"/>
      <c r="J42" s="133" t="s">
        <v>585</v>
      </c>
      <c r="K42" s="134"/>
    </row>
    <row r="43" customFormat="false" ht="15" hidden="false" customHeight="false" outlineLevel="0" collapsed="false">
      <c r="A43" s="133" t="s">
        <v>665</v>
      </c>
      <c r="B43" s="133" t="s">
        <v>343</v>
      </c>
      <c r="C43" s="133" t="s">
        <v>300</v>
      </c>
      <c r="D43" s="133" t="s">
        <v>345</v>
      </c>
      <c r="E43" s="134" t="n">
        <v>46272</v>
      </c>
      <c r="F43" s="135" t="n">
        <v>200</v>
      </c>
      <c r="G43" s="135" t="n">
        <v>200</v>
      </c>
      <c r="H43" s="133" t="s">
        <v>666</v>
      </c>
      <c r="I43" s="133"/>
      <c r="J43" s="133" t="s">
        <v>585</v>
      </c>
      <c r="K43" s="134"/>
    </row>
    <row r="44" customFormat="false" ht="15" hidden="false" customHeight="false" outlineLevel="0" collapsed="false">
      <c r="A44" s="133" t="s">
        <v>667</v>
      </c>
      <c r="B44" s="133" t="s">
        <v>346</v>
      </c>
      <c r="C44" s="133" t="s">
        <v>253</v>
      </c>
      <c r="D44" s="133" t="s">
        <v>348</v>
      </c>
      <c r="E44" s="134" t="n">
        <v>46276</v>
      </c>
      <c r="F44" s="135" t="n">
        <v>14100</v>
      </c>
      <c r="G44" s="135" t="n">
        <v>14100</v>
      </c>
      <c r="H44" s="133" t="s">
        <v>668</v>
      </c>
      <c r="I44" s="133"/>
      <c r="J44" s="133" t="s">
        <v>585</v>
      </c>
      <c r="K44" s="134"/>
    </row>
    <row r="45" customFormat="false" ht="15" hidden="false" customHeight="false" outlineLevel="0" collapsed="false">
      <c r="A45" s="133" t="s">
        <v>669</v>
      </c>
      <c r="B45" s="133" t="s">
        <v>350</v>
      </c>
      <c r="C45" s="133" t="s">
        <v>290</v>
      </c>
      <c r="D45" s="133" t="s">
        <v>352</v>
      </c>
      <c r="E45" s="134" t="n">
        <v>46274</v>
      </c>
      <c r="F45" s="135" t="n">
        <v>28</v>
      </c>
      <c r="G45" s="135" t="n">
        <v>28</v>
      </c>
      <c r="H45" s="133" t="s">
        <v>670</v>
      </c>
      <c r="I45" s="133"/>
      <c r="J45" s="133" t="s">
        <v>585</v>
      </c>
      <c r="K45" s="134"/>
    </row>
    <row r="46" customFormat="false" ht="15" hidden="false" customHeight="false" outlineLevel="0" collapsed="false">
      <c r="A46" s="133" t="s">
        <v>671</v>
      </c>
      <c r="B46" s="133" t="s">
        <v>350</v>
      </c>
      <c r="C46" s="133" t="s">
        <v>290</v>
      </c>
      <c r="D46" s="133" t="s">
        <v>352</v>
      </c>
      <c r="E46" s="134" t="n">
        <v>46277</v>
      </c>
      <c r="F46" s="135" t="n">
        <v>55</v>
      </c>
      <c r="G46" s="135" t="n">
        <v>55</v>
      </c>
      <c r="H46" s="133" t="s">
        <v>672</v>
      </c>
      <c r="I46" s="133"/>
      <c r="J46" s="133" t="s">
        <v>585</v>
      </c>
      <c r="K46" s="134"/>
    </row>
    <row r="47" customFormat="false" ht="15" hidden="false" customHeight="false" outlineLevel="0" collapsed="false">
      <c r="A47" s="133" t="s">
        <v>673</v>
      </c>
      <c r="B47" s="133" t="s">
        <v>358</v>
      </c>
      <c r="C47" s="133" t="s">
        <v>300</v>
      </c>
      <c r="D47" s="133" t="s">
        <v>360</v>
      </c>
      <c r="E47" s="134" t="n">
        <v>46283</v>
      </c>
      <c r="F47" s="135" t="n">
        <v>200</v>
      </c>
      <c r="G47" s="135" t="n">
        <v>200</v>
      </c>
      <c r="H47" s="133" t="s">
        <v>674</v>
      </c>
      <c r="I47" s="133"/>
      <c r="J47" s="133" t="s">
        <v>585</v>
      </c>
      <c r="K47" s="134"/>
    </row>
    <row r="48" customFormat="false" ht="15" hidden="false" customHeight="false" outlineLevel="0" collapsed="false">
      <c r="A48" s="133" t="s">
        <v>675</v>
      </c>
      <c r="B48" s="133" t="s">
        <v>361</v>
      </c>
      <c r="C48" s="133" t="s">
        <v>221</v>
      </c>
      <c r="D48" s="133" t="s">
        <v>363</v>
      </c>
      <c r="E48" s="134" t="n">
        <v>46284</v>
      </c>
      <c r="F48" s="135" t="n">
        <v>411</v>
      </c>
      <c r="G48" s="135" t="n">
        <v>411</v>
      </c>
      <c r="H48" s="133" t="s">
        <v>676</v>
      </c>
      <c r="I48" s="133"/>
      <c r="J48" s="133" t="s">
        <v>585</v>
      </c>
      <c r="K48" s="134"/>
    </row>
    <row r="49" customFormat="false" ht="15" hidden="false" customHeight="false" outlineLevel="0" collapsed="false">
      <c r="A49" s="133" t="s">
        <v>677</v>
      </c>
      <c r="B49" s="133" t="s">
        <v>361</v>
      </c>
      <c r="C49" s="133" t="s">
        <v>221</v>
      </c>
      <c r="D49" s="133" t="s">
        <v>363</v>
      </c>
      <c r="E49" s="134" t="n">
        <v>46285</v>
      </c>
      <c r="F49" s="135" t="n">
        <v>855</v>
      </c>
      <c r="G49" s="135" t="n">
        <v>855</v>
      </c>
      <c r="H49" s="133" t="s">
        <v>678</v>
      </c>
      <c r="I49" s="133"/>
      <c r="J49" s="133" t="s">
        <v>585</v>
      </c>
      <c r="K49" s="134"/>
    </row>
    <row r="50" customFormat="false" ht="15" hidden="false" customHeight="false" outlineLevel="0" collapsed="false">
      <c r="A50" s="133" t="s">
        <v>679</v>
      </c>
      <c r="B50" s="133" t="s">
        <v>365</v>
      </c>
      <c r="C50" s="133" t="s">
        <v>207</v>
      </c>
      <c r="D50" s="133" t="s">
        <v>367</v>
      </c>
      <c r="E50" s="134" t="n">
        <v>46290</v>
      </c>
      <c r="F50" s="135" t="n">
        <v>3165</v>
      </c>
      <c r="G50" s="135" t="n">
        <v>3165</v>
      </c>
      <c r="H50" s="133" t="s">
        <v>680</v>
      </c>
      <c r="I50" s="133"/>
      <c r="J50" s="133" t="s">
        <v>585</v>
      </c>
      <c r="K50" s="134"/>
    </row>
    <row r="51" customFormat="false" ht="15" hidden="false" customHeight="false" outlineLevel="0" collapsed="false">
      <c r="A51" s="133" t="s">
        <v>681</v>
      </c>
      <c r="B51" s="133" t="s">
        <v>365</v>
      </c>
      <c r="C51" s="133" t="s">
        <v>207</v>
      </c>
      <c r="D51" s="133" t="s">
        <v>367</v>
      </c>
      <c r="E51" s="134" t="n">
        <v>46292</v>
      </c>
      <c r="F51" s="135" t="n">
        <v>3268</v>
      </c>
      <c r="G51" s="135" t="n">
        <v>3268</v>
      </c>
      <c r="H51" s="133" t="s">
        <v>682</v>
      </c>
      <c r="I51" s="133"/>
      <c r="J51" s="133" t="s">
        <v>585</v>
      </c>
      <c r="K51" s="134"/>
    </row>
    <row r="52" customFormat="false" ht="15" hidden="false" customHeight="false" outlineLevel="0" collapsed="false">
      <c r="A52" s="133" t="s">
        <v>683</v>
      </c>
      <c r="B52" s="133" t="s">
        <v>369</v>
      </c>
      <c r="C52" s="133" t="s">
        <v>155</v>
      </c>
      <c r="D52" s="133" t="s">
        <v>371</v>
      </c>
      <c r="E52" s="134" t="n">
        <v>46295</v>
      </c>
      <c r="F52" s="135" t="n">
        <v>6351</v>
      </c>
      <c r="G52" s="135" t="n">
        <v>6351</v>
      </c>
      <c r="H52" s="133" t="s">
        <v>684</v>
      </c>
      <c r="I52" s="133"/>
      <c r="J52" s="133" t="s">
        <v>585</v>
      </c>
      <c r="K52" s="134"/>
    </row>
    <row r="53" customFormat="false" ht="15" hidden="false" customHeight="false" outlineLevel="0" collapsed="false">
      <c r="A53" s="133" t="s">
        <v>685</v>
      </c>
      <c r="B53" s="133" t="s">
        <v>369</v>
      </c>
      <c r="C53" s="133" t="s">
        <v>155</v>
      </c>
      <c r="D53" s="133" t="s">
        <v>371</v>
      </c>
      <c r="E53" s="134" t="n">
        <v>46298</v>
      </c>
      <c r="F53" s="135" t="n">
        <v>9034</v>
      </c>
      <c r="G53" s="135" t="n">
        <v>9034</v>
      </c>
      <c r="H53" s="133" t="s">
        <v>686</v>
      </c>
      <c r="I53" s="133"/>
      <c r="J53" s="133" t="s">
        <v>585</v>
      </c>
      <c r="K53" s="134"/>
    </row>
    <row r="54" customFormat="false" ht="15" hidden="false" customHeight="false" outlineLevel="0" collapsed="false">
      <c r="A54" s="133" t="s">
        <v>687</v>
      </c>
      <c r="B54" s="133" t="s">
        <v>373</v>
      </c>
      <c r="C54" s="133" t="s">
        <v>221</v>
      </c>
      <c r="D54" s="133" t="s">
        <v>375</v>
      </c>
      <c r="E54" s="134" t="n">
        <v>46284</v>
      </c>
      <c r="F54" s="135" t="n">
        <v>1200</v>
      </c>
      <c r="G54" s="135" t="n">
        <v>1020</v>
      </c>
      <c r="H54" s="133" t="s">
        <v>688</v>
      </c>
      <c r="I54" s="133"/>
      <c r="J54" s="133" t="s">
        <v>585</v>
      </c>
      <c r="K54" s="134"/>
    </row>
    <row r="55" customFormat="false" ht="15" hidden="false" customHeight="false" outlineLevel="0" collapsed="false">
      <c r="A55" s="133" t="s">
        <v>689</v>
      </c>
      <c r="B55" s="133" t="s">
        <v>376</v>
      </c>
      <c r="C55" s="133" t="s">
        <v>207</v>
      </c>
      <c r="D55" s="133" t="s">
        <v>378</v>
      </c>
      <c r="E55" s="134" t="n">
        <v>46289</v>
      </c>
      <c r="F55" s="135" t="n">
        <v>2046</v>
      </c>
      <c r="G55" s="135" t="n">
        <v>2046</v>
      </c>
      <c r="H55" s="133" t="s">
        <v>690</v>
      </c>
      <c r="I55" s="133"/>
      <c r="J55" s="133" t="s">
        <v>585</v>
      </c>
      <c r="K55" s="134"/>
    </row>
    <row r="56" customFormat="false" ht="15" hidden="false" customHeight="false" outlineLevel="0" collapsed="false">
      <c r="A56" s="133" t="s">
        <v>691</v>
      </c>
      <c r="B56" s="133" t="s">
        <v>376</v>
      </c>
      <c r="C56" s="133" t="s">
        <v>207</v>
      </c>
      <c r="D56" s="133" t="s">
        <v>378</v>
      </c>
      <c r="E56" s="134" t="n">
        <v>46290</v>
      </c>
      <c r="F56" s="135" t="n">
        <v>2654</v>
      </c>
      <c r="G56" s="135" t="n">
        <v>2654</v>
      </c>
      <c r="H56" s="133" t="s">
        <v>692</v>
      </c>
      <c r="I56" s="133"/>
      <c r="J56" s="133" t="s">
        <v>585</v>
      </c>
      <c r="K56" s="134"/>
    </row>
    <row r="57" customFormat="false" ht="15" hidden="false" customHeight="false" outlineLevel="0" collapsed="false">
      <c r="A57" s="133" t="s">
        <v>693</v>
      </c>
      <c r="B57" s="133" t="s">
        <v>380</v>
      </c>
      <c r="C57" s="133" t="s">
        <v>253</v>
      </c>
      <c r="D57" s="133" t="s">
        <v>382</v>
      </c>
      <c r="E57" s="134" t="n">
        <v>46298</v>
      </c>
      <c r="F57" s="135" t="n">
        <v>5868</v>
      </c>
      <c r="G57" s="135" t="n">
        <v>5868</v>
      </c>
      <c r="H57" s="133" t="s">
        <v>694</v>
      </c>
      <c r="I57" s="133"/>
      <c r="J57" s="133" t="s">
        <v>585</v>
      </c>
      <c r="K57" s="134"/>
    </row>
    <row r="58" customFormat="false" ht="15" hidden="false" customHeight="false" outlineLevel="0" collapsed="false">
      <c r="A58" s="133" t="s">
        <v>695</v>
      </c>
      <c r="B58" s="133" t="s">
        <v>380</v>
      </c>
      <c r="C58" s="133" t="s">
        <v>253</v>
      </c>
      <c r="D58" s="133" t="s">
        <v>382</v>
      </c>
      <c r="E58" s="134" t="n">
        <v>46301</v>
      </c>
      <c r="F58" s="135" t="n">
        <v>13132</v>
      </c>
      <c r="G58" s="135" t="n">
        <v>13132</v>
      </c>
      <c r="H58" s="133" t="s">
        <v>696</v>
      </c>
      <c r="I58" s="133"/>
      <c r="J58" s="133" t="s">
        <v>585</v>
      </c>
      <c r="K58" s="134"/>
    </row>
    <row r="59" customFormat="false" ht="15" hidden="false" customHeight="false" outlineLevel="0" collapsed="false">
      <c r="A59" s="133" t="s">
        <v>697</v>
      </c>
      <c r="B59" s="133" t="s">
        <v>387</v>
      </c>
      <c r="C59" s="133" t="s">
        <v>258</v>
      </c>
      <c r="D59" s="133" t="s">
        <v>389</v>
      </c>
      <c r="E59" s="134" t="n">
        <v>46308</v>
      </c>
      <c r="F59" s="135" t="n">
        <v>1059</v>
      </c>
      <c r="G59" s="135" t="n">
        <v>1059</v>
      </c>
      <c r="H59" s="133" t="s">
        <v>698</v>
      </c>
      <c r="I59" s="133"/>
      <c r="J59" s="133" t="s">
        <v>585</v>
      </c>
      <c r="K59" s="134"/>
    </row>
    <row r="60" customFormat="false" ht="15" hidden="false" customHeight="false" outlineLevel="0" collapsed="false">
      <c r="A60" s="133"/>
      <c r="B60" s="133"/>
      <c r="C60" s="133"/>
      <c r="D60" s="133"/>
      <c r="E60" s="134"/>
      <c r="F60" s="135"/>
      <c r="G60" s="135"/>
      <c r="H60" s="133"/>
      <c r="I60" s="133"/>
      <c r="J60" s="133"/>
      <c r="K60" s="134"/>
    </row>
    <row r="61" customFormat="false" ht="15" hidden="false" customHeight="false" outlineLevel="0" collapsed="false">
      <c r="A61" s="133"/>
      <c r="B61" s="133"/>
      <c r="C61" s="133"/>
      <c r="D61" s="133"/>
      <c r="E61" s="134"/>
      <c r="F61" s="135"/>
      <c r="G61" s="135"/>
      <c r="H61" s="133"/>
      <c r="I61" s="133"/>
      <c r="J61" s="133"/>
      <c r="K61" s="134"/>
    </row>
    <row r="62" customFormat="false" ht="15" hidden="false" customHeight="false" outlineLevel="0" collapsed="false">
      <c r="A62" s="133"/>
      <c r="B62" s="133"/>
      <c r="C62" s="133"/>
      <c r="D62" s="133"/>
      <c r="E62" s="134"/>
      <c r="F62" s="135"/>
      <c r="G62" s="135"/>
      <c r="H62" s="133"/>
      <c r="I62" s="133"/>
      <c r="J62" s="133"/>
      <c r="K62" s="134"/>
    </row>
    <row r="63" customFormat="false" ht="15" hidden="false" customHeight="false" outlineLevel="0" collapsed="false">
      <c r="A63" s="133"/>
      <c r="B63" s="133"/>
      <c r="C63" s="133"/>
      <c r="D63" s="133"/>
      <c r="E63" s="134"/>
      <c r="F63" s="135"/>
      <c r="G63" s="135"/>
      <c r="H63" s="133"/>
      <c r="I63" s="133"/>
      <c r="J63" s="133"/>
      <c r="K63" s="134"/>
    </row>
    <row r="64" customFormat="false" ht="15" hidden="false" customHeight="false" outlineLevel="0" collapsed="false">
      <c r="A64" s="133"/>
      <c r="B64" s="133"/>
      <c r="C64" s="133"/>
      <c r="D64" s="133"/>
      <c r="E64" s="134"/>
      <c r="F64" s="135"/>
      <c r="G64" s="135"/>
      <c r="H64" s="133"/>
      <c r="I64" s="133"/>
      <c r="J64" s="133"/>
      <c r="K64" s="134"/>
    </row>
    <row r="65" customFormat="false" ht="15" hidden="false" customHeight="false" outlineLevel="0" collapsed="false">
      <c r="A65" s="133"/>
      <c r="B65" s="133"/>
      <c r="C65" s="133"/>
      <c r="D65" s="133"/>
      <c r="E65" s="134"/>
      <c r="F65" s="135"/>
      <c r="G65" s="135"/>
      <c r="H65" s="133"/>
      <c r="I65" s="133"/>
      <c r="J65" s="133"/>
      <c r="K65" s="134"/>
    </row>
    <row r="66" customFormat="false" ht="15" hidden="false" customHeight="false" outlineLevel="0" collapsed="false">
      <c r="A66" s="133"/>
      <c r="B66" s="133"/>
      <c r="C66" s="133"/>
      <c r="D66" s="133"/>
      <c r="E66" s="134"/>
      <c r="F66" s="135"/>
      <c r="G66" s="135"/>
      <c r="H66" s="133"/>
      <c r="I66" s="133"/>
      <c r="J66" s="133"/>
      <c r="K66" s="134"/>
    </row>
    <row r="67" customFormat="false" ht="15" hidden="false" customHeight="false" outlineLevel="0" collapsed="false">
      <c r="A67" s="133"/>
      <c r="B67" s="133"/>
      <c r="C67" s="133"/>
      <c r="D67" s="133"/>
      <c r="E67" s="134"/>
      <c r="F67" s="135"/>
      <c r="G67" s="135"/>
      <c r="H67" s="133"/>
      <c r="I67" s="133"/>
      <c r="J67" s="133"/>
      <c r="K67" s="134"/>
    </row>
    <row r="68" customFormat="false" ht="15" hidden="false" customHeight="false" outlineLevel="0" collapsed="false">
      <c r="A68" s="133"/>
      <c r="B68" s="133"/>
      <c r="C68" s="133"/>
      <c r="D68" s="133"/>
      <c r="E68" s="134"/>
      <c r="F68" s="135"/>
      <c r="G68" s="135"/>
      <c r="H68" s="133"/>
      <c r="I68" s="133"/>
      <c r="J68" s="133"/>
      <c r="K68" s="134"/>
    </row>
    <row r="69" customFormat="false" ht="15" hidden="false" customHeight="false" outlineLevel="0" collapsed="false">
      <c r="A69" s="133"/>
      <c r="B69" s="133"/>
      <c r="C69" s="133"/>
      <c r="D69" s="133"/>
      <c r="E69" s="134"/>
      <c r="F69" s="135"/>
      <c r="G69" s="135"/>
      <c r="H69" s="133"/>
      <c r="I69" s="133"/>
      <c r="J69" s="133"/>
      <c r="K69" s="134"/>
    </row>
    <row r="70" customFormat="false" ht="15" hidden="false" customHeight="false" outlineLevel="0" collapsed="false">
      <c r="A70" s="133"/>
      <c r="B70" s="133"/>
      <c r="C70" s="133"/>
      <c r="D70" s="133"/>
      <c r="E70" s="134"/>
      <c r="F70" s="135"/>
      <c r="G70" s="135"/>
      <c r="H70" s="133"/>
      <c r="I70" s="133"/>
      <c r="J70" s="133"/>
      <c r="K70" s="134"/>
    </row>
    <row r="71" customFormat="false" ht="15" hidden="false" customHeight="false" outlineLevel="0" collapsed="false">
      <c r="A71" s="133"/>
      <c r="B71" s="133"/>
      <c r="C71" s="133"/>
      <c r="D71" s="133"/>
      <c r="E71" s="134"/>
      <c r="F71" s="135"/>
      <c r="G71" s="135"/>
      <c r="H71" s="133"/>
      <c r="I71" s="133"/>
      <c r="J71" s="133"/>
      <c r="K71" s="134"/>
    </row>
    <row r="72" customFormat="false" ht="15" hidden="false" customHeight="false" outlineLevel="0" collapsed="false">
      <c r="A72" s="133"/>
      <c r="B72" s="133"/>
      <c r="C72" s="133"/>
      <c r="D72" s="133"/>
      <c r="E72" s="134"/>
      <c r="F72" s="135"/>
      <c r="G72" s="135"/>
      <c r="H72" s="133"/>
      <c r="I72" s="133"/>
      <c r="J72" s="133"/>
      <c r="K72" s="134"/>
    </row>
    <row r="73" customFormat="false" ht="15" hidden="false" customHeight="false" outlineLevel="0" collapsed="false">
      <c r="A73" s="133"/>
      <c r="B73" s="133"/>
      <c r="C73" s="133"/>
      <c r="D73" s="133"/>
      <c r="E73" s="134"/>
      <c r="F73" s="135"/>
      <c r="G73" s="135"/>
      <c r="H73" s="133"/>
      <c r="I73" s="133"/>
      <c r="J73" s="133"/>
      <c r="K73" s="134"/>
    </row>
    <row r="74" customFormat="false" ht="15" hidden="false" customHeight="false" outlineLevel="0" collapsed="false">
      <c r="A74" s="133"/>
      <c r="B74" s="133"/>
      <c r="C74" s="133"/>
      <c r="D74" s="133"/>
      <c r="E74" s="134"/>
      <c r="F74" s="135"/>
      <c r="G74" s="135"/>
      <c r="H74" s="133"/>
      <c r="I74" s="133"/>
      <c r="J74" s="133"/>
      <c r="K74" s="134"/>
    </row>
    <row r="75" customFormat="false" ht="15" hidden="false" customHeight="false" outlineLevel="0" collapsed="false">
      <c r="A75" s="133"/>
      <c r="B75" s="133"/>
      <c r="C75" s="133"/>
      <c r="D75" s="133"/>
      <c r="E75" s="134"/>
      <c r="F75" s="135"/>
      <c r="G75" s="135"/>
      <c r="H75" s="133"/>
      <c r="I75" s="133"/>
      <c r="J75" s="133"/>
      <c r="K75" s="134"/>
    </row>
    <row r="76" customFormat="false" ht="15" hidden="false" customHeight="false" outlineLevel="0" collapsed="false">
      <c r="A76" s="133"/>
      <c r="B76" s="133"/>
      <c r="C76" s="133"/>
      <c r="D76" s="133"/>
      <c r="E76" s="134"/>
      <c r="F76" s="135"/>
      <c r="G76" s="135"/>
      <c r="H76" s="133"/>
      <c r="I76" s="133"/>
      <c r="J76" s="133"/>
      <c r="K76" s="134"/>
    </row>
    <row r="77" customFormat="false" ht="15" hidden="false" customHeight="false" outlineLevel="0" collapsed="false">
      <c r="A77" s="133"/>
      <c r="B77" s="133"/>
      <c r="C77" s="133"/>
      <c r="D77" s="133"/>
      <c r="E77" s="134"/>
      <c r="F77" s="135"/>
      <c r="G77" s="135"/>
      <c r="H77" s="133"/>
      <c r="I77" s="133"/>
      <c r="J77" s="133"/>
      <c r="K77" s="134"/>
    </row>
    <row r="78" customFormat="false" ht="15" hidden="false" customHeight="false" outlineLevel="0" collapsed="false">
      <c r="A78" s="133"/>
      <c r="B78" s="133"/>
      <c r="C78" s="133"/>
      <c r="D78" s="133"/>
      <c r="E78" s="134"/>
      <c r="F78" s="135"/>
      <c r="G78" s="135"/>
      <c r="H78" s="133"/>
      <c r="I78" s="133"/>
      <c r="J78" s="133"/>
      <c r="K78" s="134"/>
    </row>
    <row r="79" customFormat="false" ht="15" hidden="false" customHeight="false" outlineLevel="0" collapsed="false">
      <c r="A79" s="133"/>
      <c r="B79" s="133"/>
      <c r="C79" s="133"/>
      <c r="D79" s="133"/>
      <c r="E79" s="134"/>
      <c r="F79" s="135"/>
      <c r="G79" s="135"/>
      <c r="H79" s="133"/>
      <c r="I79" s="133"/>
      <c r="J79" s="133"/>
      <c r="K79" s="134"/>
    </row>
    <row r="80" customFormat="false" ht="15" hidden="false" customHeight="false" outlineLevel="0" collapsed="false">
      <c r="A80" s="133"/>
      <c r="B80" s="133"/>
      <c r="C80" s="133"/>
      <c r="D80" s="133"/>
      <c r="E80" s="134"/>
      <c r="F80" s="135"/>
      <c r="G80" s="135"/>
      <c r="H80" s="133"/>
      <c r="I80" s="133"/>
      <c r="J80" s="133"/>
      <c r="K80" s="134"/>
    </row>
    <row r="81" customFormat="false" ht="15" hidden="false" customHeight="false" outlineLevel="0" collapsed="false">
      <c r="A81" s="133"/>
      <c r="B81" s="133"/>
      <c r="C81" s="133"/>
      <c r="D81" s="133"/>
      <c r="E81" s="134"/>
      <c r="F81" s="135"/>
      <c r="G81" s="135"/>
      <c r="H81" s="133"/>
      <c r="I81" s="133"/>
      <c r="J81" s="133"/>
      <c r="K81" s="134"/>
    </row>
    <row r="82" customFormat="false" ht="15" hidden="false" customHeight="false" outlineLevel="0" collapsed="false">
      <c r="A82" s="133"/>
      <c r="B82" s="133"/>
      <c r="C82" s="133"/>
      <c r="D82" s="133"/>
      <c r="E82" s="134"/>
      <c r="F82" s="135"/>
      <c r="G82" s="135"/>
      <c r="H82" s="133"/>
      <c r="I82" s="133"/>
      <c r="J82" s="133"/>
      <c r="K82" s="134"/>
    </row>
    <row r="83" customFormat="false" ht="15" hidden="false" customHeight="false" outlineLevel="0" collapsed="false">
      <c r="A83" s="133"/>
      <c r="B83" s="133"/>
      <c r="C83" s="133"/>
      <c r="D83" s="133"/>
      <c r="E83" s="134"/>
      <c r="F83" s="135"/>
      <c r="G83" s="135"/>
      <c r="H83" s="133"/>
      <c r="I83" s="133"/>
      <c r="J83" s="133"/>
      <c r="K83" s="134"/>
    </row>
    <row r="84" customFormat="false" ht="15" hidden="false" customHeight="false" outlineLevel="0" collapsed="false">
      <c r="A84" s="133"/>
      <c r="B84" s="133"/>
      <c r="C84" s="133"/>
      <c r="D84" s="133"/>
      <c r="E84" s="134"/>
      <c r="F84" s="135"/>
      <c r="G84" s="135"/>
      <c r="H84" s="133"/>
      <c r="I84" s="133"/>
      <c r="J84" s="133"/>
      <c r="K84" s="134"/>
    </row>
    <row r="85" customFormat="false" ht="15" hidden="false" customHeight="false" outlineLevel="0" collapsed="false">
      <c r="A85" s="133"/>
      <c r="B85" s="133"/>
      <c r="C85" s="133"/>
      <c r="D85" s="133"/>
      <c r="E85" s="134"/>
      <c r="F85" s="135"/>
      <c r="G85" s="135"/>
      <c r="H85" s="133"/>
      <c r="I85" s="133"/>
      <c r="J85" s="133"/>
      <c r="K85" s="134"/>
    </row>
    <row r="86" customFormat="false" ht="15" hidden="false" customHeight="false" outlineLevel="0" collapsed="false">
      <c r="A86" s="133"/>
      <c r="B86" s="133"/>
      <c r="C86" s="133"/>
      <c r="D86" s="133"/>
      <c r="E86" s="134"/>
      <c r="F86" s="135"/>
      <c r="G86" s="135"/>
      <c r="H86" s="133"/>
      <c r="I86" s="133"/>
      <c r="J86" s="133"/>
      <c r="K86" s="134"/>
    </row>
    <row r="87" customFormat="false" ht="15" hidden="false" customHeight="false" outlineLevel="0" collapsed="false">
      <c r="A87" s="133"/>
      <c r="B87" s="133"/>
      <c r="C87" s="133"/>
      <c r="D87" s="133"/>
      <c r="E87" s="134"/>
      <c r="F87" s="135"/>
      <c r="G87" s="135"/>
      <c r="H87" s="133"/>
      <c r="I87" s="133"/>
      <c r="J87" s="133"/>
      <c r="K87" s="134"/>
    </row>
    <row r="88" customFormat="false" ht="15" hidden="false" customHeight="false" outlineLevel="0" collapsed="false">
      <c r="A88" s="133"/>
      <c r="B88" s="133"/>
      <c r="C88" s="133"/>
      <c r="D88" s="133"/>
      <c r="E88" s="134"/>
      <c r="F88" s="135"/>
      <c r="G88" s="135"/>
      <c r="H88" s="133"/>
      <c r="I88" s="133"/>
      <c r="J88" s="133"/>
      <c r="K88" s="134"/>
    </row>
    <row r="89" customFormat="false" ht="15" hidden="false" customHeight="false" outlineLevel="0" collapsed="false">
      <c r="A89" s="133"/>
      <c r="B89" s="133"/>
      <c r="C89" s="133"/>
      <c r="D89" s="133"/>
      <c r="E89" s="134"/>
      <c r="F89" s="135"/>
      <c r="G89" s="135"/>
      <c r="H89" s="133"/>
      <c r="I89" s="133"/>
      <c r="J89" s="133"/>
      <c r="K89" s="134"/>
    </row>
    <row r="90" customFormat="false" ht="15" hidden="false" customHeight="false" outlineLevel="0" collapsed="false">
      <c r="A90" s="133"/>
      <c r="B90" s="133"/>
      <c r="C90" s="133"/>
      <c r="D90" s="133"/>
      <c r="E90" s="134"/>
      <c r="F90" s="135"/>
      <c r="G90" s="135"/>
      <c r="H90" s="133"/>
      <c r="I90" s="133"/>
      <c r="J90" s="133"/>
      <c r="K90" s="134"/>
    </row>
    <row r="91" customFormat="false" ht="15" hidden="false" customHeight="false" outlineLevel="0" collapsed="false">
      <c r="A91" s="133"/>
      <c r="B91" s="133"/>
      <c r="C91" s="133"/>
      <c r="D91" s="133"/>
      <c r="E91" s="134"/>
      <c r="F91" s="135"/>
      <c r="G91" s="135"/>
      <c r="H91" s="133"/>
      <c r="I91" s="133"/>
      <c r="J91" s="133"/>
      <c r="K91" s="134"/>
    </row>
    <row r="92" customFormat="false" ht="15" hidden="false" customHeight="false" outlineLevel="0" collapsed="false">
      <c r="A92" s="133"/>
      <c r="B92" s="133"/>
      <c r="C92" s="133"/>
      <c r="D92" s="133"/>
      <c r="E92" s="134"/>
      <c r="F92" s="135"/>
      <c r="G92" s="135"/>
      <c r="H92" s="133"/>
      <c r="I92" s="133"/>
      <c r="J92" s="133"/>
      <c r="K92" s="134"/>
    </row>
    <row r="93" customFormat="false" ht="15" hidden="false" customHeight="false" outlineLevel="0" collapsed="false">
      <c r="A93" s="133"/>
      <c r="B93" s="133"/>
      <c r="C93" s="133"/>
      <c r="D93" s="133"/>
      <c r="E93" s="134"/>
      <c r="F93" s="135"/>
      <c r="G93" s="135"/>
      <c r="H93" s="133"/>
      <c r="I93" s="133"/>
      <c r="J93" s="133"/>
      <c r="K93" s="134"/>
    </row>
    <row r="94" customFormat="false" ht="15" hidden="false" customHeight="false" outlineLevel="0" collapsed="false">
      <c r="A94" s="133"/>
      <c r="B94" s="133"/>
      <c r="C94" s="133"/>
      <c r="D94" s="133"/>
      <c r="E94" s="134"/>
      <c r="F94" s="135"/>
      <c r="G94" s="135"/>
      <c r="H94" s="133"/>
      <c r="I94" s="133"/>
      <c r="J94" s="133"/>
      <c r="K94" s="134"/>
    </row>
    <row r="95" customFormat="false" ht="15" hidden="false" customHeight="false" outlineLevel="0" collapsed="false">
      <c r="A95" s="133"/>
      <c r="B95" s="133"/>
      <c r="C95" s="133"/>
      <c r="D95" s="133"/>
      <c r="E95" s="134"/>
      <c r="F95" s="135"/>
      <c r="G95" s="135"/>
      <c r="H95" s="133"/>
      <c r="I95" s="133"/>
      <c r="J95" s="133"/>
      <c r="K95" s="134"/>
    </row>
    <row r="96" customFormat="false" ht="15" hidden="false" customHeight="false" outlineLevel="0" collapsed="false">
      <c r="A96" s="133"/>
      <c r="B96" s="133"/>
      <c r="C96" s="133"/>
      <c r="D96" s="133"/>
      <c r="E96" s="134"/>
      <c r="F96" s="135"/>
      <c r="G96" s="135"/>
      <c r="H96" s="133"/>
      <c r="I96" s="133"/>
      <c r="J96" s="133"/>
      <c r="K96" s="134"/>
    </row>
    <row r="97" customFormat="false" ht="15" hidden="false" customHeight="false" outlineLevel="0" collapsed="false">
      <c r="A97" s="133"/>
      <c r="B97" s="133"/>
      <c r="C97" s="133"/>
      <c r="D97" s="133"/>
      <c r="E97" s="134"/>
      <c r="F97" s="135"/>
      <c r="G97" s="135"/>
      <c r="H97" s="133"/>
      <c r="I97" s="133"/>
      <c r="J97" s="133"/>
      <c r="K97" s="134"/>
    </row>
    <row r="98" customFormat="false" ht="15" hidden="false" customHeight="false" outlineLevel="0" collapsed="false">
      <c r="A98" s="133"/>
      <c r="B98" s="133"/>
      <c r="C98" s="133"/>
      <c r="D98" s="133"/>
      <c r="E98" s="134"/>
      <c r="F98" s="135"/>
      <c r="G98" s="135"/>
      <c r="H98" s="133"/>
      <c r="I98" s="133"/>
      <c r="J98" s="133"/>
      <c r="K98" s="134"/>
    </row>
    <row r="99" customFormat="false" ht="15" hidden="false" customHeight="false" outlineLevel="0" collapsed="false">
      <c r="A99" s="133"/>
      <c r="B99" s="133"/>
      <c r="C99" s="133"/>
      <c r="D99" s="133"/>
      <c r="E99" s="134"/>
      <c r="F99" s="135"/>
      <c r="G99" s="135"/>
      <c r="H99" s="133"/>
      <c r="I99" s="133"/>
      <c r="J99" s="133"/>
      <c r="K99" s="134"/>
    </row>
    <row r="100" customFormat="false" ht="15" hidden="false" customHeight="false" outlineLevel="0" collapsed="false">
      <c r="A100" s="133"/>
      <c r="B100" s="133"/>
      <c r="C100" s="133"/>
      <c r="D100" s="133"/>
      <c r="E100" s="134"/>
      <c r="F100" s="135"/>
      <c r="G100" s="135"/>
      <c r="H100" s="133"/>
      <c r="I100" s="133"/>
      <c r="J100" s="133"/>
      <c r="K100" s="134"/>
    </row>
    <row r="101" customFormat="false" ht="15" hidden="false" customHeight="false" outlineLevel="0" collapsed="false">
      <c r="A101" s="133"/>
      <c r="B101" s="133"/>
      <c r="C101" s="133"/>
      <c r="D101" s="133"/>
      <c r="E101" s="134"/>
      <c r="F101" s="135"/>
      <c r="G101" s="135"/>
      <c r="H101" s="133"/>
      <c r="I101" s="133"/>
      <c r="J101" s="133"/>
      <c r="K101" s="134"/>
    </row>
    <row r="102" customFormat="false" ht="15" hidden="false" customHeight="false" outlineLevel="0" collapsed="false">
      <c r="A102" s="133"/>
      <c r="B102" s="133"/>
      <c r="C102" s="133"/>
      <c r="D102" s="133"/>
      <c r="E102" s="134"/>
      <c r="F102" s="135"/>
      <c r="G102" s="135"/>
      <c r="H102" s="133"/>
      <c r="I102" s="133"/>
      <c r="J102" s="133"/>
      <c r="K102" s="134"/>
    </row>
    <row r="103" customFormat="false" ht="15" hidden="false" customHeight="false" outlineLevel="0" collapsed="false">
      <c r="A103" s="133"/>
      <c r="B103" s="133"/>
      <c r="C103" s="133"/>
      <c r="D103" s="133"/>
      <c r="E103" s="134"/>
      <c r="F103" s="135"/>
      <c r="G103" s="135"/>
      <c r="H103" s="133"/>
      <c r="I103" s="133"/>
      <c r="J103" s="133"/>
      <c r="K103" s="134"/>
    </row>
    <row r="104" customFormat="false" ht="15" hidden="false" customHeight="false" outlineLevel="0" collapsed="false">
      <c r="A104" s="133"/>
      <c r="B104" s="133"/>
      <c r="C104" s="133"/>
      <c r="D104" s="133"/>
      <c r="E104" s="134"/>
      <c r="F104" s="135"/>
      <c r="G104" s="135"/>
      <c r="H104" s="133"/>
      <c r="I104" s="133"/>
      <c r="J104" s="133"/>
      <c r="K104" s="134"/>
    </row>
    <row r="105" customFormat="false" ht="15" hidden="false" customHeight="false" outlineLevel="0" collapsed="false">
      <c r="A105" s="133"/>
      <c r="B105" s="133"/>
      <c r="C105" s="133"/>
      <c r="D105" s="133"/>
      <c r="E105" s="134"/>
      <c r="F105" s="135"/>
      <c r="G105" s="135"/>
      <c r="H105" s="133"/>
      <c r="I105" s="133"/>
      <c r="J105" s="133"/>
      <c r="K105" s="134"/>
    </row>
    <row r="106" customFormat="false" ht="15" hidden="false" customHeight="false" outlineLevel="0" collapsed="false">
      <c r="A106" s="133"/>
      <c r="B106" s="133"/>
      <c r="C106" s="133"/>
      <c r="D106" s="133"/>
      <c r="E106" s="134"/>
      <c r="F106" s="135"/>
      <c r="G106" s="135"/>
      <c r="H106" s="133"/>
      <c r="I106" s="133"/>
      <c r="J106" s="133"/>
      <c r="K106" s="134"/>
    </row>
    <row r="107" customFormat="false" ht="15" hidden="false" customHeight="false" outlineLevel="0" collapsed="false">
      <c r="A107" s="133"/>
      <c r="B107" s="133"/>
      <c r="C107" s="133"/>
      <c r="D107" s="133"/>
      <c r="E107" s="134"/>
      <c r="F107" s="135"/>
      <c r="G107" s="135"/>
      <c r="H107" s="133"/>
      <c r="I107" s="133"/>
      <c r="J107" s="133"/>
      <c r="K107" s="134"/>
    </row>
    <row r="108" customFormat="false" ht="15" hidden="false" customHeight="false" outlineLevel="0" collapsed="false">
      <c r="A108" s="133"/>
      <c r="B108" s="133"/>
      <c r="C108" s="133"/>
      <c r="D108" s="133"/>
      <c r="E108" s="134"/>
      <c r="F108" s="135"/>
      <c r="G108" s="135"/>
      <c r="H108" s="133"/>
      <c r="I108" s="133"/>
      <c r="J108" s="133"/>
      <c r="K108" s="134"/>
    </row>
    <row r="109" customFormat="false" ht="15" hidden="false" customHeight="false" outlineLevel="0" collapsed="false">
      <c r="A109" s="133"/>
      <c r="B109" s="133"/>
      <c r="C109" s="133"/>
      <c r="D109" s="133"/>
      <c r="E109" s="134"/>
      <c r="F109" s="135"/>
      <c r="G109" s="135"/>
      <c r="H109" s="133"/>
      <c r="I109" s="133"/>
      <c r="J109" s="133"/>
      <c r="K109" s="134"/>
    </row>
    <row r="110" customFormat="false" ht="15" hidden="false" customHeight="false" outlineLevel="0" collapsed="false">
      <c r="A110" s="133"/>
      <c r="B110" s="133"/>
      <c r="C110" s="133"/>
      <c r="D110" s="133"/>
      <c r="E110" s="134"/>
      <c r="F110" s="135"/>
      <c r="G110" s="135"/>
      <c r="H110" s="133"/>
      <c r="I110" s="133"/>
      <c r="J110" s="133"/>
      <c r="K110" s="134"/>
    </row>
    <row r="111" customFormat="false" ht="15" hidden="false" customHeight="false" outlineLevel="0" collapsed="false">
      <c r="A111" s="133"/>
      <c r="B111" s="133"/>
      <c r="C111" s="133"/>
      <c r="D111" s="133"/>
      <c r="E111" s="134"/>
      <c r="F111" s="135"/>
      <c r="G111" s="135"/>
      <c r="H111" s="133"/>
      <c r="I111" s="133"/>
      <c r="J111" s="133"/>
      <c r="K111" s="134"/>
    </row>
    <row r="112" customFormat="false" ht="15" hidden="false" customHeight="false" outlineLevel="0" collapsed="false">
      <c r="A112" s="133"/>
      <c r="B112" s="133"/>
      <c r="C112" s="133"/>
      <c r="D112" s="133"/>
      <c r="E112" s="134"/>
      <c r="F112" s="135"/>
      <c r="G112" s="135"/>
      <c r="H112" s="133"/>
      <c r="I112" s="133"/>
      <c r="J112" s="133"/>
      <c r="K112" s="134"/>
    </row>
    <row r="113" customFormat="false" ht="15" hidden="false" customHeight="false" outlineLevel="0" collapsed="false">
      <c r="A113" s="133"/>
      <c r="B113" s="133"/>
      <c r="C113" s="133"/>
      <c r="D113" s="133"/>
      <c r="E113" s="134"/>
      <c r="F113" s="135"/>
      <c r="G113" s="135"/>
      <c r="H113" s="133"/>
      <c r="I113" s="133"/>
      <c r="J113" s="133"/>
      <c r="K113" s="134"/>
    </row>
    <row r="114" customFormat="false" ht="15" hidden="false" customHeight="false" outlineLevel="0" collapsed="false">
      <c r="A114" s="133"/>
      <c r="B114" s="133"/>
      <c r="C114" s="133"/>
      <c r="D114" s="133"/>
      <c r="E114" s="134"/>
      <c r="F114" s="135"/>
      <c r="G114" s="135"/>
      <c r="H114" s="133"/>
      <c r="I114" s="133"/>
      <c r="J114" s="133"/>
      <c r="K114" s="134"/>
    </row>
    <row r="115" customFormat="false" ht="15" hidden="false" customHeight="false" outlineLevel="0" collapsed="false">
      <c r="A115" s="133"/>
      <c r="B115" s="133"/>
      <c r="C115" s="133"/>
      <c r="D115" s="133"/>
      <c r="E115" s="134"/>
      <c r="F115" s="135"/>
      <c r="G115" s="135"/>
      <c r="H115" s="133"/>
      <c r="I115" s="133"/>
      <c r="J115" s="133"/>
      <c r="K115" s="134"/>
    </row>
    <row r="116" customFormat="false" ht="15" hidden="false" customHeight="false" outlineLevel="0" collapsed="false">
      <c r="A116" s="133"/>
      <c r="B116" s="133"/>
      <c r="C116" s="133"/>
      <c r="D116" s="133"/>
      <c r="E116" s="134"/>
      <c r="F116" s="135"/>
      <c r="G116" s="135"/>
      <c r="H116" s="133"/>
      <c r="I116" s="133"/>
      <c r="J116" s="133"/>
      <c r="K116" s="134"/>
    </row>
    <row r="117" customFormat="false" ht="15" hidden="false" customHeight="false" outlineLevel="0" collapsed="false">
      <c r="A117" s="133"/>
      <c r="B117" s="133"/>
      <c r="C117" s="133"/>
      <c r="D117" s="133"/>
      <c r="E117" s="134"/>
      <c r="F117" s="135"/>
      <c r="G117" s="135"/>
      <c r="H117" s="133"/>
      <c r="I117" s="133"/>
      <c r="J117" s="133"/>
      <c r="K117" s="134"/>
    </row>
    <row r="118" customFormat="false" ht="15" hidden="false" customHeight="false" outlineLevel="0" collapsed="false">
      <c r="A118" s="133"/>
      <c r="B118" s="133"/>
      <c r="C118" s="133"/>
      <c r="D118" s="133"/>
      <c r="E118" s="134"/>
      <c r="F118" s="135"/>
      <c r="G118" s="135"/>
      <c r="H118" s="133"/>
      <c r="I118" s="133"/>
      <c r="J118" s="133"/>
      <c r="K118" s="134"/>
    </row>
    <row r="119" customFormat="false" ht="15" hidden="false" customHeight="false" outlineLevel="0" collapsed="false">
      <c r="A119" s="133"/>
      <c r="B119" s="133"/>
      <c r="C119" s="133"/>
      <c r="D119" s="133"/>
      <c r="E119" s="134"/>
      <c r="F119" s="135"/>
      <c r="G119" s="135"/>
      <c r="H119" s="133"/>
      <c r="I119" s="133"/>
      <c r="J119" s="133"/>
      <c r="K119" s="134"/>
    </row>
    <row r="120" customFormat="false" ht="15" hidden="false" customHeight="false" outlineLevel="0" collapsed="false">
      <c r="A120" s="133"/>
      <c r="B120" s="133"/>
      <c r="C120" s="133"/>
      <c r="D120" s="133"/>
      <c r="E120" s="134"/>
      <c r="F120" s="135"/>
      <c r="G120" s="135"/>
      <c r="H120" s="133"/>
      <c r="I120" s="133"/>
      <c r="J120" s="133"/>
      <c r="K120" s="134"/>
    </row>
    <row r="121" customFormat="false" ht="15" hidden="false" customHeight="false" outlineLevel="0" collapsed="false">
      <c r="A121" s="133"/>
      <c r="B121" s="133"/>
      <c r="C121" s="133"/>
      <c r="D121" s="133"/>
      <c r="E121" s="134"/>
      <c r="F121" s="135"/>
      <c r="G121" s="135"/>
      <c r="H121" s="133"/>
      <c r="I121" s="133"/>
      <c r="J121" s="133"/>
      <c r="K121" s="134"/>
    </row>
    <row r="122" customFormat="false" ht="15" hidden="false" customHeight="false" outlineLevel="0" collapsed="false">
      <c r="A122" s="133"/>
      <c r="B122" s="133"/>
      <c r="C122" s="133"/>
      <c r="D122" s="133"/>
      <c r="E122" s="134"/>
      <c r="F122" s="135"/>
      <c r="G122" s="135"/>
      <c r="H122" s="133"/>
      <c r="I122" s="133"/>
      <c r="J122" s="133"/>
      <c r="K122" s="134"/>
    </row>
    <row r="123" customFormat="false" ht="15" hidden="false" customHeight="false" outlineLevel="0" collapsed="false">
      <c r="A123" s="133"/>
      <c r="B123" s="133"/>
      <c r="C123" s="133"/>
      <c r="D123" s="133"/>
      <c r="E123" s="134"/>
      <c r="F123" s="135"/>
      <c r="G123" s="135"/>
      <c r="H123" s="133"/>
      <c r="I123" s="133"/>
      <c r="J123" s="133"/>
      <c r="K123" s="134"/>
    </row>
    <row r="124" customFormat="false" ht="15" hidden="false" customHeight="false" outlineLevel="0" collapsed="false">
      <c r="A124" s="133"/>
      <c r="B124" s="133"/>
      <c r="C124" s="133"/>
      <c r="D124" s="133"/>
      <c r="E124" s="134"/>
      <c r="F124" s="135"/>
      <c r="G124" s="135"/>
      <c r="H124" s="133"/>
      <c r="I124" s="133"/>
      <c r="J124" s="133"/>
      <c r="K124" s="134"/>
    </row>
    <row r="125" customFormat="false" ht="15" hidden="false" customHeight="false" outlineLevel="0" collapsed="false">
      <c r="A125" s="133"/>
      <c r="B125" s="133"/>
      <c r="C125" s="133"/>
      <c r="D125" s="133"/>
      <c r="E125" s="134"/>
      <c r="F125" s="135"/>
      <c r="G125" s="135"/>
      <c r="H125" s="133"/>
      <c r="I125" s="133"/>
      <c r="J125" s="133"/>
      <c r="K125" s="134"/>
    </row>
    <row r="126" customFormat="false" ht="15" hidden="false" customHeight="false" outlineLevel="0" collapsed="false">
      <c r="A126" s="133"/>
      <c r="B126" s="133"/>
      <c r="C126" s="133"/>
      <c r="D126" s="133"/>
      <c r="E126" s="134"/>
      <c r="F126" s="135"/>
      <c r="G126" s="135"/>
      <c r="H126" s="133"/>
      <c r="I126" s="133"/>
      <c r="J126" s="133"/>
      <c r="K126" s="134"/>
    </row>
    <row r="127" customFormat="false" ht="15" hidden="false" customHeight="false" outlineLevel="0" collapsed="false">
      <c r="A127" s="133"/>
      <c r="B127" s="133"/>
      <c r="C127" s="133"/>
      <c r="D127" s="133"/>
      <c r="E127" s="134"/>
      <c r="F127" s="135"/>
      <c r="G127" s="135"/>
      <c r="H127" s="133"/>
      <c r="I127" s="133"/>
      <c r="J127" s="133"/>
      <c r="K127" s="134"/>
    </row>
    <row r="128" customFormat="false" ht="15" hidden="false" customHeight="false" outlineLevel="0" collapsed="false">
      <c r="A128" s="133"/>
      <c r="B128" s="133"/>
      <c r="C128" s="133"/>
      <c r="D128" s="133"/>
      <c r="E128" s="134"/>
      <c r="F128" s="135"/>
      <c r="G128" s="135"/>
      <c r="H128" s="133"/>
      <c r="I128" s="133"/>
      <c r="J128" s="133"/>
      <c r="K128" s="134"/>
    </row>
    <row r="129" customFormat="false" ht="15" hidden="false" customHeight="false" outlineLevel="0" collapsed="false">
      <c r="A129" s="133"/>
      <c r="B129" s="133"/>
      <c r="C129" s="133"/>
      <c r="D129" s="133"/>
      <c r="E129" s="134"/>
      <c r="F129" s="135"/>
      <c r="G129" s="135"/>
      <c r="H129" s="133"/>
      <c r="I129" s="133"/>
      <c r="J129" s="133"/>
      <c r="K129" s="134"/>
    </row>
    <row r="130" customFormat="false" ht="15" hidden="false" customHeight="false" outlineLevel="0" collapsed="false">
      <c r="A130" s="133"/>
      <c r="B130" s="133"/>
      <c r="C130" s="133"/>
      <c r="D130" s="133"/>
      <c r="E130" s="134"/>
      <c r="F130" s="135"/>
      <c r="G130" s="135"/>
      <c r="H130" s="133"/>
      <c r="I130" s="133"/>
      <c r="J130" s="133"/>
      <c r="K130" s="134"/>
    </row>
    <row r="131" customFormat="false" ht="15" hidden="false" customHeight="false" outlineLevel="0" collapsed="false">
      <c r="A131" s="133"/>
      <c r="B131" s="133"/>
      <c r="C131" s="133"/>
      <c r="D131" s="133"/>
      <c r="E131" s="134"/>
      <c r="F131" s="135"/>
      <c r="G131" s="135"/>
      <c r="H131" s="133"/>
      <c r="I131" s="133"/>
      <c r="J131" s="133"/>
      <c r="K131" s="134"/>
    </row>
    <row r="132" customFormat="false" ht="15" hidden="false" customHeight="false" outlineLevel="0" collapsed="false">
      <c r="A132" s="133"/>
      <c r="B132" s="133"/>
      <c r="C132" s="133"/>
      <c r="D132" s="133"/>
      <c r="E132" s="134"/>
      <c r="F132" s="135"/>
      <c r="G132" s="135"/>
      <c r="H132" s="133"/>
      <c r="I132" s="133"/>
      <c r="J132" s="133"/>
      <c r="K132" s="134"/>
    </row>
    <row r="133" customFormat="false" ht="15" hidden="false" customHeight="false" outlineLevel="0" collapsed="false">
      <c r="A133" s="133"/>
      <c r="B133" s="133"/>
      <c r="C133" s="133"/>
      <c r="D133" s="133"/>
      <c r="E133" s="134"/>
      <c r="F133" s="135"/>
      <c r="G133" s="135"/>
      <c r="H133" s="133"/>
      <c r="I133" s="133"/>
      <c r="J133" s="133"/>
      <c r="K133" s="134"/>
    </row>
    <row r="134" customFormat="false" ht="15" hidden="false" customHeight="false" outlineLevel="0" collapsed="false">
      <c r="A134" s="133"/>
      <c r="B134" s="133"/>
      <c r="C134" s="133"/>
      <c r="D134" s="133"/>
      <c r="E134" s="134"/>
      <c r="F134" s="135"/>
      <c r="G134" s="135"/>
      <c r="H134" s="133"/>
      <c r="I134" s="133"/>
      <c r="J134" s="133"/>
      <c r="K134" s="134"/>
    </row>
    <row r="135" customFormat="false" ht="15" hidden="false" customHeight="false" outlineLevel="0" collapsed="false">
      <c r="A135" s="133"/>
      <c r="B135" s="133"/>
      <c r="C135" s="133"/>
      <c r="D135" s="133"/>
      <c r="E135" s="134"/>
      <c r="F135" s="135"/>
      <c r="G135" s="135"/>
      <c r="H135" s="133"/>
      <c r="I135" s="133"/>
      <c r="J135" s="133"/>
      <c r="K135" s="134"/>
    </row>
    <row r="136" customFormat="false" ht="15" hidden="false" customHeight="false" outlineLevel="0" collapsed="false">
      <c r="A136" s="133"/>
      <c r="B136" s="133"/>
      <c r="C136" s="133"/>
      <c r="D136" s="133"/>
      <c r="E136" s="134"/>
      <c r="F136" s="135"/>
      <c r="G136" s="135"/>
      <c r="H136" s="133"/>
      <c r="I136" s="133"/>
      <c r="J136" s="133"/>
      <c r="K136" s="134"/>
    </row>
    <row r="137" customFormat="false" ht="15" hidden="false" customHeight="false" outlineLevel="0" collapsed="false">
      <c r="A137" s="133"/>
      <c r="B137" s="133"/>
      <c r="C137" s="133"/>
      <c r="D137" s="133"/>
      <c r="E137" s="134"/>
      <c r="F137" s="135"/>
      <c r="G137" s="135"/>
      <c r="H137" s="133"/>
      <c r="I137" s="133"/>
      <c r="J137" s="133"/>
      <c r="K137" s="134"/>
    </row>
    <row r="138" customFormat="false" ht="15" hidden="false" customHeight="false" outlineLevel="0" collapsed="false">
      <c r="A138" s="133"/>
      <c r="B138" s="133"/>
      <c r="C138" s="133"/>
      <c r="D138" s="133"/>
      <c r="E138" s="134"/>
      <c r="F138" s="135"/>
      <c r="G138" s="135"/>
      <c r="H138" s="133"/>
      <c r="I138" s="133"/>
      <c r="J138" s="133"/>
      <c r="K138" s="134"/>
    </row>
    <row r="139" customFormat="false" ht="15" hidden="false" customHeight="false" outlineLevel="0" collapsed="false">
      <c r="A139" s="133"/>
      <c r="B139" s="133"/>
      <c r="C139" s="133"/>
      <c r="D139" s="133"/>
      <c r="E139" s="134"/>
      <c r="F139" s="135"/>
      <c r="G139" s="135"/>
      <c r="H139" s="133"/>
      <c r="I139" s="133"/>
      <c r="J139" s="133"/>
      <c r="K139" s="134"/>
    </row>
    <row r="140" customFormat="false" ht="15" hidden="false" customHeight="false" outlineLevel="0" collapsed="false">
      <c r="A140" s="133"/>
      <c r="B140" s="133"/>
      <c r="C140" s="133"/>
      <c r="D140" s="133"/>
      <c r="E140" s="134"/>
      <c r="F140" s="135"/>
      <c r="G140" s="135"/>
      <c r="H140" s="133"/>
      <c r="I140" s="133"/>
      <c r="J140" s="133"/>
      <c r="K140" s="134"/>
    </row>
    <row r="141" customFormat="false" ht="15" hidden="false" customHeight="false" outlineLevel="0" collapsed="false">
      <c r="A141" s="133"/>
      <c r="B141" s="133"/>
      <c r="C141" s="133"/>
      <c r="D141" s="133"/>
      <c r="E141" s="134"/>
      <c r="F141" s="135"/>
      <c r="G141" s="135"/>
      <c r="H141" s="133"/>
      <c r="I141" s="133"/>
      <c r="J141" s="133"/>
      <c r="K141" s="134"/>
    </row>
    <row r="142" customFormat="false" ht="15" hidden="false" customHeight="false" outlineLevel="0" collapsed="false">
      <c r="A142" s="133"/>
      <c r="B142" s="133"/>
      <c r="C142" s="133"/>
      <c r="D142" s="133"/>
      <c r="E142" s="134"/>
      <c r="F142" s="135"/>
      <c r="G142" s="135"/>
      <c r="H142" s="133"/>
      <c r="I142" s="133"/>
      <c r="J142" s="133"/>
      <c r="K142" s="134"/>
    </row>
    <row r="143" customFormat="false" ht="15" hidden="false" customHeight="false" outlineLevel="0" collapsed="false">
      <c r="A143" s="133"/>
      <c r="B143" s="133"/>
      <c r="C143" s="133"/>
      <c r="D143" s="133"/>
      <c r="E143" s="134"/>
      <c r="F143" s="135"/>
      <c r="G143" s="135"/>
      <c r="H143" s="133"/>
      <c r="I143" s="133"/>
      <c r="J143" s="133"/>
      <c r="K143" s="134"/>
    </row>
    <row r="144" customFormat="false" ht="15" hidden="false" customHeight="false" outlineLevel="0" collapsed="false">
      <c r="A144" s="133"/>
      <c r="B144" s="133"/>
      <c r="C144" s="133"/>
      <c r="D144" s="133"/>
      <c r="E144" s="134"/>
      <c r="F144" s="135"/>
      <c r="G144" s="135"/>
      <c r="H144" s="133"/>
      <c r="I144" s="133"/>
      <c r="J144" s="133"/>
      <c r="K144" s="134"/>
    </row>
    <row r="145" customFormat="false" ht="15" hidden="false" customHeight="false" outlineLevel="0" collapsed="false">
      <c r="A145" s="133"/>
      <c r="B145" s="133"/>
      <c r="C145" s="133"/>
      <c r="D145" s="133"/>
      <c r="E145" s="134"/>
      <c r="F145" s="135"/>
      <c r="G145" s="135"/>
      <c r="H145" s="133"/>
      <c r="I145" s="133"/>
      <c r="J145" s="133"/>
      <c r="K145" s="134"/>
    </row>
    <row r="146" customFormat="false" ht="15" hidden="false" customHeight="false" outlineLevel="0" collapsed="false">
      <c r="A146" s="133"/>
      <c r="B146" s="133"/>
      <c r="C146" s="133"/>
      <c r="D146" s="133"/>
      <c r="E146" s="134"/>
      <c r="F146" s="135"/>
      <c r="G146" s="135"/>
      <c r="H146" s="133"/>
      <c r="I146" s="133"/>
      <c r="J146" s="133"/>
      <c r="K146" s="134"/>
    </row>
    <row r="147" customFormat="false" ht="15" hidden="false" customHeight="false" outlineLevel="0" collapsed="false">
      <c r="A147" s="133"/>
      <c r="B147" s="133"/>
      <c r="C147" s="133"/>
      <c r="D147" s="133"/>
      <c r="E147" s="134"/>
      <c r="F147" s="135"/>
      <c r="G147" s="135"/>
      <c r="H147" s="133"/>
      <c r="I147" s="133"/>
      <c r="J147" s="133"/>
      <c r="K147" s="134"/>
    </row>
    <row r="148" customFormat="false" ht="15" hidden="false" customHeight="false" outlineLevel="0" collapsed="false">
      <c r="A148" s="133"/>
      <c r="B148" s="133"/>
      <c r="C148" s="133"/>
      <c r="D148" s="133"/>
      <c r="E148" s="134"/>
      <c r="F148" s="135"/>
      <c r="G148" s="135"/>
      <c r="H148" s="133"/>
      <c r="I148" s="133"/>
      <c r="J148" s="133"/>
      <c r="K148" s="134"/>
    </row>
    <row r="149" customFormat="false" ht="15" hidden="false" customHeight="false" outlineLevel="0" collapsed="false">
      <c r="A149" s="133"/>
      <c r="B149" s="133"/>
      <c r="C149" s="133"/>
      <c r="D149" s="133"/>
      <c r="E149" s="134"/>
      <c r="F149" s="135"/>
      <c r="G149" s="135"/>
      <c r="H149" s="133"/>
      <c r="I149" s="133"/>
      <c r="J149" s="133"/>
      <c r="K149" s="134"/>
    </row>
    <row r="150" customFormat="false" ht="15" hidden="false" customHeight="false" outlineLevel="0" collapsed="false">
      <c r="A150" s="133"/>
      <c r="B150" s="133"/>
      <c r="C150" s="133"/>
      <c r="D150" s="133"/>
      <c r="E150" s="134"/>
      <c r="F150" s="135"/>
      <c r="G150" s="135"/>
      <c r="H150" s="133"/>
      <c r="I150" s="133"/>
      <c r="J150" s="133"/>
      <c r="K150" s="134"/>
    </row>
    <row r="151" customFormat="false" ht="15" hidden="false" customHeight="false" outlineLevel="0" collapsed="false">
      <c r="A151" s="133"/>
      <c r="B151" s="133"/>
      <c r="C151" s="133"/>
      <c r="D151" s="133"/>
      <c r="E151" s="134"/>
      <c r="F151" s="135"/>
      <c r="G151" s="135"/>
      <c r="H151" s="133"/>
      <c r="I151" s="133"/>
      <c r="J151" s="133"/>
      <c r="K151" s="134"/>
    </row>
    <row r="152" customFormat="false" ht="15" hidden="false" customHeight="false" outlineLevel="0" collapsed="false">
      <c r="A152" s="133"/>
      <c r="B152" s="133"/>
      <c r="C152" s="133"/>
      <c r="D152" s="133"/>
      <c r="E152" s="134"/>
      <c r="F152" s="135"/>
      <c r="G152" s="135"/>
      <c r="H152" s="133"/>
      <c r="I152" s="133"/>
      <c r="J152" s="133"/>
      <c r="K152" s="134"/>
    </row>
    <row r="153" customFormat="false" ht="15" hidden="false" customHeight="false" outlineLevel="0" collapsed="false">
      <c r="A153" s="133"/>
      <c r="B153" s="133"/>
      <c r="C153" s="133"/>
      <c r="D153" s="133"/>
      <c r="E153" s="134"/>
      <c r="F153" s="135"/>
      <c r="G153" s="135"/>
      <c r="H153" s="133"/>
      <c r="I153" s="133"/>
      <c r="J153" s="133"/>
      <c r="K153" s="134"/>
    </row>
    <row r="154" customFormat="false" ht="15" hidden="false" customHeight="false" outlineLevel="0" collapsed="false">
      <c r="A154" s="133"/>
      <c r="B154" s="133"/>
      <c r="C154" s="133"/>
      <c r="D154" s="133"/>
      <c r="E154" s="134"/>
      <c r="F154" s="135"/>
      <c r="G154" s="135"/>
      <c r="H154" s="133"/>
      <c r="I154" s="133"/>
      <c r="J154" s="133"/>
      <c r="K154" s="134"/>
    </row>
    <row r="155" customFormat="false" ht="15" hidden="false" customHeight="false" outlineLevel="0" collapsed="false">
      <c r="A155" s="133"/>
      <c r="B155" s="133"/>
      <c r="C155" s="133"/>
      <c r="D155" s="133"/>
      <c r="E155" s="134"/>
      <c r="F155" s="135"/>
      <c r="G155" s="135"/>
      <c r="H155" s="133"/>
      <c r="I155" s="133"/>
      <c r="J155" s="133"/>
      <c r="K155" s="134"/>
    </row>
    <row r="156" customFormat="false" ht="15" hidden="false" customHeight="false" outlineLevel="0" collapsed="false">
      <c r="A156" s="133"/>
      <c r="B156" s="133"/>
      <c r="C156" s="133"/>
      <c r="D156" s="133"/>
      <c r="E156" s="134"/>
      <c r="F156" s="135"/>
      <c r="G156" s="135"/>
      <c r="H156" s="133"/>
      <c r="I156" s="133"/>
      <c r="J156" s="133"/>
      <c r="K156" s="134"/>
    </row>
    <row r="157" customFormat="false" ht="15" hidden="false" customHeight="false" outlineLevel="0" collapsed="false">
      <c r="A157" s="133"/>
      <c r="B157" s="133"/>
      <c r="C157" s="133"/>
      <c r="D157" s="133"/>
      <c r="E157" s="134"/>
      <c r="F157" s="135"/>
      <c r="G157" s="135"/>
      <c r="H157" s="133"/>
      <c r="I157" s="133"/>
      <c r="J157" s="133"/>
      <c r="K157" s="134"/>
    </row>
    <row r="158" customFormat="false" ht="15" hidden="false" customHeight="false" outlineLevel="0" collapsed="false">
      <c r="A158" s="133"/>
      <c r="B158" s="133"/>
      <c r="C158" s="133"/>
      <c r="D158" s="133"/>
      <c r="E158" s="134"/>
      <c r="F158" s="135"/>
      <c r="G158" s="135"/>
      <c r="H158" s="133"/>
      <c r="I158" s="133"/>
      <c r="J158" s="133"/>
      <c r="K158" s="134"/>
    </row>
    <row r="159" customFormat="false" ht="15" hidden="false" customHeight="false" outlineLevel="0" collapsed="false">
      <c r="A159" s="133"/>
      <c r="B159" s="133"/>
      <c r="C159" s="133"/>
      <c r="D159" s="133"/>
      <c r="E159" s="134"/>
      <c r="F159" s="135"/>
      <c r="G159" s="135"/>
      <c r="H159" s="133"/>
      <c r="I159" s="133"/>
      <c r="J159" s="133"/>
      <c r="K159" s="134"/>
    </row>
    <row r="160" customFormat="false" ht="15" hidden="false" customHeight="false" outlineLevel="0" collapsed="false">
      <c r="A160" s="133"/>
      <c r="B160" s="133"/>
      <c r="C160" s="133"/>
      <c r="D160" s="133"/>
      <c r="E160" s="134"/>
      <c r="F160" s="135"/>
      <c r="G160" s="135"/>
      <c r="H160" s="133"/>
      <c r="I160" s="133"/>
      <c r="J160" s="133"/>
      <c r="K160" s="134"/>
    </row>
    <row r="161" customFormat="false" ht="15" hidden="false" customHeight="false" outlineLevel="0" collapsed="false">
      <c r="A161" s="133"/>
      <c r="B161" s="133"/>
      <c r="C161" s="133"/>
      <c r="D161" s="133"/>
      <c r="E161" s="134"/>
      <c r="F161" s="135"/>
      <c r="G161" s="135"/>
      <c r="H161" s="133"/>
      <c r="I161" s="133"/>
      <c r="J161" s="133"/>
      <c r="K161" s="134"/>
    </row>
    <row r="162" customFormat="false" ht="15" hidden="false" customHeight="false" outlineLevel="0" collapsed="false">
      <c r="A162" s="133"/>
      <c r="B162" s="133"/>
      <c r="C162" s="133"/>
      <c r="D162" s="133"/>
      <c r="E162" s="134"/>
      <c r="F162" s="135"/>
      <c r="G162" s="135"/>
      <c r="H162" s="133"/>
      <c r="I162" s="133"/>
      <c r="J162" s="133"/>
      <c r="K162" s="134"/>
    </row>
    <row r="163" customFormat="false" ht="15" hidden="false" customHeight="false" outlineLevel="0" collapsed="false">
      <c r="A163" s="133"/>
      <c r="B163" s="133"/>
      <c r="C163" s="133"/>
      <c r="D163" s="133"/>
      <c r="E163" s="134"/>
      <c r="F163" s="135"/>
      <c r="G163" s="135"/>
      <c r="H163" s="133"/>
      <c r="I163" s="133"/>
      <c r="J163" s="133"/>
      <c r="K163" s="134"/>
    </row>
    <row r="164" customFormat="false" ht="15" hidden="false" customHeight="false" outlineLevel="0" collapsed="false">
      <c r="A164" s="133"/>
      <c r="B164" s="133"/>
      <c r="C164" s="133"/>
      <c r="D164" s="133"/>
      <c r="E164" s="134"/>
      <c r="F164" s="135"/>
      <c r="G164" s="135"/>
      <c r="H164" s="133"/>
      <c r="I164" s="133"/>
      <c r="J164" s="133"/>
      <c r="K164" s="134"/>
    </row>
    <row r="165" customFormat="false" ht="15" hidden="false" customHeight="false" outlineLevel="0" collapsed="false">
      <c r="A165" s="133"/>
      <c r="B165" s="133"/>
      <c r="C165" s="133"/>
      <c r="D165" s="133"/>
      <c r="E165" s="134"/>
      <c r="F165" s="135"/>
      <c r="G165" s="135"/>
      <c r="H165" s="133"/>
      <c r="I165" s="133"/>
      <c r="J165" s="133"/>
      <c r="K165" s="134"/>
    </row>
    <row r="166" customFormat="false" ht="15" hidden="false" customHeight="false" outlineLevel="0" collapsed="false">
      <c r="A166" s="133"/>
      <c r="B166" s="133"/>
      <c r="C166" s="133"/>
      <c r="D166" s="133"/>
      <c r="E166" s="134"/>
      <c r="F166" s="135"/>
      <c r="G166" s="135"/>
      <c r="H166" s="133"/>
      <c r="I166" s="133"/>
      <c r="J166" s="133"/>
      <c r="K166" s="134"/>
    </row>
    <row r="167" customFormat="false" ht="15" hidden="false" customHeight="false" outlineLevel="0" collapsed="false">
      <c r="A167" s="133"/>
      <c r="B167" s="133"/>
      <c r="C167" s="133"/>
      <c r="D167" s="133"/>
      <c r="E167" s="134"/>
      <c r="F167" s="135"/>
      <c r="G167" s="135"/>
      <c r="H167" s="133"/>
      <c r="I167" s="133"/>
      <c r="J167" s="133"/>
      <c r="K167" s="134"/>
    </row>
    <row r="168" customFormat="false" ht="15" hidden="false" customHeight="false" outlineLevel="0" collapsed="false">
      <c r="A168" s="133"/>
      <c r="B168" s="133"/>
      <c r="C168" s="133"/>
      <c r="D168" s="133"/>
      <c r="E168" s="134"/>
      <c r="F168" s="135"/>
      <c r="G168" s="135"/>
      <c r="H168" s="133"/>
      <c r="I168" s="133"/>
      <c r="J168" s="133"/>
      <c r="K168" s="134"/>
    </row>
    <row r="169" customFormat="false" ht="15" hidden="false" customHeight="false" outlineLevel="0" collapsed="false">
      <c r="A169" s="133"/>
      <c r="B169" s="133"/>
      <c r="C169" s="133"/>
      <c r="D169" s="133"/>
      <c r="E169" s="134"/>
      <c r="F169" s="135"/>
      <c r="G169" s="135"/>
      <c r="H169" s="133"/>
      <c r="I169" s="133"/>
      <c r="J169" s="133"/>
      <c r="K169" s="134"/>
    </row>
    <row r="170" customFormat="false" ht="15" hidden="false" customHeight="false" outlineLevel="0" collapsed="false">
      <c r="A170" s="133"/>
      <c r="B170" s="133"/>
      <c r="C170" s="133"/>
      <c r="D170" s="133"/>
      <c r="E170" s="134"/>
      <c r="F170" s="135"/>
      <c r="G170" s="135"/>
      <c r="H170" s="133"/>
      <c r="I170" s="133"/>
      <c r="J170" s="133"/>
      <c r="K170" s="134"/>
    </row>
    <row r="171" customFormat="false" ht="15" hidden="false" customHeight="false" outlineLevel="0" collapsed="false">
      <c r="A171" s="133"/>
      <c r="B171" s="133"/>
      <c r="C171" s="133"/>
      <c r="D171" s="133"/>
      <c r="E171" s="134"/>
      <c r="F171" s="135"/>
      <c r="G171" s="135"/>
      <c r="H171" s="133"/>
      <c r="I171" s="133"/>
      <c r="J171" s="133"/>
      <c r="K171" s="134"/>
    </row>
    <row r="172" customFormat="false" ht="15" hidden="false" customHeight="false" outlineLevel="0" collapsed="false">
      <c r="A172" s="133"/>
      <c r="B172" s="133"/>
      <c r="C172" s="133"/>
      <c r="D172" s="133"/>
      <c r="E172" s="134"/>
      <c r="F172" s="135"/>
      <c r="G172" s="135"/>
      <c r="H172" s="133"/>
      <c r="I172" s="133"/>
      <c r="J172" s="133"/>
      <c r="K172" s="134"/>
    </row>
    <row r="173" customFormat="false" ht="15" hidden="false" customHeight="false" outlineLevel="0" collapsed="false">
      <c r="A173" s="133"/>
      <c r="B173" s="133"/>
      <c r="C173" s="133"/>
      <c r="D173" s="133"/>
      <c r="E173" s="134"/>
      <c r="F173" s="135"/>
      <c r="G173" s="135"/>
      <c r="H173" s="133"/>
      <c r="I173" s="133"/>
      <c r="J173" s="133"/>
      <c r="K173" s="134"/>
    </row>
    <row r="174" customFormat="false" ht="15" hidden="false" customHeight="false" outlineLevel="0" collapsed="false">
      <c r="A174" s="133"/>
      <c r="B174" s="133"/>
      <c r="C174" s="133"/>
      <c r="D174" s="133"/>
      <c r="E174" s="134"/>
      <c r="F174" s="135"/>
      <c r="G174" s="135"/>
      <c r="H174" s="133"/>
      <c r="I174" s="133"/>
      <c r="J174" s="133"/>
      <c r="K174" s="134"/>
    </row>
    <row r="175" customFormat="false" ht="15" hidden="false" customHeight="false" outlineLevel="0" collapsed="false">
      <c r="A175" s="133"/>
      <c r="B175" s="133"/>
      <c r="C175" s="133"/>
      <c r="D175" s="133"/>
      <c r="E175" s="134"/>
      <c r="F175" s="135"/>
      <c r="G175" s="135"/>
      <c r="H175" s="133"/>
      <c r="I175" s="133"/>
      <c r="J175" s="133"/>
      <c r="K175" s="134"/>
    </row>
    <row r="176" customFormat="false" ht="15" hidden="false" customHeight="false" outlineLevel="0" collapsed="false">
      <c r="A176" s="133"/>
      <c r="B176" s="133"/>
      <c r="C176" s="133"/>
      <c r="D176" s="133"/>
      <c r="E176" s="134"/>
      <c r="F176" s="135"/>
      <c r="G176" s="135"/>
      <c r="H176" s="133"/>
      <c r="I176" s="133"/>
      <c r="J176" s="133"/>
      <c r="K176" s="134"/>
    </row>
    <row r="177" customFormat="false" ht="15" hidden="false" customHeight="false" outlineLevel="0" collapsed="false">
      <c r="A177" s="133"/>
      <c r="B177" s="133"/>
      <c r="C177" s="133"/>
      <c r="D177" s="133"/>
      <c r="E177" s="134"/>
      <c r="F177" s="135"/>
      <c r="G177" s="135"/>
      <c r="H177" s="133"/>
      <c r="I177" s="133"/>
      <c r="J177" s="133"/>
      <c r="K177" s="134"/>
    </row>
    <row r="178" customFormat="false" ht="15" hidden="false" customHeight="false" outlineLevel="0" collapsed="false">
      <c r="A178" s="133"/>
      <c r="B178" s="133"/>
      <c r="C178" s="133"/>
      <c r="D178" s="133"/>
      <c r="E178" s="134"/>
      <c r="F178" s="135"/>
      <c r="G178" s="135"/>
      <c r="H178" s="133"/>
      <c r="I178" s="133"/>
      <c r="J178" s="133"/>
      <c r="K178" s="134"/>
    </row>
    <row r="179" customFormat="false" ht="15" hidden="false" customHeight="false" outlineLevel="0" collapsed="false">
      <c r="A179" s="133"/>
      <c r="B179" s="133"/>
      <c r="C179" s="133"/>
      <c r="D179" s="133"/>
      <c r="E179" s="134"/>
      <c r="F179" s="135"/>
      <c r="G179" s="135"/>
      <c r="H179" s="133"/>
      <c r="I179" s="133"/>
      <c r="J179" s="133"/>
      <c r="K179" s="134"/>
    </row>
    <row r="180" customFormat="false" ht="15" hidden="false" customHeight="false" outlineLevel="0" collapsed="false">
      <c r="A180" s="133"/>
      <c r="B180" s="133"/>
      <c r="C180" s="133"/>
      <c r="D180" s="133"/>
      <c r="E180" s="134"/>
      <c r="F180" s="135"/>
      <c r="G180" s="135"/>
      <c r="H180" s="133"/>
      <c r="I180" s="133"/>
      <c r="J180" s="133"/>
      <c r="K180" s="134"/>
    </row>
    <row r="181" customFormat="false" ht="15" hidden="false" customHeight="false" outlineLevel="0" collapsed="false">
      <c r="A181" s="133"/>
      <c r="B181" s="133"/>
      <c r="C181" s="133"/>
      <c r="D181" s="133"/>
      <c r="E181" s="134"/>
      <c r="F181" s="135"/>
      <c r="G181" s="135"/>
      <c r="H181" s="133"/>
      <c r="I181" s="133"/>
      <c r="J181" s="133"/>
      <c r="K181" s="134"/>
    </row>
    <row r="182" customFormat="false" ht="15" hidden="false" customHeight="false" outlineLevel="0" collapsed="false">
      <c r="A182" s="133"/>
      <c r="B182" s="133"/>
      <c r="C182" s="133"/>
      <c r="D182" s="133"/>
      <c r="E182" s="134"/>
      <c r="F182" s="135"/>
      <c r="G182" s="135"/>
      <c r="H182" s="133"/>
      <c r="I182" s="133"/>
      <c r="J182" s="133"/>
      <c r="K182" s="134"/>
    </row>
    <row r="183" customFormat="false" ht="15" hidden="false" customHeight="false" outlineLevel="0" collapsed="false">
      <c r="A183" s="133"/>
      <c r="B183" s="133"/>
      <c r="C183" s="133"/>
      <c r="D183" s="133"/>
      <c r="E183" s="134"/>
      <c r="F183" s="135"/>
      <c r="G183" s="135"/>
      <c r="H183" s="133"/>
      <c r="I183" s="133"/>
      <c r="J183" s="133"/>
      <c r="K183" s="134"/>
    </row>
    <row r="184" customFormat="false" ht="15" hidden="false" customHeight="false" outlineLevel="0" collapsed="false">
      <c r="A184" s="133"/>
      <c r="B184" s="133"/>
      <c r="C184" s="133"/>
      <c r="D184" s="133"/>
      <c r="E184" s="134"/>
      <c r="F184" s="135"/>
      <c r="G184" s="135"/>
      <c r="H184" s="133"/>
      <c r="I184" s="133"/>
      <c r="J184" s="133"/>
      <c r="K184" s="134"/>
    </row>
    <row r="185" customFormat="false" ht="15" hidden="false" customHeight="false" outlineLevel="0" collapsed="false">
      <c r="A185" s="133"/>
      <c r="B185" s="133"/>
      <c r="C185" s="133"/>
      <c r="D185" s="133"/>
      <c r="E185" s="134"/>
      <c r="F185" s="135"/>
      <c r="G185" s="135"/>
      <c r="H185" s="133"/>
      <c r="I185" s="133"/>
      <c r="J185" s="133"/>
      <c r="K185" s="134"/>
    </row>
    <row r="186" customFormat="false" ht="15" hidden="false" customHeight="false" outlineLevel="0" collapsed="false">
      <c r="A186" s="133"/>
      <c r="B186" s="133"/>
      <c r="C186" s="133"/>
      <c r="D186" s="133"/>
      <c r="E186" s="134"/>
      <c r="F186" s="135"/>
      <c r="G186" s="135"/>
      <c r="H186" s="133"/>
      <c r="I186" s="133"/>
      <c r="J186" s="133"/>
      <c r="K186" s="134"/>
    </row>
    <row r="187" customFormat="false" ht="15" hidden="false" customHeight="false" outlineLevel="0" collapsed="false">
      <c r="A187" s="133"/>
      <c r="B187" s="133"/>
      <c r="C187" s="133"/>
      <c r="D187" s="133"/>
      <c r="E187" s="134"/>
      <c r="F187" s="135"/>
      <c r="G187" s="135"/>
      <c r="H187" s="133"/>
      <c r="I187" s="133"/>
      <c r="J187" s="133"/>
      <c r="K187" s="134"/>
    </row>
    <row r="188" customFormat="false" ht="15" hidden="false" customHeight="false" outlineLevel="0" collapsed="false">
      <c r="A188" s="133"/>
      <c r="B188" s="133"/>
      <c r="C188" s="133"/>
      <c r="D188" s="133"/>
      <c r="E188" s="134"/>
      <c r="F188" s="135"/>
      <c r="G188" s="135"/>
      <c r="H188" s="133"/>
      <c r="I188" s="133"/>
      <c r="J188" s="133"/>
      <c r="K188" s="134"/>
    </row>
    <row r="189" customFormat="false" ht="15" hidden="false" customHeight="false" outlineLevel="0" collapsed="false">
      <c r="A189" s="133"/>
      <c r="B189" s="133"/>
      <c r="C189" s="133"/>
      <c r="D189" s="133"/>
      <c r="E189" s="134"/>
      <c r="F189" s="135"/>
      <c r="G189" s="135"/>
      <c r="H189" s="133"/>
      <c r="I189" s="133"/>
      <c r="J189" s="133"/>
      <c r="K189" s="134"/>
    </row>
    <row r="190" customFormat="false" ht="15" hidden="false" customHeight="false" outlineLevel="0" collapsed="false">
      <c r="A190" s="133"/>
      <c r="B190" s="133"/>
      <c r="C190" s="133"/>
      <c r="D190" s="133"/>
      <c r="E190" s="134"/>
      <c r="F190" s="135"/>
      <c r="G190" s="135"/>
      <c r="H190" s="133"/>
      <c r="I190" s="133"/>
      <c r="J190" s="133"/>
      <c r="K190" s="134"/>
    </row>
    <row r="191" customFormat="false" ht="15" hidden="false" customHeight="false" outlineLevel="0" collapsed="false">
      <c r="A191" s="133"/>
      <c r="B191" s="133"/>
      <c r="C191" s="133"/>
      <c r="D191" s="133"/>
      <c r="E191" s="134"/>
      <c r="F191" s="135"/>
      <c r="G191" s="135"/>
      <c r="H191" s="133"/>
      <c r="I191" s="133"/>
      <c r="J191" s="133"/>
      <c r="K191" s="134"/>
    </row>
    <row r="192" customFormat="false" ht="15" hidden="false" customHeight="false" outlineLevel="0" collapsed="false">
      <c r="A192" s="133"/>
      <c r="B192" s="133"/>
      <c r="C192" s="133"/>
      <c r="D192" s="133"/>
      <c r="E192" s="134"/>
      <c r="F192" s="135"/>
      <c r="G192" s="135"/>
      <c r="H192" s="133"/>
      <c r="I192" s="133"/>
      <c r="J192" s="133"/>
      <c r="K192" s="134"/>
    </row>
    <row r="193" customFormat="false" ht="15" hidden="false" customHeight="false" outlineLevel="0" collapsed="false">
      <c r="A193" s="133"/>
      <c r="B193" s="133"/>
      <c r="C193" s="133"/>
      <c r="D193" s="133"/>
      <c r="E193" s="134"/>
      <c r="F193" s="135"/>
      <c r="G193" s="135"/>
      <c r="H193" s="133"/>
      <c r="I193" s="133"/>
      <c r="J193" s="133"/>
      <c r="K193" s="134"/>
    </row>
    <row r="194" customFormat="false" ht="15" hidden="false" customHeight="false" outlineLevel="0" collapsed="false">
      <c r="A194" s="133"/>
      <c r="B194" s="133"/>
      <c r="C194" s="133"/>
      <c r="D194" s="133"/>
      <c r="E194" s="134"/>
      <c r="F194" s="135"/>
      <c r="G194" s="135"/>
      <c r="H194" s="133"/>
      <c r="I194" s="133"/>
      <c r="J194" s="133"/>
      <c r="K194" s="134"/>
    </row>
    <row r="195" customFormat="false" ht="15" hidden="false" customHeight="false" outlineLevel="0" collapsed="false">
      <c r="A195" s="133"/>
      <c r="B195" s="133"/>
      <c r="C195" s="133"/>
      <c r="D195" s="133"/>
      <c r="E195" s="134"/>
      <c r="F195" s="135"/>
      <c r="G195" s="135"/>
      <c r="H195" s="133"/>
      <c r="I195" s="133"/>
      <c r="J195" s="133"/>
      <c r="K195" s="134"/>
    </row>
    <row r="196" customFormat="false" ht="15" hidden="false" customHeight="false" outlineLevel="0" collapsed="false">
      <c r="A196" s="133"/>
      <c r="B196" s="133"/>
      <c r="C196" s="133"/>
      <c r="D196" s="133"/>
      <c r="E196" s="134"/>
      <c r="F196" s="135"/>
      <c r="G196" s="135"/>
      <c r="H196" s="133"/>
      <c r="I196" s="133"/>
      <c r="J196" s="133"/>
      <c r="K196" s="134"/>
    </row>
    <row r="197" customFormat="false" ht="15" hidden="false" customHeight="false" outlineLevel="0" collapsed="false">
      <c r="A197" s="133"/>
      <c r="B197" s="133"/>
      <c r="C197" s="133"/>
      <c r="D197" s="133"/>
      <c r="E197" s="134"/>
      <c r="F197" s="135"/>
      <c r="G197" s="135"/>
      <c r="H197" s="133"/>
      <c r="I197" s="133"/>
      <c r="J197" s="133"/>
      <c r="K197" s="134"/>
    </row>
    <row r="198" customFormat="false" ht="15" hidden="false" customHeight="false" outlineLevel="0" collapsed="false">
      <c r="A198" s="133"/>
      <c r="B198" s="133"/>
      <c r="C198" s="133"/>
      <c r="D198" s="133"/>
      <c r="E198" s="134"/>
      <c r="F198" s="135"/>
      <c r="G198" s="135"/>
      <c r="H198" s="133"/>
      <c r="I198" s="133"/>
      <c r="J198" s="133"/>
      <c r="K198" s="134"/>
    </row>
    <row r="199" customFormat="false" ht="15" hidden="false" customHeight="false" outlineLevel="0" collapsed="false">
      <c r="A199" s="133"/>
      <c r="B199" s="133"/>
      <c r="C199" s="133"/>
      <c r="D199" s="133"/>
      <c r="E199" s="134"/>
      <c r="F199" s="135"/>
      <c r="G199" s="135"/>
      <c r="H199" s="133"/>
      <c r="I199" s="133"/>
      <c r="J199" s="133"/>
      <c r="K199" s="134"/>
    </row>
    <row r="200" customFormat="false" ht="15" hidden="false" customHeight="false" outlineLevel="0" collapsed="false">
      <c r="A200" s="133"/>
      <c r="B200" s="133"/>
      <c r="C200" s="133"/>
      <c r="D200" s="133"/>
      <c r="E200" s="134"/>
      <c r="F200" s="135"/>
      <c r="G200" s="135"/>
      <c r="H200" s="133"/>
      <c r="I200" s="133"/>
      <c r="J200" s="133"/>
      <c r="K200" s="134"/>
    </row>
    <row r="201" customFormat="false" ht="15" hidden="false" customHeight="false" outlineLevel="0" collapsed="false">
      <c r="A201" s="133"/>
      <c r="B201" s="133"/>
      <c r="C201" s="133"/>
      <c r="D201" s="133"/>
      <c r="E201" s="134"/>
      <c r="F201" s="135"/>
      <c r="G201" s="135"/>
      <c r="H201" s="133"/>
      <c r="I201" s="133"/>
      <c r="J201" s="133"/>
      <c r="K201" s="134"/>
    </row>
    <row r="202" customFormat="false" ht="15" hidden="false" customHeight="false" outlineLevel="0" collapsed="false">
      <c r="A202" s="133"/>
      <c r="B202" s="133"/>
      <c r="C202" s="133"/>
      <c r="D202" s="133"/>
      <c r="E202" s="134"/>
      <c r="F202" s="135"/>
      <c r="G202" s="135"/>
      <c r="H202" s="133"/>
      <c r="I202" s="133"/>
      <c r="J202" s="133"/>
      <c r="K202" s="134"/>
    </row>
    <row r="203" customFormat="false" ht="15" hidden="false" customHeight="false" outlineLevel="0" collapsed="false">
      <c r="A203" s="133"/>
      <c r="B203" s="133"/>
      <c r="C203" s="133"/>
      <c r="D203" s="133"/>
      <c r="E203" s="134"/>
      <c r="F203" s="135"/>
      <c r="G203" s="135"/>
      <c r="H203" s="133"/>
      <c r="I203" s="133"/>
      <c r="J203" s="133"/>
      <c r="K203" s="134"/>
    </row>
    <row r="204" customFormat="false" ht="15" hidden="false" customHeight="false" outlineLevel="0" collapsed="false">
      <c r="A204" s="133"/>
      <c r="B204" s="133"/>
      <c r="C204" s="133"/>
      <c r="D204" s="133"/>
      <c r="E204" s="134"/>
      <c r="F204" s="135"/>
      <c r="G204" s="135"/>
      <c r="H204" s="133"/>
      <c r="I204" s="133"/>
      <c r="J204" s="133"/>
      <c r="K204" s="134"/>
    </row>
    <row r="205" customFormat="false" ht="15" hidden="false" customHeight="false" outlineLevel="0" collapsed="false">
      <c r="A205" s="133"/>
      <c r="B205" s="133"/>
      <c r="C205" s="133"/>
      <c r="D205" s="133"/>
      <c r="E205" s="134"/>
      <c r="F205" s="135"/>
      <c r="G205" s="135"/>
      <c r="H205" s="133"/>
      <c r="I205" s="133"/>
      <c r="J205" s="133"/>
      <c r="K205" s="134"/>
    </row>
    <row r="206" customFormat="false" ht="15" hidden="false" customHeight="false" outlineLevel="0" collapsed="false">
      <c r="A206" s="133"/>
      <c r="B206" s="133"/>
      <c r="C206" s="133"/>
      <c r="D206" s="133"/>
      <c r="E206" s="134"/>
      <c r="F206" s="135"/>
      <c r="G206" s="135"/>
      <c r="H206" s="133"/>
      <c r="I206" s="133"/>
      <c r="J206" s="133"/>
      <c r="K206" s="134"/>
    </row>
    <row r="207" customFormat="false" ht="15" hidden="false" customHeight="false" outlineLevel="0" collapsed="false">
      <c r="A207" s="133"/>
      <c r="B207" s="133"/>
      <c r="C207" s="133"/>
      <c r="D207" s="133"/>
      <c r="E207" s="134"/>
      <c r="F207" s="135"/>
      <c r="G207" s="135"/>
      <c r="H207" s="133"/>
      <c r="I207" s="133"/>
      <c r="J207" s="133"/>
      <c r="K207" s="134"/>
    </row>
    <row r="208" customFormat="false" ht="15" hidden="false" customHeight="false" outlineLevel="0" collapsed="false">
      <c r="A208" s="133"/>
      <c r="B208" s="133"/>
      <c r="C208" s="133"/>
      <c r="D208" s="133"/>
      <c r="E208" s="134"/>
      <c r="F208" s="135"/>
      <c r="G208" s="135"/>
      <c r="H208" s="133"/>
      <c r="I208" s="133"/>
      <c r="J208" s="133"/>
      <c r="K208" s="134"/>
    </row>
    <row r="209" customFormat="false" ht="15" hidden="false" customHeight="false" outlineLevel="0" collapsed="false">
      <c r="A209" s="133"/>
      <c r="B209" s="133"/>
      <c r="C209" s="133"/>
      <c r="D209" s="133"/>
      <c r="E209" s="134"/>
      <c r="F209" s="135"/>
      <c r="G209" s="135"/>
      <c r="H209" s="133"/>
      <c r="I209" s="133"/>
      <c r="J209" s="133"/>
      <c r="K209" s="134"/>
    </row>
    <row r="210" customFormat="false" ht="15" hidden="false" customHeight="false" outlineLevel="0" collapsed="false">
      <c r="A210" s="133"/>
      <c r="B210" s="133"/>
      <c r="C210" s="133"/>
      <c r="D210" s="133"/>
      <c r="E210" s="134"/>
      <c r="F210" s="135"/>
      <c r="G210" s="135"/>
      <c r="H210" s="133"/>
      <c r="I210" s="133"/>
      <c r="J210" s="133"/>
      <c r="K210" s="134"/>
    </row>
    <row r="211" customFormat="false" ht="15" hidden="false" customHeight="false" outlineLevel="0" collapsed="false">
      <c r="A211" s="133"/>
      <c r="B211" s="133"/>
      <c r="C211" s="133"/>
      <c r="D211" s="133"/>
      <c r="E211" s="134"/>
      <c r="F211" s="135"/>
      <c r="G211" s="135"/>
      <c r="H211" s="133"/>
      <c r="I211" s="133"/>
      <c r="J211" s="133"/>
      <c r="K211" s="134"/>
    </row>
    <row r="212" customFormat="false" ht="15" hidden="false" customHeight="false" outlineLevel="0" collapsed="false">
      <c r="A212" s="133"/>
      <c r="B212" s="133"/>
      <c r="C212" s="133"/>
      <c r="D212" s="133"/>
      <c r="E212" s="134"/>
      <c r="F212" s="135"/>
      <c r="G212" s="135"/>
      <c r="H212" s="133"/>
      <c r="I212" s="133"/>
      <c r="J212" s="133"/>
      <c r="K212" s="134"/>
    </row>
    <row r="213" customFormat="false" ht="15" hidden="false" customHeight="false" outlineLevel="0" collapsed="false">
      <c r="A213" s="133"/>
      <c r="B213" s="133"/>
      <c r="C213" s="133"/>
      <c r="D213" s="133"/>
      <c r="E213" s="134"/>
      <c r="F213" s="135"/>
      <c r="G213" s="135"/>
      <c r="H213" s="133"/>
      <c r="I213" s="133"/>
      <c r="J213" s="133"/>
      <c r="K213" s="134"/>
    </row>
    <row r="214" customFormat="false" ht="15" hidden="false" customHeight="false" outlineLevel="0" collapsed="false">
      <c r="A214" s="133"/>
      <c r="B214" s="133"/>
      <c r="C214" s="133"/>
      <c r="D214" s="133"/>
      <c r="E214" s="134"/>
      <c r="F214" s="135"/>
      <c r="G214" s="135"/>
      <c r="H214" s="133"/>
      <c r="I214" s="133"/>
      <c r="J214" s="133"/>
      <c r="K214" s="134"/>
    </row>
    <row r="215" customFormat="false" ht="15" hidden="false" customHeight="false" outlineLevel="0" collapsed="false">
      <c r="A215" s="133"/>
      <c r="B215" s="133"/>
      <c r="C215" s="133"/>
      <c r="D215" s="133"/>
      <c r="E215" s="134"/>
      <c r="F215" s="135"/>
      <c r="G215" s="135"/>
      <c r="H215" s="133"/>
      <c r="I215" s="133"/>
      <c r="J215" s="133"/>
      <c r="K215" s="134"/>
    </row>
    <row r="216" customFormat="false" ht="15" hidden="false" customHeight="false" outlineLevel="0" collapsed="false">
      <c r="A216" s="133"/>
      <c r="B216" s="133"/>
      <c r="C216" s="133"/>
      <c r="D216" s="133"/>
      <c r="E216" s="134"/>
      <c r="F216" s="135"/>
      <c r="G216" s="135"/>
      <c r="H216" s="133"/>
      <c r="I216" s="133"/>
      <c r="J216" s="133"/>
      <c r="K216" s="134"/>
    </row>
    <row r="217" customFormat="false" ht="15" hidden="false" customHeight="false" outlineLevel="0" collapsed="false">
      <c r="A217" s="133"/>
      <c r="B217" s="133"/>
      <c r="C217" s="133"/>
      <c r="D217" s="133"/>
      <c r="E217" s="134"/>
      <c r="F217" s="135"/>
      <c r="G217" s="135"/>
      <c r="H217" s="133"/>
      <c r="I217" s="133"/>
      <c r="J217" s="133"/>
      <c r="K217" s="134"/>
    </row>
    <row r="218" customFormat="false" ht="15" hidden="false" customHeight="false" outlineLevel="0" collapsed="false">
      <c r="A218" s="133"/>
      <c r="B218" s="133"/>
      <c r="C218" s="133"/>
      <c r="D218" s="133"/>
      <c r="E218" s="134"/>
      <c r="F218" s="135"/>
      <c r="G218" s="135"/>
      <c r="H218" s="133"/>
      <c r="I218" s="133"/>
      <c r="J218" s="133"/>
      <c r="K218" s="134"/>
    </row>
    <row r="219" customFormat="false" ht="15" hidden="false" customHeight="false" outlineLevel="0" collapsed="false">
      <c r="A219" s="133"/>
      <c r="B219" s="133"/>
      <c r="C219" s="133"/>
      <c r="D219" s="133"/>
      <c r="E219" s="134"/>
      <c r="F219" s="135"/>
      <c r="G219" s="135"/>
      <c r="H219" s="133"/>
      <c r="I219" s="133"/>
      <c r="J219" s="133"/>
      <c r="K219" s="134"/>
    </row>
    <row r="220" customFormat="false" ht="15" hidden="false" customHeight="false" outlineLevel="0" collapsed="false">
      <c r="A220" s="133"/>
      <c r="B220" s="133"/>
      <c r="C220" s="133"/>
      <c r="D220" s="133"/>
      <c r="E220" s="134"/>
      <c r="F220" s="135"/>
      <c r="G220" s="135"/>
      <c r="H220" s="133"/>
      <c r="I220" s="133"/>
      <c r="J220" s="133"/>
      <c r="K220" s="134"/>
    </row>
    <row r="221" customFormat="false" ht="15" hidden="false" customHeight="false" outlineLevel="0" collapsed="false">
      <c r="A221" s="133"/>
      <c r="B221" s="133"/>
      <c r="C221" s="133"/>
      <c r="D221" s="133"/>
      <c r="E221" s="134"/>
      <c r="F221" s="135"/>
      <c r="G221" s="135"/>
      <c r="H221" s="133"/>
      <c r="I221" s="133"/>
      <c r="J221" s="133"/>
      <c r="K221" s="134"/>
    </row>
    <row r="222" customFormat="false" ht="15" hidden="false" customHeight="false" outlineLevel="0" collapsed="false">
      <c r="A222" s="133"/>
      <c r="B222" s="133"/>
      <c r="C222" s="133"/>
      <c r="D222" s="133"/>
      <c r="E222" s="134"/>
      <c r="F222" s="135"/>
      <c r="G222" s="135"/>
      <c r="H222" s="133"/>
      <c r="I222" s="133"/>
      <c r="J222" s="133"/>
      <c r="K222" s="134"/>
    </row>
    <row r="223" customFormat="false" ht="15" hidden="false" customHeight="false" outlineLevel="0" collapsed="false">
      <c r="A223" s="133"/>
      <c r="B223" s="133"/>
      <c r="C223" s="133"/>
      <c r="D223" s="133"/>
      <c r="E223" s="134"/>
      <c r="F223" s="135"/>
      <c r="G223" s="135"/>
      <c r="H223" s="133"/>
      <c r="I223" s="133"/>
      <c r="J223" s="133"/>
      <c r="K223" s="134"/>
    </row>
    <row r="224" customFormat="false" ht="15" hidden="false" customHeight="false" outlineLevel="0" collapsed="false">
      <c r="A224" s="133"/>
      <c r="B224" s="133"/>
      <c r="C224" s="133"/>
      <c r="D224" s="133"/>
      <c r="E224" s="134"/>
      <c r="F224" s="135"/>
      <c r="G224" s="135"/>
      <c r="H224" s="133"/>
      <c r="I224" s="133"/>
      <c r="J224" s="133"/>
      <c r="K224" s="134"/>
    </row>
    <row r="225" customFormat="false" ht="15" hidden="false" customHeight="false" outlineLevel="0" collapsed="false">
      <c r="A225" s="133"/>
      <c r="B225" s="133"/>
      <c r="C225" s="133"/>
      <c r="D225" s="133"/>
      <c r="E225" s="134"/>
      <c r="F225" s="135"/>
      <c r="G225" s="135"/>
      <c r="H225" s="133"/>
      <c r="I225" s="133"/>
      <c r="J225" s="133"/>
      <c r="K225" s="134"/>
    </row>
    <row r="226" customFormat="false" ht="15" hidden="false" customHeight="false" outlineLevel="0" collapsed="false">
      <c r="A226" s="133"/>
      <c r="B226" s="133"/>
      <c r="C226" s="133"/>
      <c r="D226" s="133"/>
      <c r="E226" s="134"/>
      <c r="F226" s="135"/>
      <c r="G226" s="135"/>
      <c r="H226" s="133"/>
      <c r="I226" s="133"/>
      <c r="J226" s="133"/>
      <c r="K226" s="134"/>
    </row>
    <row r="227" customFormat="false" ht="15" hidden="false" customHeight="false" outlineLevel="0" collapsed="false">
      <c r="A227" s="133"/>
      <c r="B227" s="133"/>
      <c r="C227" s="133"/>
      <c r="D227" s="133"/>
      <c r="E227" s="134"/>
      <c r="F227" s="135"/>
      <c r="G227" s="135"/>
      <c r="H227" s="133"/>
      <c r="I227" s="133"/>
      <c r="J227" s="133"/>
      <c r="K227" s="134"/>
    </row>
    <row r="228" customFormat="false" ht="15" hidden="false" customHeight="false" outlineLevel="0" collapsed="false">
      <c r="A228" s="133"/>
      <c r="B228" s="133"/>
      <c r="C228" s="133"/>
      <c r="D228" s="133"/>
      <c r="E228" s="134"/>
      <c r="F228" s="135"/>
      <c r="G228" s="135"/>
      <c r="H228" s="133"/>
      <c r="I228" s="133"/>
      <c r="J228" s="133"/>
      <c r="K228" s="134"/>
    </row>
    <row r="229" customFormat="false" ht="15" hidden="false" customHeight="false" outlineLevel="0" collapsed="false">
      <c r="A229" s="133"/>
      <c r="B229" s="133"/>
      <c r="C229" s="133"/>
      <c r="D229" s="133"/>
      <c r="E229" s="134"/>
      <c r="F229" s="135"/>
      <c r="G229" s="135"/>
      <c r="H229" s="133"/>
      <c r="I229" s="133"/>
      <c r="J229" s="133"/>
      <c r="K229" s="134"/>
    </row>
    <row r="230" customFormat="false" ht="15" hidden="false" customHeight="false" outlineLevel="0" collapsed="false">
      <c r="A230" s="133"/>
      <c r="B230" s="133"/>
      <c r="C230" s="133"/>
      <c r="D230" s="133"/>
      <c r="E230" s="134"/>
      <c r="F230" s="135"/>
      <c r="G230" s="135"/>
      <c r="H230" s="133"/>
      <c r="I230" s="133"/>
      <c r="J230" s="133"/>
      <c r="K230" s="134"/>
    </row>
    <row r="231" customFormat="false" ht="15" hidden="false" customHeight="false" outlineLevel="0" collapsed="false">
      <c r="A231" s="133"/>
      <c r="B231" s="133"/>
      <c r="C231" s="133"/>
      <c r="D231" s="133"/>
      <c r="E231" s="134"/>
      <c r="F231" s="135"/>
      <c r="G231" s="135"/>
      <c r="H231" s="133"/>
      <c r="I231" s="133"/>
      <c r="J231" s="133"/>
      <c r="K231" s="134"/>
    </row>
    <row r="232" customFormat="false" ht="15" hidden="false" customHeight="false" outlineLevel="0" collapsed="false">
      <c r="A232" s="133"/>
      <c r="B232" s="133"/>
      <c r="C232" s="133"/>
      <c r="D232" s="133"/>
      <c r="E232" s="134"/>
      <c r="F232" s="135"/>
      <c r="G232" s="135"/>
      <c r="H232" s="133"/>
      <c r="I232" s="133"/>
      <c r="J232" s="133"/>
      <c r="K232" s="134"/>
    </row>
    <row r="233" customFormat="false" ht="15" hidden="false" customHeight="false" outlineLevel="0" collapsed="false">
      <c r="A233" s="133"/>
      <c r="B233" s="133"/>
      <c r="C233" s="133"/>
      <c r="D233" s="133"/>
      <c r="E233" s="134"/>
      <c r="F233" s="135"/>
      <c r="G233" s="135"/>
      <c r="H233" s="133"/>
      <c r="I233" s="133"/>
      <c r="J233" s="133"/>
      <c r="K233" s="134"/>
    </row>
    <row r="234" customFormat="false" ht="15" hidden="false" customHeight="false" outlineLevel="0" collapsed="false">
      <c r="A234" s="133"/>
      <c r="B234" s="133"/>
      <c r="C234" s="133"/>
      <c r="D234" s="133"/>
      <c r="E234" s="134"/>
      <c r="F234" s="135"/>
      <c r="G234" s="135"/>
      <c r="H234" s="133"/>
      <c r="I234" s="133"/>
      <c r="J234" s="133"/>
      <c r="K234" s="134"/>
    </row>
    <row r="235" customFormat="false" ht="15" hidden="false" customHeight="false" outlineLevel="0" collapsed="false">
      <c r="A235" s="133"/>
      <c r="B235" s="133"/>
      <c r="C235" s="133"/>
      <c r="D235" s="133"/>
      <c r="E235" s="134"/>
      <c r="F235" s="135"/>
      <c r="G235" s="135"/>
      <c r="H235" s="133"/>
      <c r="I235" s="133"/>
      <c r="J235" s="133"/>
      <c r="K235" s="134"/>
    </row>
    <row r="236" customFormat="false" ht="15" hidden="false" customHeight="false" outlineLevel="0" collapsed="false">
      <c r="A236" s="133"/>
      <c r="B236" s="133"/>
      <c r="C236" s="133"/>
      <c r="D236" s="133"/>
      <c r="E236" s="134"/>
      <c r="F236" s="135"/>
      <c r="G236" s="135"/>
      <c r="H236" s="133"/>
      <c r="I236" s="133"/>
      <c r="J236" s="133"/>
      <c r="K236" s="134"/>
    </row>
    <row r="237" customFormat="false" ht="15" hidden="false" customHeight="false" outlineLevel="0" collapsed="false">
      <c r="A237" s="133"/>
      <c r="B237" s="133"/>
      <c r="C237" s="133"/>
      <c r="D237" s="133"/>
      <c r="E237" s="134"/>
      <c r="F237" s="135"/>
      <c r="G237" s="135"/>
      <c r="H237" s="133"/>
      <c r="I237" s="133"/>
      <c r="J237" s="133"/>
      <c r="K237" s="134"/>
    </row>
    <row r="238" customFormat="false" ht="15" hidden="false" customHeight="false" outlineLevel="0" collapsed="false">
      <c r="A238" s="133"/>
      <c r="B238" s="133"/>
      <c r="C238" s="133"/>
      <c r="D238" s="133"/>
      <c r="E238" s="134"/>
      <c r="F238" s="135"/>
      <c r="G238" s="135"/>
      <c r="H238" s="133"/>
      <c r="I238" s="133"/>
      <c r="J238" s="133"/>
      <c r="K238" s="134"/>
    </row>
    <row r="239" customFormat="false" ht="15" hidden="false" customHeight="false" outlineLevel="0" collapsed="false">
      <c r="A239" s="133"/>
      <c r="B239" s="133"/>
      <c r="C239" s="133"/>
      <c r="D239" s="133"/>
      <c r="E239" s="134"/>
      <c r="F239" s="135"/>
      <c r="G239" s="135"/>
      <c r="H239" s="133"/>
      <c r="I239" s="133"/>
      <c r="J239" s="133"/>
      <c r="K239" s="134"/>
    </row>
    <row r="240" customFormat="false" ht="15" hidden="false" customHeight="false" outlineLevel="0" collapsed="false">
      <c r="A240" s="133"/>
      <c r="B240" s="133"/>
      <c r="C240" s="133"/>
      <c r="D240" s="133"/>
      <c r="E240" s="134"/>
      <c r="F240" s="135"/>
      <c r="G240" s="135"/>
      <c r="H240" s="133"/>
      <c r="I240" s="133"/>
      <c r="J240" s="133"/>
      <c r="K240" s="134"/>
    </row>
    <row r="241" customFormat="false" ht="15" hidden="false" customHeight="false" outlineLevel="0" collapsed="false">
      <c r="A241" s="133"/>
      <c r="B241" s="133"/>
      <c r="C241" s="133"/>
      <c r="D241" s="133"/>
      <c r="E241" s="134"/>
      <c r="F241" s="135"/>
      <c r="G241" s="135"/>
      <c r="H241" s="133"/>
      <c r="I241" s="133"/>
      <c r="J241" s="133"/>
      <c r="K241" s="134"/>
    </row>
    <row r="242" customFormat="false" ht="15" hidden="false" customHeight="false" outlineLevel="0" collapsed="false">
      <c r="A242" s="133"/>
      <c r="B242" s="133"/>
      <c r="C242" s="133"/>
      <c r="D242" s="133"/>
      <c r="E242" s="134"/>
      <c r="F242" s="135"/>
      <c r="G242" s="135"/>
      <c r="H242" s="133"/>
      <c r="I242" s="133"/>
      <c r="J242" s="133"/>
      <c r="K242" s="134"/>
    </row>
    <row r="243" customFormat="false" ht="15" hidden="false" customHeight="false" outlineLevel="0" collapsed="false">
      <c r="A243" s="133"/>
      <c r="B243" s="133"/>
      <c r="C243" s="133"/>
      <c r="D243" s="133"/>
      <c r="E243" s="134"/>
      <c r="F243" s="135"/>
      <c r="G243" s="135"/>
      <c r="H243" s="133"/>
      <c r="I243" s="133"/>
      <c r="J243" s="133"/>
      <c r="K243" s="134"/>
    </row>
    <row r="244" customFormat="false" ht="15" hidden="false" customHeight="false" outlineLevel="0" collapsed="false">
      <c r="A244" s="133"/>
      <c r="B244" s="133"/>
      <c r="C244" s="133"/>
      <c r="D244" s="133"/>
      <c r="E244" s="134"/>
      <c r="F244" s="135"/>
      <c r="G244" s="135"/>
      <c r="H244" s="133"/>
      <c r="I244" s="133"/>
      <c r="J244" s="133"/>
      <c r="K244" s="134"/>
    </row>
    <row r="245" customFormat="false" ht="15" hidden="false" customHeight="false" outlineLevel="0" collapsed="false">
      <c r="A245" s="133"/>
      <c r="B245" s="133"/>
      <c r="C245" s="133"/>
      <c r="D245" s="133"/>
      <c r="E245" s="134"/>
      <c r="F245" s="135"/>
      <c r="G245" s="135"/>
      <c r="H245" s="133"/>
      <c r="I245" s="133"/>
      <c r="J245" s="133"/>
      <c r="K245" s="134"/>
    </row>
    <row r="246" customFormat="false" ht="15" hidden="false" customHeight="false" outlineLevel="0" collapsed="false">
      <c r="A246" s="133"/>
      <c r="B246" s="133"/>
      <c r="C246" s="133"/>
      <c r="D246" s="133"/>
      <c r="E246" s="134"/>
      <c r="F246" s="135"/>
      <c r="G246" s="135"/>
      <c r="H246" s="133"/>
      <c r="I246" s="133"/>
      <c r="J246" s="133"/>
      <c r="K246" s="134"/>
    </row>
    <row r="247" customFormat="false" ht="15" hidden="false" customHeight="false" outlineLevel="0" collapsed="false">
      <c r="A247" s="133"/>
      <c r="B247" s="133"/>
      <c r="C247" s="133"/>
      <c r="D247" s="133"/>
      <c r="E247" s="134"/>
      <c r="F247" s="135"/>
      <c r="G247" s="135"/>
      <c r="H247" s="133"/>
      <c r="I247" s="133"/>
      <c r="J247" s="133"/>
      <c r="K247" s="134"/>
    </row>
    <row r="248" customFormat="false" ht="15" hidden="false" customHeight="false" outlineLevel="0" collapsed="false">
      <c r="A248" s="133"/>
      <c r="B248" s="133"/>
      <c r="C248" s="133"/>
      <c r="D248" s="133"/>
      <c r="E248" s="134"/>
      <c r="F248" s="135"/>
      <c r="G248" s="135"/>
      <c r="H248" s="133"/>
      <c r="I248" s="133"/>
      <c r="J248" s="133"/>
      <c r="K248" s="134"/>
    </row>
    <row r="249" customFormat="false" ht="15" hidden="false" customHeight="false" outlineLevel="0" collapsed="false">
      <c r="A249" s="133"/>
      <c r="B249" s="133"/>
      <c r="C249" s="133"/>
      <c r="D249" s="133"/>
      <c r="E249" s="134"/>
      <c r="F249" s="135"/>
      <c r="G249" s="135"/>
      <c r="H249" s="133"/>
      <c r="I249" s="133"/>
      <c r="J249" s="133"/>
      <c r="K249" s="134"/>
    </row>
    <row r="250" customFormat="false" ht="15" hidden="false" customHeight="false" outlineLevel="0" collapsed="false">
      <c r="A250" s="133"/>
      <c r="B250" s="133"/>
      <c r="C250" s="133"/>
      <c r="D250" s="133"/>
      <c r="E250" s="134"/>
      <c r="F250" s="135"/>
      <c r="G250" s="135"/>
      <c r="H250" s="133"/>
      <c r="I250" s="133"/>
      <c r="J250" s="133"/>
      <c r="K250" s="134"/>
    </row>
    <row r="251" customFormat="false" ht="15" hidden="false" customHeight="false" outlineLevel="0" collapsed="false">
      <c r="A251" s="133"/>
      <c r="B251" s="133"/>
      <c r="C251" s="133"/>
      <c r="D251" s="133"/>
      <c r="E251" s="134"/>
      <c r="F251" s="135"/>
      <c r="G251" s="135"/>
      <c r="H251" s="133"/>
      <c r="I251" s="133"/>
      <c r="J251" s="133"/>
      <c r="K251" s="134"/>
    </row>
    <row r="252" customFormat="false" ht="15" hidden="false" customHeight="false" outlineLevel="0" collapsed="false">
      <c r="A252" s="133"/>
      <c r="B252" s="133"/>
      <c r="C252" s="133"/>
      <c r="D252" s="133"/>
      <c r="E252" s="134"/>
      <c r="F252" s="135"/>
      <c r="G252" s="135"/>
      <c r="H252" s="133"/>
      <c r="I252" s="133"/>
      <c r="J252" s="133"/>
      <c r="K252" s="134"/>
    </row>
    <row r="253" customFormat="false" ht="15" hidden="false" customHeight="false" outlineLevel="0" collapsed="false">
      <c r="A253" s="133"/>
      <c r="B253" s="133"/>
      <c r="C253" s="133"/>
      <c r="D253" s="133"/>
      <c r="E253" s="134"/>
      <c r="F253" s="135"/>
      <c r="G253" s="135"/>
      <c r="H253" s="133"/>
      <c r="I253" s="133"/>
      <c r="J253" s="133"/>
      <c r="K253" s="134"/>
    </row>
    <row r="254" customFormat="false" ht="15" hidden="false" customHeight="false" outlineLevel="0" collapsed="false">
      <c r="A254" s="133"/>
      <c r="B254" s="133"/>
      <c r="C254" s="133"/>
      <c r="D254" s="133"/>
      <c r="E254" s="134"/>
      <c r="F254" s="135"/>
      <c r="G254" s="135"/>
      <c r="H254" s="133"/>
      <c r="I254" s="133"/>
      <c r="J254" s="133"/>
      <c r="K254" s="134"/>
    </row>
    <row r="255" customFormat="false" ht="15" hidden="false" customHeight="false" outlineLevel="0" collapsed="false">
      <c r="A255" s="133"/>
      <c r="B255" s="133"/>
      <c r="C255" s="133"/>
      <c r="D255" s="133"/>
      <c r="E255" s="134"/>
      <c r="F255" s="135"/>
      <c r="G255" s="135"/>
      <c r="H255" s="133"/>
      <c r="I255" s="133"/>
      <c r="J255" s="133"/>
      <c r="K255" s="134"/>
    </row>
    <row r="256" customFormat="false" ht="15" hidden="false" customHeight="false" outlineLevel="0" collapsed="false">
      <c r="A256" s="133"/>
      <c r="B256" s="133"/>
      <c r="C256" s="133"/>
      <c r="D256" s="133"/>
      <c r="E256" s="134"/>
      <c r="F256" s="135"/>
      <c r="G256" s="135"/>
      <c r="H256" s="133"/>
      <c r="I256" s="133"/>
      <c r="J256" s="133"/>
      <c r="K256" s="134"/>
    </row>
    <row r="257" customFormat="false" ht="15" hidden="false" customHeight="false" outlineLevel="0" collapsed="false">
      <c r="A257" s="133"/>
      <c r="B257" s="133"/>
      <c r="C257" s="133"/>
      <c r="D257" s="133"/>
      <c r="E257" s="134"/>
      <c r="F257" s="135"/>
      <c r="G257" s="135"/>
      <c r="H257" s="133"/>
      <c r="I257" s="133"/>
      <c r="J257" s="133"/>
      <c r="K257" s="134"/>
    </row>
    <row r="258" customFormat="false" ht="15" hidden="false" customHeight="false" outlineLevel="0" collapsed="false">
      <c r="A258" s="133"/>
      <c r="B258" s="133"/>
      <c r="C258" s="133"/>
      <c r="D258" s="133"/>
      <c r="E258" s="134"/>
      <c r="F258" s="135"/>
      <c r="G258" s="135"/>
      <c r="H258" s="133"/>
      <c r="I258" s="133"/>
      <c r="J258" s="133"/>
      <c r="K258" s="134"/>
    </row>
    <row r="259" customFormat="false" ht="15" hidden="false" customHeight="false" outlineLevel="0" collapsed="false">
      <c r="A259" s="133"/>
      <c r="B259" s="133"/>
      <c r="C259" s="133"/>
      <c r="D259" s="133"/>
      <c r="E259" s="134"/>
      <c r="F259" s="135"/>
      <c r="G259" s="135"/>
      <c r="H259" s="133"/>
      <c r="I259" s="133"/>
      <c r="J259" s="133"/>
      <c r="K259" s="134"/>
    </row>
    <row r="260" customFormat="false" ht="15" hidden="false" customHeight="false" outlineLevel="0" collapsed="false">
      <c r="A260" s="133"/>
      <c r="B260" s="133"/>
      <c r="C260" s="133"/>
      <c r="D260" s="133"/>
      <c r="E260" s="134"/>
      <c r="F260" s="135"/>
      <c r="G260" s="135"/>
      <c r="H260" s="133"/>
      <c r="I260" s="133"/>
      <c r="J260" s="133"/>
      <c r="K260" s="134"/>
    </row>
    <row r="261" customFormat="false" ht="15" hidden="false" customHeight="false" outlineLevel="0" collapsed="false">
      <c r="A261" s="133"/>
      <c r="B261" s="133"/>
      <c r="C261" s="133"/>
      <c r="D261" s="133"/>
      <c r="E261" s="134"/>
      <c r="F261" s="135"/>
      <c r="G261" s="135"/>
      <c r="H261" s="133"/>
      <c r="I261" s="133"/>
      <c r="J261" s="133"/>
      <c r="K261" s="134"/>
    </row>
    <row r="262" customFormat="false" ht="15" hidden="false" customHeight="false" outlineLevel="0" collapsed="false">
      <c r="A262" s="133"/>
      <c r="B262" s="133"/>
      <c r="C262" s="133"/>
      <c r="D262" s="133"/>
      <c r="E262" s="134"/>
      <c r="F262" s="135"/>
      <c r="G262" s="135"/>
      <c r="H262" s="133"/>
      <c r="I262" s="133"/>
      <c r="J262" s="133"/>
      <c r="K262" s="134"/>
    </row>
    <row r="263" customFormat="false" ht="15" hidden="false" customHeight="false" outlineLevel="0" collapsed="false">
      <c r="A263" s="133"/>
      <c r="B263" s="133"/>
      <c r="C263" s="133"/>
      <c r="D263" s="133"/>
      <c r="E263" s="134"/>
      <c r="F263" s="135"/>
      <c r="G263" s="135"/>
      <c r="H263" s="133"/>
      <c r="I263" s="133"/>
      <c r="J263" s="133"/>
      <c r="K263" s="134"/>
    </row>
    <row r="264" customFormat="false" ht="15" hidden="false" customHeight="false" outlineLevel="0" collapsed="false">
      <c r="A264" s="133"/>
      <c r="B264" s="133"/>
      <c r="C264" s="133"/>
      <c r="D264" s="133"/>
      <c r="E264" s="134"/>
      <c r="F264" s="135"/>
      <c r="G264" s="135"/>
      <c r="H264" s="133"/>
      <c r="I264" s="133"/>
      <c r="J264" s="133"/>
      <c r="K264" s="134"/>
    </row>
    <row r="265" customFormat="false" ht="15" hidden="false" customHeight="false" outlineLevel="0" collapsed="false">
      <c r="A265" s="133"/>
      <c r="B265" s="133"/>
      <c r="C265" s="133"/>
      <c r="D265" s="133"/>
      <c r="E265" s="134"/>
      <c r="F265" s="135"/>
      <c r="G265" s="135"/>
      <c r="H265" s="133"/>
      <c r="I265" s="133"/>
      <c r="J265" s="133"/>
      <c r="K265" s="134"/>
    </row>
    <row r="266" customFormat="false" ht="15" hidden="false" customHeight="false" outlineLevel="0" collapsed="false">
      <c r="A266" s="133"/>
      <c r="B266" s="133"/>
      <c r="C266" s="133"/>
      <c r="D266" s="133"/>
      <c r="E266" s="134"/>
      <c r="F266" s="135"/>
      <c r="G266" s="135"/>
      <c r="H266" s="133"/>
      <c r="I266" s="133"/>
      <c r="J266" s="133"/>
      <c r="K266" s="134"/>
    </row>
    <row r="267" customFormat="false" ht="15" hidden="false" customHeight="false" outlineLevel="0" collapsed="false">
      <c r="A267" s="133"/>
      <c r="B267" s="133"/>
      <c r="C267" s="133"/>
      <c r="D267" s="133"/>
      <c r="E267" s="134"/>
      <c r="F267" s="135"/>
      <c r="G267" s="135"/>
      <c r="H267" s="133"/>
      <c r="I267" s="133"/>
      <c r="J267" s="133"/>
      <c r="K267" s="134"/>
    </row>
    <row r="268" customFormat="false" ht="15" hidden="false" customHeight="false" outlineLevel="0" collapsed="false">
      <c r="A268" s="133"/>
      <c r="B268" s="133"/>
      <c r="C268" s="133"/>
      <c r="D268" s="133"/>
      <c r="E268" s="134"/>
      <c r="F268" s="135"/>
      <c r="G268" s="135"/>
      <c r="H268" s="133"/>
      <c r="I268" s="133"/>
      <c r="J268" s="133"/>
      <c r="K268" s="134"/>
    </row>
    <row r="269" customFormat="false" ht="15" hidden="false" customHeight="false" outlineLevel="0" collapsed="false">
      <c r="A269" s="133"/>
      <c r="B269" s="133"/>
      <c r="C269" s="133"/>
      <c r="D269" s="133"/>
      <c r="E269" s="134"/>
      <c r="F269" s="135"/>
      <c r="G269" s="135"/>
      <c r="H269" s="133"/>
      <c r="I269" s="133"/>
      <c r="J269" s="133"/>
      <c r="K269" s="134"/>
    </row>
    <row r="270" customFormat="false" ht="15" hidden="false" customHeight="false" outlineLevel="0" collapsed="false">
      <c r="A270" s="133"/>
      <c r="B270" s="133"/>
      <c r="C270" s="133"/>
      <c r="D270" s="133"/>
      <c r="E270" s="134"/>
      <c r="F270" s="135"/>
      <c r="G270" s="135"/>
      <c r="H270" s="133"/>
      <c r="I270" s="133"/>
      <c r="J270" s="133"/>
      <c r="K270" s="134"/>
    </row>
    <row r="271" customFormat="false" ht="15" hidden="false" customHeight="false" outlineLevel="0" collapsed="false">
      <c r="A271" s="133"/>
      <c r="B271" s="133"/>
      <c r="C271" s="133"/>
      <c r="D271" s="133"/>
      <c r="E271" s="134"/>
      <c r="F271" s="135"/>
      <c r="G271" s="135"/>
      <c r="H271" s="133"/>
      <c r="I271" s="133"/>
      <c r="J271" s="133"/>
      <c r="K271" s="134"/>
    </row>
    <row r="272" customFormat="false" ht="15" hidden="false" customHeight="false" outlineLevel="0" collapsed="false">
      <c r="A272" s="133"/>
      <c r="B272" s="133"/>
      <c r="C272" s="133"/>
      <c r="D272" s="133"/>
      <c r="E272" s="134"/>
      <c r="F272" s="135"/>
      <c r="G272" s="135"/>
      <c r="H272" s="133"/>
      <c r="I272" s="133"/>
      <c r="J272" s="133"/>
      <c r="K272" s="134"/>
    </row>
    <row r="273" customFormat="false" ht="15" hidden="false" customHeight="false" outlineLevel="0" collapsed="false">
      <c r="A273" s="133"/>
      <c r="B273" s="133"/>
      <c r="C273" s="133"/>
      <c r="D273" s="133"/>
      <c r="E273" s="134"/>
      <c r="F273" s="135"/>
      <c r="G273" s="135"/>
      <c r="H273" s="133"/>
      <c r="I273" s="133"/>
      <c r="J273" s="133"/>
      <c r="K273" s="134"/>
    </row>
    <row r="274" customFormat="false" ht="15" hidden="false" customHeight="false" outlineLevel="0" collapsed="false">
      <c r="A274" s="133"/>
      <c r="B274" s="133"/>
      <c r="C274" s="133"/>
      <c r="D274" s="133"/>
      <c r="E274" s="134"/>
      <c r="F274" s="135"/>
      <c r="G274" s="135"/>
      <c r="H274" s="133"/>
      <c r="I274" s="133"/>
      <c r="J274" s="133"/>
      <c r="K274" s="134"/>
    </row>
    <row r="275" customFormat="false" ht="15" hidden="false" customHeight="false" outlineLevel="0" collapsed="false">
      <c r="A275" s="133"/>
      <c r="B275" s="133"/>
      <c r="C275" s="133"/>
      <c r="D275" s="133"/>
      <c r="E275" s="134"/>
      <c r="F275" s="135"/>
      <c r="G275" s="135"/>
      <c r="H275" s="133"/>
      <c r="I275" s="133"/>
      <c r="J275" s="133"/>
      <c r="K275" s="134"/>
    </row>
    <row r="276" customFormat="false" ht="15" hidden="false" customHeight="false" outlineLevel="0" collapsed="false">
      <c r="A276" s="133"/>
      <c r="B276" s="133"/>
      <c r="C276" s="133"/>
      <c r="D276" s="133"/>
      <c r="E276" s="134"/>
      <c r="F276" s="135"/>
      <c r="G276" s="135"/>
      <c r="H276" s="133"/>
      <c r="I276" s="133"/>
      <c r="J276" s="133"/>
      <c r="K276" s="134"/>
    </row>
    <row r="277" customFormat="false" ht="15" hidden="false" customHeight="false" outlineLevel="0" collapsed="false">
      <c r="A277" s="133"/>
      <c r="B277" s="133"/>
      <c r="C277" s="133"/>
      <c r="D277" s="133"/>
      <c r="E277" s="134"/>
      <c r="F277" s="135"/>
      <c r="G277" s="135"/>
      <c r="H277" s="133"/>
      <c r="I277" s="133"/>
      <c r="J277" s="133"/>
      <c r="K277" s="134"/>
    </row>
    <row r="278" customFormat="false" ht="15" hidden="false" customHeight="false" outlineLevel="0" collapsed="false">
      <c r="A278" s="133"/>
      <c r="B278" s="133"/>
      <c r="C278" s="133"/>
      <c r="D278" s="133"/>
      <c r="E278" s="134"/>
      <c r="F278" s="135"/>
      <c r="G278" s="135"/>
      <c r="H278" s="133"/>
      <c r="I278" s="133"/>
      <c r="J278" s="133"/>
      <c r="K278" s="134"/>
    </row>
    <row r="279" customFormat="false" ht="15" hidden="false" customHeight="false" outlineLevel="0" collapsed="false">
      <c r="A279" s="133"/>
      <c r="B279" s="133"/>
      <c r="C279" s="133"/>
      <c r="D279" s="133"/>
      <c r="E279" s="134"/>
      <c r="F279" s="135"/>
      <c r="G279" s="135"/>
      <c r="H279" s="133"/>
      <c r="I279" s="133"/>
      <c r="J279" s="133"/>
      <c r="K279" s="134"/>
    </row>
    <row r="280" customFormat="false" ht="15" hidden="false" customHeight="false" outlineLevel="0" collapsed="false">
      <c r="A280" s="133"/>
      <c r="B280" s="133"/>
      <c r="C280" s="133"/>
      <c r="D280" s="133"/>
      <c r="E280" s="134"/>
      <c r="F280" s="135"/>
      <c r="G280" s="135"/>
      <c r="H280" s="133"/>
      <c r="I280" s="133"/>
      <c r="J280" s="133"/>
      <c r="K280" s="134"/>
    </row>
    <row r="281" customFormat="false" ht="15" hidden="false" customHeight="false" outlineLevel="0" collapsed="false">
      <c r="A281" s="133"/>
      <c r="B281" s="133"/>
      <c r="C281" s="133"/>
      <c r="D281" s="133"/>
      <c r="E281" s="134"/>
      <c r="F281" s="135"/>
      <c r="G281" s="135"/>
      <c r="H281" s="133"/>
      <c r="I281" s="133"/>
      <c r="J281" s="133"/>
      <c r="K281" s="134"/>
    </row>
    <row r="282" customFormat="false" ht="15" hidden="false" customHeight="false" outlineLevel="0" collapsed="false">
      <c r="A282" s="133"/>
      <c r="B282" s="133"/>
      <c r="C282" s="133"/>
      <c r="D282" s="133"/>
      <c r="E282" s="134"/>
      <c r="F282" s="135"/>
      <c r="G282" s="135"/>
      <c r="H282" s="133"/>
      <c r="I282" s="133"/>
      <c r="J282" s="133"/>
      <c r="K282" s="134"/>
    </row>
    <row r="283" customFormat="false" ht="15" hidden="false" customHeight="false" outlineLevel="0" collapsed="false">
      <c r="A283" s="133"/>
      <c r="B283" s="133"/>
      <c r="C283" s="133"/>
      <c r="D283" s="133"/>
      <c r="E283" s="134"/>
      <c r="F283" s="135"/>
      <c r="G283" s="135"/>
      <c r="H283" s="133"/>
      <c r="I283" s="133"/>
      <c r="J283" s="133"/>
      <c r="K283" s="134"/>
    </row>
    <row r="284" customFormat="false" ht="15" hidden="false" customHeight="false" outlineLevel="0" collapsed="false">
      <c r="A284" s="133"/>
      <c r="B284" s="133"/>
      <c r="C284" s="133"/>
      <c r="D284" s="133"/>
      <c r="E284" s="134"/>
      <c r="F284" s="135"/>
      <c r="G284" s="135"/>
      <c r="H284" s="133"/>
      <c r="I284" s="133"/>
      <c r="J284" s="133"/>
      <c r="K284" s="134"/>
    </row>
    <row r="285" customFormat="false" ht="15" hidden="false" customHeight="false" outlineLevel="0" collapsed="false">
      <c r="A285" s="133"/>
      <c r="B285" s="133"/>
      <c r="C285" s="133"/>
      <c r="D285" s="133"/>
      <c r="E285" s="134"/>
      <c r="F285" s="135"/>
      <c r="G285" s="135"/>
      <c r="H285" s="133"/>
      <c r="I285" s="133"/>
      <c r="J285" s="133"/>
      <c r="K285" s="134"/>
    </row>
    <row r="286" customFormat="false" ht="15" hidden="false" customHeight="false" outlineLevel="0" collapsed="false">
      <c r="A286" s="133"/>
      <c r="B286" s="133"/>
      <c r="C286" s="133"/>
      <c r="D286" s="133"/>
      <c r="E286" s="134"/>
      <c r="F286" s="135"/>
      <c r="G286" s="135"/>
      <c r="H286" s="133"/>
      <c r="I286" s="133"/>
      <c r="J286" s="133"/>
      <c r="K286" s="134"/>
    </row>
    <row r="287" customFormat="false" ht="15" hidden="false" customHeight="false" outlineLevel="0" collapsed="false">
      <c r="A287" s="133"/>
      <c r="B287" s="133"/>
      <c r="C287" s="133"/>
      <c r="D287" s="133"/>
      <c r="E287" s="134"/>
      <c r="F287" s="135"/>
      <c r="G287" s="135"/>
      <c r="H287" s="133"/>
      <c r="I287" s="133"/>
      <c r="J287" s="133"/>
      <c r="K287" s="134"/>
    </row>
    <row r="288" customFormat="false" ht="15" hidden="false" customHeight="false" outlineLevel="0" collapsed="false">
      <c r="A288" s="133"/>
      <c r="B288" s="133"/>
      <c r="C288" s="133"/>
      <c r="D288" s="133"/>
      <c r="E288" s="134"/>
      <c r="F288" s="135"/>
      <c r="G288" s="135"/>
      <c r="H288" s="133"/>
      <c r="I288" s="133"/>
      <c r="J288" s="133"/>
      <c r="K288" s="134"/>
    </row>
    <row r="289" customFormat="false" ht="15" hidden="false" customHeight="false" outlineLevel="0" collapsed="false">
      <c r="A289" s="133"/>
      <c r="B289" s="133"/>
      <c r="C289" s="133"/>
      <c r="D289" s="133"/>
      <c r="E289" s="134"/>
      <c r="F289" s="135"/>
      <c r="G289" s="135"/>
      <c r="H289" s="133"/>
      <c r="I289" s="133"/>
      <c r="J289" s="133"/>
      <c r="K289" s="134"/>
    </row>
    <row r="290" customFormat="false" ht="15" hidden="false" customHeight="false" outlineLevel="0" collapsed="false">
      <c r="A290" s="133"/>
      <c r="B290" s="133"/>
      <c r="C290" s="133"/>
      <c r="D290" s="133"/>
      <c r="E290" s="134"/>
      <c r="F290" s="135"/>
      <c r="G290" s="135"/>
      <c r="H290" s="133"/>
      <c r="I290" s="133"/>
      <c r="J290" s="133"/>
      <c r="K290" s="134"/>
    </row>
    <row r="291" customFormat="false" ht="15" hidden="false" customHeight="false" outlineLevel="0" collapsed="false">
      <c r="A291" s="133"/>
      <c r="B291" s="133"/>
      <c r="C291" s="133"/>
      <c r="D291" s="133"/>
      <c r="E291" s="134"/>
      <c r="F291" s="135"/>
      <c r="G291" s="135"/>
      <c r="H291" s="133"/>
      <c r="I291" s="133"/>
      <c r="J291" s="133"/>
      <c r="K291" s="134"/>
    </row>
    <row r="292" customFormat="false" ht="15" hidden="false" customHeight="false" outlineLevel="0" collapsed="false">
      <c r="A292" s="133"/>
      <c r="B292" s="133"/>
      <c r="C292" s="133"/>
      <c r="D292" s="133"/>
      <c r="E292" s="134"/>
      <c r="F292" s="135"/>
      <c r="G292" s="135"/>
      <c r="H292" s="133"/>
      <c r="I292" s="133"/>
      <c r="J292" s="133"/>
      <c r="K292" s="134"/>
    </row>
    <row r="293" customFormat="false" ht="15" hidden="false" customHeight="false" outlineLevel="0" collapsed="false">
      <c r="A293" s="133"/>
      <c r="B293" s="133"/>
      <c r="C293" s="133"/>
      <c r="D293" s="133"/>
      <c r="E293" s="134"/>
      <c r="F293" s="135"/>
      <c r="G293" s="135"/>
      <c r="H293" s="133"/>
      <c r="I293" s="133"/>
      <c r="J293" s="133"/>
      <c r="K293" s="134"/>
    </row>
    <row r="294" customFormat="false" ht="15" hidden="false" customHeight="false" outlineLevel="0" collapsed="false">
      <c r="A294" s="133"/>
      <c r="B294" s="133"/>
      <c r="C294" s="133"/>
      <c r="D294" s="133"/>
      <c r="E294" s="134"/>
      <c r="F294" s="135"/>
      <c r="G294" s="135"/>
      <c r="H294" s="133"/>
      <c r="I294" s="133"/>
      <c r="J294" s="133"/>
      <c r="K294" s="134"/>
    </row>
    <row r="295" customFormat="false" ht="15" hidden="false" customHeight="false" outlineLevel="0" collapsed="false">
      <c r="A295" s="133"/>
      <c r="B295" s="133"/>
      <c r="C295" s="133"/>
      <c r="D295" s="133"/>
      <c r="E295" s="134"/>
      <c r="F295" s="135"/>
      <c r="G295" s="135"/>
      <c r="H295" s="133"/>
      <c r="I295" s="133"/>
      <c r="J295" s="133"/>
      <c r="K295" s="134"/>
    </row>
    <row r="296" customFormat="false" ht="15" hidden="false" customHeight="false" outlineLevel="0" collapsed="false">
      <c r="A296" s="133"/>
      <c r="B296" s="133"/>
      <c r="C296" s="133"/>
      <c r="D296" s="133"/>
      <c r="E296" s="134"/>
      <c r="F296" s="135"/>
      <c r="G296" s="135"/>
      <c r="H296" s="133"/>
      <c r="I296" s="133"/>
      <c r="J296" s="133"/>
      <c r="K296" s="134"/>
    </row>
    <row r="297" customFormat="false" ht="15" hidden="false" customHeight="false" outlineLevel="0" collapsed="false">
      <c r="A297" s="133"/>
      <c r="B297" s="133"/>
      <c r="C297" s="133"/>
      <c r="D297" s="133"/>
      <c r="E297" s="134"/>
      <c r="F297" s="135"/>
      <c r="G297" s="135"/>
      <c r="H297" s="133"/>
      <c r="I297" s="133"/>
      <c r="J297" s="133"/>
      <c r="K297" s="134"/>
    </row>
    <row r="298" customFormat="false" ht="15" hidden="false" customHeight="false" outlineLevel="0" collapsed="false">
      <c r="A298" s="133"/>
      <c r="B298" s="133"/>
      <c r="C298" s="133"/>
      <c r="D298" s="133"/>
      <c r="E298" s="134"/>
      <c r="F298" s="135"/>
      <c r="G298" s="135"/>
      <c r="H298" s="133"/>
      <c r="I298" s="133"/>
      <c r="J298" s="133"/>
      <c r="K298" s="134"/>
    </row>
    <row r="299" customFormat="false" ht="15" hidden="false" customHeight="false" outlineLevel="0" collapsed="false">
      <c r="A299" s="133"/>
      <c r="B299" s="133"/>
      <c r="C299" s="133"/>
      <c r="D299" s="133"/>
      <c r="E299" s="134"/>
      <c r="F299" s="135"/>
      <c r="G299" s="135"/>
      <c r="H299" s="133"/>
      <c r="I299" s="133"/>
      <c r="J299" s="133"/>
      <c r="K299" s="134"/>
    </row>
    <row r="300" customFormat="false" ht="15" hidden="false" customHeight="false" outlineLevel="0" collapsed="false">
      <c r="A300" s="133"/>
      <c r="B300" s="133"/>
      <c r="C300" s="133"/>
      <c r="D300" s="133"/>
      <c r="E300" s="134"/>
      <c r="F300" s="135"/>
      <c r="G300" s="135"/>
      <c r="H300" s="133"/>
      <c r="I300" s="133"/>
      <c r="J300" s="133"/>
      <c r="K300" s="134"/>
    </row>
    <row r="301" customFormat="false" ht="15" hidden="false" customHeight="false" outlineLevel="0" collapsed="false">
      <c r="A301" s="133"/>
      <c r="B301" s="133"/>
      <c r="C301" s="133"/>
      <c r="D301" s="133"/>
      <c r="E301" s="134"/>
      <c r="F301" s="135"/>
      <c r="G301" s="135"/>
      <c r="H301" s="133"/>
      <c r="I301" s="133"/>
      <c r="J301" s="133"/>
      <c r="K301" s="134"/>
    </row>
    <row r="302" customFormat="false" ht="15" hidden="false" customHeight="false" outlineLevel="0" collapsed="false">
      <c r="A302" s="133"/>
      <c r="B302" s="133"/>
      <c r="C302" s="133"/>
      <c r="D302" s="133"/>
      <c r="E302" s="134"/>
      <c r="F302" s="135"/>
      <c r="G302" s="135"/>
      <c r="H302" s="133"/>
      <c r="I302" s="133"/>
      <c r="J302" s="133"/>
      <c r="K302" s="134"/>
    </row>
    <row r="303" customFormat="false" ht="15" hidden="false" customHeight="false" outlineLevel="0" collapsed="false">
      <c r="A303" s="133"/>
      <c r="B303" s="133"/>
      <c r="C303" s="133"/>
      <c r="D303" s="133"/>
      <c r="E303" s="134"/>
      <c r="F303" s="135"/>
      <c r="G303" s="135"/>
      <c r="H303" s="133"/>
      <c r="I303" s="133"/>
      <c r="J303" s="133"/>
      <c r="K303" s="134"/>
    </row>
    <row r="304" customFormat="false" ht="15" hidden="false" customHeight="false" outlineLevel="0" collapsed="false">
      <c r="A304" s="133"/>
      <c r="B304" s="133"/>
      <c r="C304" s="133"/>
      <c r="D304" s="133"/>
      <c r="E304" s="134"/>
      <c r="F304" s="135"/>
      <c r="G304" s="135"/>
      <c r="H304" s="133"/>
      <c r="I304" s="133"/>
      <c r="J304" s="133"/>
      <c r="K304" s="134"/>
    </row>
    <row r="305" customFormat="false" ht="15" hidden="false" customHeight="false" outlineLevel="0" collapsed="false">
      <c r="A305" s="133"/>
      <c r="B305" s="133"/>
      <c r="C305" s="133"/>
      <c r="D305" s="133"/>
      <c r="E305" s="134"/>
      <c r="F305" s="135"/>
      <c r="G305" s="135"/>
      <c r="H305" s="133"/>
      <c r="I305" s="133"/>
      <c r="J305" s="133"/>
      <c r="K305" s="134"/>
    </row>
    <row r="306" customFormat="false" ht="15" hidden="false" customHeight="false" outlineLevel="0" collapsed="false">
      <c r="A306" s="133"/>
      <c r="B306" s="133"/>
      <c r="C306" s="133"/>
      <c r="D306" s="133"/>
      <c r="E306" s="134"/>
      <c r="F306" s="135"/>
      <c r="G306" s="135"/>
      <c r="H306" s="133"/>
      <c r="I306" s="133"/>
      <c r="J306" s="133"/>
      <c r="K306" s="134"/>
    </row>
    <row r="307" customFormat="false" ht="15" hidden="false" customHeight="false" outlineLevel="0" collapsed="false">
      <c r="A307" s="133"/>
      <c r="B307" s="133"/>
      <c r="C307" s="133"/>
      <c r="D307" s="133"/>
      <c r="E307" s="134"/>
      <c r="F307" s="135"/>
      <c r="G307" s="135"/>
      <c r="H307" s="133"/>
      <c r="I307" s="133"/>
      <c r="J307" s="133"/>
      <c r="K307" s="134"/>
    </row>
    <row r="308" customFormat="false" ht="15" hidden="false" customHeight="false" outlineLevel="0" collapsed="false">
      <c r="A308" s="133"/>
      <c r="B308" s="133"/>
      <c r="C308" s="133"/>
      <c r="D308" s="133"/>
      <c r="E308" s="134"/>
      <c r="F308" s="135"/>
      <c r="G308" s="135"/>
      <c r="H308" s="133"/>
      <c r="I308" s="133"/>
      <c r="J308" s="133"/>
      <c r="K308" s="134"/>
    </row>
    <row r="309" customFormat="false" ht="15" hidden="false" customHeight="false" outlineLevel="0" collapsed="false">
      <c r="A309" s="133"/>
      <c r="B309" s="133"/>
      <c r="C309" s="133"/>
      <c r="D309" s="133"/>
      <c r="E309" s="134"/>
      <c r="F309" s="135"/>
      <c r="G309" s="135"/>
      <c r="H309" s="133"/>
      <c r="I309" s="133"/>
      <c r="J309" s="133"/>
      <c r="K309" s="134"/>
    </row>
    <row r="310" customFormat="false" ht="15" hidden="false" customHeight="false" outlineLevel="0" collapsed="false">
      <c r="A310" s="133"/>
      <c r="B310" s="133"/>
      <c r="C310" s="133"/>
      <c r="D310" s="133"/>
      <c r="E310" s="134"/>
      <c r="F310" s="135"/>
      <c r="G310" s="135"/>
      <c r="H310" s="133"/>
      <c r="I310" s="133"/>
      <c r="J310" s="133"/>
      <c r="K310" s="134"/>
    </row>
    <row r="311" customFormat="false" ht="15" hidden="false" customHeight="false" outlineLevel="0" collapsed="false">
      <c r="A311" s="133"/>
      <c r="B311" s="133"/>
      <c r="C311" s="133"/>
      <c r="D311" s="133"/>
      <c r="E311" s="134"/>
      <c r="F311" s="135"/>
      <c r="G311" s="135"/>
      <c r="H311" s="133"/>
      <c r="I311" s="133"/>
      <c r="J311" s="133"/>
      <c r="K311" s="134"/>
    </row>
    <row r="312" customFormat="false" ht="15" hidden="false" customHeight="false" outlineLevel="0" collapsed="false">
      <c r="A312" s="133"/>
      <c r="B312" s="133"/>
      <c r="C312" s="133"/>
      <c r="D312" s="133"/>
      <c r="E312" s="134"/>
      <c r="F312" s="135"/>
      <c r="G312" s="135"/>
      <c r="H312" s="133"/>
      <c r="I312" s="133"/>
      <c r="J312" s="133"/>
      <c r="K312" s="134"/>
    </row>
    <row r="313" customFormat="false" ht="15" hidden="false" customHeight="false" outlineLevel="0" collapsed="false">
      <c r="A313" s="133"/>
      <c r="B313" s="133"/>
      <c r="C313" s="133"/>
      <c r="D313" s="133"/>
      <c r="E313" s="134"/>
      <c r="F313" s="135"/>
      <c r="G313" s="135"/>
      <c r="H313" s="133"/>
      <c r="I313" s="133"/>
      <c r="J313" s="133"/>
      <c r="K313" s="134"/>
    </row>
    <row r="314" customFormat="false" ht="15" hidden="false" customHeight="false" outlineLevel="0" collapsed="false">
      <c r="A314" s="133"/>
      <c r="B314" s="133"/>
      <c r="C314" s="133"/>
      <c r="D314" s="133"/>
      <c r="E314" s="134"/>
      <c r="F314" s="135"/>
      <c r="G314" s="135"/>
      <c r="H314" s="133"/>
      <c r="I314" s="133"/>
      <c r="J314" s="133"/>
      <c r="K314" s="134"/>
    </row>
    <row r="315" customFormat="false" ht="15" hidden="false" customHeight="false" outlineLevel="0" collapsed="false">
      <c r="A315" s="133"/>
      <c r="B315" s="133"/>
      <c r="C315" s="133"/>
      <c r="D315" s="133"/>
      <c r="E315" s="134"/>
      <c r="F315" s="135"/>
      <c r="G315" s="135"/>
      <c r="H315" s="133"/>
      <c r="I315" s="133"/>
      <c r="J315" s="133"/>
      <c r="K315" s="134"/>
    </row>
    <row r="316" customFormat="false" ht="15" hidden="false" customHeight="false" outlineLevel="0" collapsed="false">
      <c r="A316" s="133"/>
      <c r="B316" s="133"/>
      <c r="C316" s="133"/>
      <c r="D316" s="133"/>
      <c r="E316" s="134"/>
      <c r="F316" s="135"/>
      <c r="G316" s="135"/>
      <c r="H316" s="133"/>
      <c r="I316" s="133"/>
      <c r="J316" s="133"/>
      <c r="K316" s="134"/>
    </row>
    <row r="317" customFormat="false" ht="15" hidden="false" customHeight="false" outlineLevel="0" collapsed="false">
      <c r="A317" s="133"/>
      <c r="B317" s="133"/>
      <c r="C317" s="133"/>
      <c r="D317" s="133"/>
      <c r="E317" s="134"/>
      <c r="F317" s="135"/>
      <c r="G317" s="135"/>
      <c r="H317" s="133"/>
      <c r="I317" s="133"/>
      <c r="J317" s="133"/>
      <c r="K317" s="134"/>
    </row>
    <row r="318" customFormat="false" ht="15" hidden="false" customHeight="false" outlineLevel="0" collapsed="false">
      <c r="A318" s="133"/>
      <c r="B318" s="133"/>
      <c r="C318" s="133"/>
      <c r="D318" s="133"/>
      <c r="E318" s="134"/>
      <c r="F318" s="135"/>
      <c r="G318" s="135"/>
      <c r="H318" s="133"/>
      <c r="I318" s="133"/>
      <c r="J318" s="133"/>
      <c r="K318" s="134"/>
    </row>
    <row r="319" customFormat="false" ht="15" hidden="false" customHeight="false" outlineLevel="0" collapsed="false">
      <c r="A319" s="133"/>
      <c r="B319" s="133"/>
      <c r="C319" s="133"/>
      <c r="D319" s="133"/>
      <c r="E319" s="134"/>
      <c r="F319" s="135"/>
      <c r="G319" s="135"/>
      <c r="H319" s="133"/>
      <c r="I319" s="133"/>
      <c r="J319" s="133"/>
      <c r="K319" s="134"/>
    </row>
    <row r="320" customFormat="false" ht="15" hidden="false" customHeight="false" outlineLevel="0" collapsed="false">
      <c r="A320" s="133"/>
      <c r="B320" s="133"/>
      <c r="C320" s="133"/>
      <c r="D320" s="133"/>
      <c r="E320" s="134"/>
      <c r="F320" s="135"/>
      <c r="G320" s="135"/>
      <c r="H320" s="133"/>
      <c r="I320" s="133"/>
      <c r="J320" s="133"/>
      <c r="K320" s="134"/>
    </row>
    <row r="321" customFormat="false" ht="15" hidden="false" customHeight="false" outlineLevel="0" collapsed="false">
      <c r="A321" s="133"/>
      <c r="B321" s="133"/>
      <c r="C321" s="133"/>
      <c r="D321" s="133"/>
      <c r="E321" s="134"/>
      <c r="F321" s="135"/>
      <c r="G321" s="135"/>
      <c r="H321" s="133"/>
      <c r="I321" s="133"/>
      <c r="J321" s="133"/>
      <c r="K321" s="134"/>
    </row>
    <row r="322" customFormat="false" ht="15" hidden="false" customHeight="false" outlineLevel="0" collapsed="false">
      <c r="A322" s="133"/>
      <c r="B322" s="133"/>
      <c r="C322" s="133"/>
      <c r="D322" s="133"/>
      <c r="E322" s="134"/>
      <c r="F322" s="135"/>
      <c r="G322" s="135"/>
      <c r="H322" s="133"/>
      <c r="I322" s="133"/>
      <c r="J322" s="133"/>
      <c r="K322" s="134"/>
    </row>
    <row r="323" customFormat="false" ht="15" hidden="false" customHeight="false" outlineLevel="0" collapsed="false">
      <c r="A323" s="133"/>
      <c r="B323" s="133"/>
      <c r="C323" s="133"/>
      <c r="D323" s="133"/>
      <c r="E323" s="134"/>
      <c r="F323" s="135"/>
      <c r="G323" s="135"/>
      <c r="H323" s="133"/>
      <c r="I323" s="133"/>
      <c r="J323" s="133"/>
      <c r="K323" s="134"/>
    </row>
    <row r="324" customFormat="false" ht="15" hidden="false" customHeight="false" outlineLevel="0" collapsed="false">
      <c r="A324" s="133"/>
      <c r="B324" s="133"/>
      <c r="C324" s="133"/>
      <c r="D324" s="133"/>
      <c r="E324" s="134"/>
      <c r="F324" s="135"/>
      <c r="G324" s="135"/>
      <c r="H324" s="133"/>
      <c r="I324" s="133"/>
      <c r="J324" s="133"/>
      <c r="K324" s="134"/>
    </row>
    <row r="325" customFormat="false" ht="15" hidden="false" customHeight="false" outlineLevel="0" collapsed="false">
      <c r="A325" s="133"/>
      <c r="B325" s="133"/>
      <c r="C325" s="133"/>
      <c r="D325" s="133"/>
      <c r="E325" s="134"/>
      <c r="F325" s="135"/>
      <c r="G325" s="135"/>
      <c r="H325" s="133"/>
      <c r="I325" s="133"/>
      <c r="J325" s="133"/>
      <c r="K325" s="134"/>
    </row>
    <row r="326" customFormat="false" ht="15" hidden="false" customHeight="false" outlineLevel="0" collapsed="false">
      <c r="A326" s="133"/>
      <c r="B326" s="133"/>
      <c r="C326" s="133"/>
      <c r="D326" s="133"/>
      <c r="E326" s="134"/>
      <c r="F326" s="135"/>
      <c r="G326" s="135"/>
      <c r="H326" s="133"/>
      <c r="I326" s="133"/>
      <c r="J326" s="133"/>
      <c r="K326" s="134"/>
    </row>
    <row r="327" customFormat="false" ht="15" hidden="false" customHeight="false" outlineLevel="0" collapsed="false">
      <c r="A327" s="133"/>
      <c r="B327" s="133"/>
      <c r="C327" s="133"/>
      <c r="D327" s="133"/>
      <c r="E327" s="134"/>
      <c r="F327" s="135"/>
      <c r="G327" s="135"/>
      <c r="H327" s="133"/>
      <c r="I327" s="133"/>
      <c r="J327" s="133"/>
      <c r="K327" s="134"/>
    </row>
    <row r="328" customFormat="false" ht="15" hidden="false" customHeight="false" outlineLevel="0" collapsed="false">
      <c r="A328" s="133"/>
      <c r="B328" s="133"/>
      <c r="C328" s="133"/>
      <c r="D328" s="133"/>
      <c r="E328" s="134"/>
      <c r="F328" s="135"/>
      <c r="G328" s="135"/>
      <c r="H328" s="133"/>
      <c r="I328" s="133"/>
      <c r="J328" s="133"/>
      <c r="K328" s="134"/>
    </row>
    <row r="329" customFormat="false" ht="15" hidden="false" customHeight="false" outlineLevel="0" collapsed="false">
      <c r="A329" s="133"/>
      <c r="B329" s="133"/>
      <c r="C329" s="133"/>
      <c r="D329" s="133"/>
      <c r="E329" s="134"/>
      <c r="F329" s="135"/>
      <c r="G329" s="135"/>
      <c r="H329" s="133"/>
      <c r="I329" s="133"/>
      <c r="J329" s="133"/>
      <c r="K329" s="134"/>
    </row>
    <row r="330" customFormat="false" ht="15" hidden="false" customHeight="false" outlineLevel="0" collapsed="false">
      <c r="A330" s="133"/>
      <c r="B330" s="133"/>
      <c r="C330" s="133"/>
      <c r="D330" s="133"/>
      <c r="E330" s="134"/>
      <c r="F330" s="135"/>
      <c r="G330" s="135"/>
      <c r="H330" s="133"/>
      <c r="I330" s="133"/>
      <c r="J330" s="133"/>
      <c r="K330" s="134"/>
    </row>
    <row r="331" customFormat="false" ht="15" hidden="false" customHeight="false" outlineLevel="0" collapsed="false">
      <c r="A331" s="133"/>
      <c r="B331" s="133"/>
      <c r="C331" s="133"/>
      <c r="D331" s="133"/>
      <c r="E331" s="134"/>
      <c r="F331" s="135"/>
      <c r="G331" s="135"/>
      <c r="H331" s="133"/>
      <c r="I331" s="133"/>
      <c r="J331" s="133"/>
      <c r="K331" s="134"/>
    </row>
    <row r="332" customFormat="false" ht="15" hidden="false" customHeight="false" outlineLevel="0" collapsed="false">
      <c r="A332" s="133"/>
      <c r="B332" s="133"/>
      <c r="C332" s="133"/>
      <c r="D332" s="133"/>
      <c r="E332" s="134"/>
      <c r="F332" s="135"/>
      <c r="G332" s="135"/>
      <c r="H332" s="133"/>
      <c r="I332" s="133"/>
      <c r="J332" s="133"/>
      <c r="K332" s="134"/>
    </row>
    <row r="333" customFormat="false" ht="15" hidden="false" customHeight="false" outlineLevel="0" collapsed="false">
      <c r="A333" s="133"/>
      <c r="B333" s="133"/>
      <c r="C333" s="133"/>
      <c r="D333" s="133"/>
      <c r="E333" s="134"/>
      <c r="F333" s="135"/>
      <c r="G333" s="135"/>
      <c r="H333" s="133"/>
      <c r="I333" s="133"/>
      <c r="J333" s="133"/>
      <c r="K333" s="134"/>
    </row>
    <row r="334" customFormat="false" ht="15" hidden="false" customHeight="false" outlineLevel="0" collapsed="false">
      <c r="A334" s="133"/>
      <c r="B334" s="133"/>
      <c r="C334" s="133"/>
      <c r="D334" s="133"/>
      <c r="E334" s="134"/>
      <c r="F334" s="135"/>
      <c r="G334" s="135"/>
      <c r="H334" s="133"/>
      <c r="I334" s="133"/>
      <c r="J334" s="133"/>
      <c r="K334" s="134"/>
    </row>
    <row r="335" customFormat="false" ht="15" hidden="false" customHeight="false" outlineLevel="0" collapsed="false">
      <c r="A335" s="133"/>
      <c r="B335" s="133"/>
      <c r="C335" s="133"/>
      <c r="D335" s="133"/>
      <c r="E335" s="134"/>
      <c r="F335" s="135"/>
      <c r="G335" s="135"/>
      <c r="H335" s="133"/>
      <c r="I335" s="133"/>
      <c r="J335" s="133"/>
      <c r="K335" s="134"/>
    </row>
    <row r="336" customFormat="false" ht="15" hidden="false" customHeight="false" outlineLevel="0" collapsed="false">
      <c r="A336" s="133"/>
      <c r="B336" s="133"/>
      <c r="C336" s="133"/>
      <c r="D336" s="133"/>
      <c r="E336" s="134"/>
      <c r="F336" s="135"/>
      <c r="G336" s="135"/>
      <c r="H336" s="133"/>
      <c r="I336" s="133"/>
      <c r="J336" s="133"/>
      <c r="K336" s="134"/>
    </row>
    <row r="337" customFormat="false" ht="15" hidden="false" customHeight="false" outlineLevel="0" collapsed="false">
      <c r="A337" s="133"/>
      <c r="B337" s="133"/>
      <c r="C337" s="133"/>
      <c r="D337" s="133"/>
      <c r="E337" s="134"/>
      <c r="F337" s="135"/>
      <c r="G337" s="135"/>
      <c r="H337" s="133"/>
      <c r="I337" s="133"/>
      <c r="J337" s="133"/>
      <c r="K337" s="134"/>
    </row>
    <row r="338" customFormat="false" ht="15" hidden="false" customHeight="false" outlineLevel="0" collapsed="false">
      <c r="A338" s="133"/>
      <c r="B338" s="133"/>
      <c r="C338" s="133"/>
      <c r="D338" s="133"/>
      <c r="E338" s="134"/>
      <c r="F338" s="135"/>
      <c r="G338" s="135"/>
      <c r="H338" s="133"/>
      <c r="I338" s="133"/>
      <c r="J338" s="133"/>
      <c r="K338" s="134"/>
    </row>
    <row r="339" customFormat="false" ht="15" hidden="false" customHeight="false" outlineLevel="0" collapsed="false">
      <c r="A339" s="133"/>
      <c r="B339" s="133"/>
      <c r="C339" s="133"/>
      <c r="D339" s="133"/>
      <c r="E339" s="134"/>
      <c r="F339" s="135"/>
      <c r="G339" s="135"/>
      <c r="H339" s="133"/>
      <c r="I339" s="133"/>
      <c r="J339" s="133"/>
      <c r="K339" s="134"/>
    </row>
    <row r="340" customFormat="false" ht="15" hidden="false" customHeight="false" outlineLevel="0" collapsed="false">
      <c r="A340" s="133"/>
      <c r="B340" s="133"/>
      <c r="C340" s="133"/>
      <c r="D340" s="133"/>
      <c r="E340" s="134"/>
      <c r="F340" s="135"/>
      <c r="G340" s="135"/>
      <c r="H340" s="133"/>
      <c r="I340" s="133"/>
      <c r="J340" s="133"/>
      <c r="K340" s="134"/>
    </row>
    <row r="341" customFormat="false" ht="15" hidden="false" customHeight="false" outlineLevel="0" collapsed="false">
      <c r="A341" s="133"/>
      <c r="B341" s="133"/>
      <c r="C341" s="133"/>
      <c r="D341" s="133"/>
      <c r="E341" s="134"/>
      <c r="F341" s="135"/>
      <c r="G341" s="135"/>
      <c r="H341" s="133"/>
      <c r="I341" s="133"/>
      <c r="J341" s="133"/>
      <c r="K341" s="134"/>
    </row>
    <row r="342" customFormat="false" ht="15" hidden="false" customHeight="false" outlineLevel="0" collapsed="false">
      <c r="A342" s="133"/>
      <c r="B342" s="133"/>
      <c r="C342" s="133"/>
      <c r="D342" s="133"/>
      <c r="E342" s="134"/>
      <c r="F342" s="135"/>
      <c r="G342" s="135"/>
      <c r="H342" s="133"/>
      <c r="I342" s="133"/>
      <c r="J342" s="133"/>
      <c r="K342" s="134"/>
    </row>
    <row r="343" customFormat="false" ht="15" hidden="false" customHeight="false" outlineLevel="0" collapsed="false">
      <c r="A343" s="133"/>
      <c r="B343" s="133"/>
      <c r="C343" s="133"/>
      <c r="D343" s="133"/>
      <c r="E343" s="134"/>
      <c r="F343" s="135"/>
      <c r="G343" s="135"/>
      <c r="H343" s="133"/>
      <c r="I343" s="133"/>
      <c r="J343" s="133"/>
      <c r="K343" s="134"/>
    </row>
    <row r="344" customFormat="false" ht="15" hidden="false" customHeight="false" outlineLevel="0" collapsed="false">
      <c r="A344" s="133"/>
      <c r="B344" s="133"/>
      <c r="C344" s="133"/>
      <c r="D344" s="133"/>
      <c r="E344" s="134"/>
      <c r="F344" s="135"/>
      <c r="G344" s="135"/>
      <c r="H344" s="133"/>
      <c r="I344" s="133"/>
      <c r="J344" s="133"/>
      <c r="K344" s="134"/>
    </row>
    <row r="345" customFormat="false" ht="15" hidden="false" customHeight="false" outlineLevel="0" collapsed="false">
      <c r="A345" s="133"/>
      <c r="B345" s="133"/>
      <c r="C345" s="133"/>
      <c r="D345" s="133"/>
      <c r="E345" s="134"/>
      <c r="F345" s="135"/>
      <c r="G345" s="135"/>
      <c r="H345" s="133"/>
      <c r="I345" s="133"/>
      <c r="J345" s="133"/>
      <c r="K345" s="134"/>
    </row>
    <row r="346" customFormat="false" ht="15" hidden="false" customHeight="false" outlineLevel="0" collapsed="false">
      <c r="A346" s="133"/>
      <c r="B346" s="133"/>
      <c r="C346" s="133"/>
      <c r="D346" s="133"/>
      <c r="E346" s="134"/>
      <c r="F346" s="135"/>
      <c r="G346" s="135"/>
      <c r="H346" s="133"/>
      <c r="I346" s="133"/>
      <c r="J346" s="133"/>
      <c r="K346" s="134"/>
    </row>
    <row r="347" customFormat="false" ht="15" hidden="false" customHeight="false" outlineLevel="0" collapsed="false">
      <c r="A347" s="133"/>
      <c r="B347" s="133"/>
      <c r="C347" s="133"/>
      <c r="D347" s="133"/>
      <c r="E347" s="134"/>
      <c r="F347" s="135"/>
      <c r="G347" s="135"/>
      <c r="H347" s="133"/>
      <c r="I347" s="133"/>
      <c r="J347" s="133"/>
      <c r="K347" s="134"/>
    </row>
    <row r="348" customFormat="false" ht="15" hidden="false" customHeight="false" outlineLevel="0" collapsed="false">
      <c r="A348" s="133"/>
      <c r="B348" s="133"/>
      <c r="C348" s="133"/>
      <c r="D348" s="133"/>
      <c r="E348" s="134"/>
      <c r="F348" s="135"/>
      <c r="G348" s="135"/>
      <c r="H348" s="133"/>
      <c r="I348" s="133"/>
      <c r="J348" s="133"/>
      <c r="K348" s="134"/>
    </row>
    <row r="349" customFormat="false" ht="15" hidden="false" customHeight="false" outlineLevel="0" collapsed="false">
      <c r="A349" s="133"/>
      <c r="B349" s="133"/>
      <c r="C349" s="133"/>
      <c r="D349" s="133"/>
      <c r="E349" s="134"/>
      <c r="F349" s="135"/>
      <c r="G349" s="135"/>
      <c r="H349" s="133"/>
      <c r="I349" s="133"/>
      <c r="J349" s="133"/>
      <c r="K349" s="134"/>
    </row>
    <row r="350" customFormat="false" ht="15" hidden="false" customHeight="false" outlineLevel="0" collapsed="false">
      <c r="A350" s="133"/>
      <c r="B350" s="133"/>
      <c r="C350" s="133"/>
      <c r="D350" s="133"/>
      <c r="E350" s="134"/>
      <c r="F350" s="135"/>
      <c r="G350" s="135"/>
      <c r="H350" s="133"/>
      <c r="I350" s="133"/>
      <c r="J350" s="133"/>
      <c r="K350" s="134"/>
    </row>
    <row r="351" customFormat="false" ht="15" hidden="false" customHeight="false" outlineLevel="0" collapsed="false">
      <c r="A351" s="133"/>
      <c r="B351" s="133"/>
      <c r="C351" s="133"/>
      <c r="D351" s="133"/>
      <c r="E351" s="134"/>
      <c r="F351" s="135"/>
      <c r="G351" s="135"/>
      <c r="H351" s="133"/>
      <c r="I351" s="133"/>
      <c r="J351" s="133"/>
      <c r="K351" s="134"/>
    </row>
    <row r="352" customFormat="false" ht="15" hidden="false" customHeight="false" outlineLevel="0" collapsed="false">
      <c r="A352" s="133"/>
      <c r="B352" s="133"/>
      <c r="C352" s="133"/>
      <c r="D352" s="133"/>
      <c r="E352" s="134"/>
      <c r="F352" s="135"/>
      <c r="G352" s="135"/>
      <c r="H352" s="133"/>
      <c r="I352" s="133"/>
      <c r="J352" s="133"/>
      <c r="K352" s="134"/>
    </row>
    <row r="353" customFormat="false" ht="15" hidden="false" customHeight="false" outlineLevel="0" collapsed="false">
      <c r="A353" s="133"/>
      <c r="B353" s="133"/>
      <c r="C353" s="133"/>
      <c r="D353" s="133"/>
      <c r="E353" s="134"/>
      <c r="F353" s="135"/>
      <c r="G353" s="135"/>
      <c r="H353" s="133"/>
      <c r="I353" s="133"/>
      <c r="J353" s="133"/>
      <c r="K353" s="134"/>
    </row>
    <row r="354" customFormat="false" ht="15" hidden="false" customHeight="false" outlineLevel="0" collapsed="false">
      <c r="A354" s="133"/>
      <c r="B354" s="133"/>
      <c r="C354" s="133"/>
      <c r="D354" s="133"/>
      <c r="E354" s="134"/>
      <c r="F354" s="135"/>
      <c r="G354" s="135"/>
      <c r="H354" s="133"/>
      <c r="I354" s="133"/>
      <c r="J354" s="133"/>
      <c r="K354" s="134"/>
    </row>
    <row r="355" customFormat="false" ht="15" hidden="false" customHeight="false" outlineLevel="0" collapsed="false">
      <c r="A355" s="133"/>
      <c r="B355" s="133"/>
      <c r="C355" s="133"/>
      <c r="D355" s="133"/>
      <c r="E355" s="134"/>
      <c r="F355" s="135"/>
      <c r="G355" s="135"/>
      <c r="H355" s="133"/>
      <c r="I355" s="133"/>
      <c r="J355" s="133"/>
      <c r="K355" s="134"/>
    </row>
    <row r="356" customFormat="false" ht="15" hidden="false" customHeight="false" outlineLevel="0" collapsed="false">
      <c r="A356" s="133"/>
      <c r="B356" s="133"/>
      <c r="C356" s="133"/>
      <c r="D356" s="133"/>
      <c r="E356" s="134"/>
      <c r="F356" s="135"/>
      <c r="G356" s="135"/>
      <c r="H356" s="133"/>
      <c r="I356" s="133"/>
      <c r="J356" s="133"/>
      <c r="K356" s="134"/>
    </row>
    <row r="357" customFormat="false" ht="15" hidden="false" customHeight="false" outlineLevel="0" collapsed="false">
      <c r="A357" s="133"/>
      <c r="B357" s="133"/>
      <c r="C357" s="133"/>
      <c r="D357" s="133"/>
      <c r="E357" s="134"/>
      <c r="F357" s="135"/>
      <c r="G357" s="135"/>
      <c r="H357" s="133"/>
      <c r="I357" s="133"/>
      <c r="J357" s="133"/>
      <c r="K357" s="134"/>
    </row>
    <row r="358" customFormat="false" ht="15" hidden="false" customHeight="false" outlineLevel="0" collapsed="false">
      <c r="A358" s="133"/>
      <c r="B358" s="133"/>
      <c r="C358" s="133"/>
      <c r="D358" s="133"/>
      <c r="E358" s="134"/>
      <c r="F358" s="135"/>
      <c r="G358" s="135"/>
      <c r="H358" s="133"/>
      <c r="I358" s="133"/>
      <c r="J358" s="133"/>
      <c r="K358" s="134"/>
    </row>
    <row r="359" customFormat="false" ht="15" hidden="false" customHeight="false" outlineLevel="0" collapsed="false">
      <c r="A359" s="133"/>
      <c r="B359" s="133"/>
      <c r="C359" s="133"/>
      <c r="D359" s="133"/>
      <c r="E359" s="134"/>
      <c r="F359" s="135"/>
      <c r="G359" s="135"/>
      <c r="H359" s="133"/>
      <c r="I359" s="133"/>
      <c r="J359" s="133"/>
      <c r="K359" s="134"/>
    </row>
    <row r="360" customFormat="false" ht="15" hidden="false" customHeight="false" outlineLevel="0" collapsed="false">
      <c r="A360" s="133"/>
      <c r="B360" s="133"/>
      <c r="C360" s="133"/>
      <c r="D360" s="133"/>
      <c r="E360" s="134"/>
      <c r="F360" s="135"/>
      <c r="G360" s="135"/>
      <c r="H360" s="133"/>
      <c r="I360" s="133"/>
      <c r="J360" s="133"/>
      <c r="K360" s="134"/>
    </row>
    <row r="361" customFormat="false" ht="15" hidden="false" customHeight="false" outlineLevel="0" collapsed="false">
      <c r="A361" s="133"/>
      <c r="B361" s="133"/>
      <c r="C361" s="133"/>
      <c r="D361" s="133"/>
      <c r="E361" s="134"/>
      <c r="F361" s="135"/>
      <c r="G361" s="135"/>
      <c r="H361" s="133"/>
      <c r="I361" s="133"/>
      <c r="J361" s="133"/>
      <c r="K361" s="134"/>
    </row>
    <row r="362" customFormat="false" ht="15" hidden="false" customHeight="false" outlineLevel="0" collapsed="false">
      <c r="A362" s="133"/>
      <c r="B362" s="133"/>
      <c r="C362" s="133"/>
      <c r="D362" s="133"/>
      <c r="E362" s="134"/>
      <c r="F362" s="135"/>
      <c r="G362" s="135"/>
      <c r="H362" s="133"/>
      <c r="I362" s="133"/>
      <c r="J362" s="133"/>
      <c r="K362" s="134"/>
    </row>
    <row r="363" customFormat="false" ht="15" hidden="false" customHeight="false" outlineLevel="0" collapsed="false">
      <c r="A363" s="133"/>
      <c r="B363" s="133"/>
      <c r="C363" s="133"/>
      <c r="D363" s="133"/>
      <c r="E363" s="134"/>
      <c r="F363" s="135"/>
      <c r="G363" s="135"/>
      <c r="H363" s="133"/>
      <c r="I363" s="133"/>
      <c r="J363" s="133"/>
      <c r="K363" s="134"/>
    </row>
    <row r="364" customFormat="false" ht="15" hidden="false" customHeight="false" outlineLevel="0" collapsed="false">
      <c r="A364" s="133"/>
      <c r="B364" s="133"/>
      <c r="C364" s="133"/>
      <c r="D364" s="133"/>
      <c r="E364" s="134"/>
      <c r="F364" s="135"/>
      <c r="G364" s="135"/>
      <c r="H364" s="133"/>
      <c r="I364" s="133"/>
      <c r="J364" s="133"/>
      <c r="K364" s="134"/>
    </row>
    <row r="365" customFormat="false" ht="15" hidden="false" customHeight="false" outlineLevel="0" collapsed="false">
      <c r="A365" s="133"/>
      <c r="B365" s="133"/>
      <c r="C365" s="133"/>
      <c r="D365" s="133"/>
      <c r="E365" s="134"/>
      <c r="F365" s="135"/>
      <c r="G365" s="135"/>
      <c r="H365" s="133"/>
      <c r="I365" s="133"/>
      <c r="J365" s="133"/>
      <c r="K365" s="134"/>
    </row>
    <row r="366" customFormat="false" ht="15" hidden="false" customHeight="false" outlineLevel="0" collapsed="false">
      <c r="A366" s="133"/>
      <c r="B366" s="133"/>
      <c r="C366" s="133"/>
      <c r="D366" s="133"/>
      <c r="E366" s="134"/>
      <c r="F366" s="135"/>
      <c r="G366" s="135"/>
      <c r="H366" s="133"/>
      <c r="I366" s="133"/>
      <c r="J366" s="133"/>
      <c r="K366" s="134"/>
    </row>
    <row r="367" customFormat="false" ht="15" hidden="false" customHeight="false" outlineLevel="0" collapsed="false">
      <c r="A367" s="133"/>
      <c r="B367" s="133"/>
      <c r="C367" s="133"/>
      <c r="D367" s="133"/>
      <c r="E367" s="134"/>
      <c r="F367" s="135"/>
      <c r="G367" s="135"/>
      <c r="H367" s="133"/>
      <c r="I367" s="133"/>
      <c r="J367" s="133"/>
      <c r="K367" s="134"/>
    </row>
    <row r="368" customFormat="false" ht="15" hidden="false" customHeight="false" outlineLevel="0" collapsed="false">
      <c r="A368" s="133"/>
      <c r="B368" s="133"/>
      <c r="C368" s="133"/>
      <c r="D368" s="133"/>
      <c r="E368" s="134"/>
      <c r="F368" s="135"/>
      <c r="G368" s="135"/>
      <c r="H368" s="133"/>
      <c r="I368" s="133"/>
      <c r="J368" s="133"/>
      <c r="K368" s="134"/>
    </row>
    <row r="369" customFormat="false" ht="15" hidden="false" customHeight="false" outlineLevel="0" collapsed="false">
      <c r="A369" s="133"/>
      <c r="B369" s="133"/>
      <c r="C369" s="133"/>
      <c r="D369" s="133"/>
      <c r="E369" s="134"/>
      <c r="F369" s="135"/>
      <c r="G369" s="135"/>
      <c r="H369" s="133"/>
      <c r="I369" s="133"/>
      <c r="J369" s="133"/>
      <c r="K369" s="134"/>
    </row>
    <row r="370" customFormat="false" ht="15" hidden="false" customHeight="false" outlineLevel="0" collapsed="false">
      <c r="A370" s="133"/>
      <c r="B370" s="133"/>
      <c r="C370" s="133"/>
      <c r="D370" s="133"/>
      <c r="E370" s="134"/>
      <c r="F370" s="135"/>
      <c r="G370" s="135"/>
      <c r="H370" s="133"/>
      <c r="I370" s="133"/>
      <c r="J370" s="133"/>
      <c r="K370" s="134"/>
    </row>
    <row r="371" customFormat="false" ht="15" hidden="false" customHeight="false" outlineLevel="0" collapsed="false">
      <c r="A371" s="133"/>
      <c r="B371" s="133"/>
      <c r="C371" s="133"/>
      <c r="D371" s="133"/>
      <c r="E371" s="134"/>
      <c r="F371" s="135"/>
      <c r="G371" s="135"/>
      <c r="H371" s="133"/>
      <c r="I371" s="133"/>
      <c r="J371" s="133"/>
      <c r="K371" s="134"/>
    </row>
    <row r="372" customFormat="false" ht="15" hidden="false" customHeight="false" outlineLevel="0" collapsed="false">
      <c r="A372" s="133"/>
      <c r="B372" s="133"/>
      <c r="C372" s="133"/>
      <c r="D372" s="133"/>
      <c r="E372" s="134"/>
      <c r="F372" s="135"/>
      <c r="G372" s="135"/>
      <c r="H372" s="133"/>
      <c r="I372" s="133"/>
      <c r="J372" s="133"/>
      <c r="K372" s="134"/>
    </row>
    <row r="373" customFormat="false" ht="15" hidden="false" customHeight="false" outlineLevel="0" collapsed="false">
      <c r="A373" s="133"/>
      <c r="B373" s="133"/>
      <c r="C373" s="133"/>
      <c r="D373" s="133"/>
      <c r="E373" s="134"/>
      <c r="F373" s="135"/>
      <c r="G373" s="135"/>
      <c r="H373" s="133"/>
      <c r="I373" s="133"/>
      <c r="J373" s="133"/>
      <c r="K373" s="134"/>
    </row>
    <row r="374" customFormat="false" ht="15" hidden="false" customHeight="false" outlineLevel="0" collapsed="false">
      <c r="A374" s="133"/>
      <c r="B374" s="133"/>
      <c r="C374" s="133"/>
      <c r="D374" s="133"/>
      <c r="E374" s="134"/>
      <c r="F374" s="135"/>
      <c r="G374" s="135"/>
      <c r="H374" s="133"/>
      <c r="I374" s="133"/>
      <c r="J374" s="133"/>
      <c r="K374" s="134"/>
    </row>
    <row r="375" customFormat="false" ht="15" hidden="false" customHeight="false" outlineLevel="0" collapsed="false">
      <c r="A375" s="133"/>
      <c r="B375" s="133"/>
      <c r="C375" s="133"/>
      <c r="D375" s="133"/>
      <c r="E375" s="134"/>
      <c r="F375" s="135"/>
      <c r="G375" s="135"/>
      <c r="H375" s="133"/>
      <c r="I375" s="133"/>
      <c r="J375" s="133"/>
      <c r="K375" s="134"/>
    </row>
    <row r="376" customFormat="false" ht="15" hidden="false" customHeight="false" outlineLevel="0" collapsed="false">
      <c r="A376" s="133"/>
      <c r="B376" s="133"/>
      <c r="C376" s="133"/>
      <c r="D376" s="133"/>
      <c r="E376" s="134"/>
      <c r="F376" s="135"/>
      <c r="G376" s="135"/>
      <c r="H376" s="133"/>
      <c r="I376" s="133"/>
      <c r="J376" s="133"/>
      <c r="K376" s="134"/>
    </row>
    <row r="377" customFormat="false" ht="15" hidden="false" customHeight="false" outlineLevel="0" collapsed="false">
      <c r="A377" s="133"/>
      <c r="B377" s="133"/>
      <c r="C377" s="133"/>
      <c r="D377" s="133"/>
      <c r="E377" s="134"/>
      <c r="F377" s="135"/>
      <c r="G377" s="135"/>
      <c r="H377" s="133"/>
      <c r="I377" s="133"/>
      <c r="J377" s="133"/>
      <c r="K377" s="134"/>
    </row>
    <row r="378" customFormat="false" ht="15" hidden="false" customHeight="false" outlineLevel="0" collapsed="false">
      <c r="A378" s="133"/>
      <c r="B378" s="133"/>
      <c r="C378" s="133"/>
      <c r="D378" s="133"/>
      <c r="E378" s="134"/>
      <c r="F378" s="135"/>
      <c r="G378" s="135"/>
      <c r="H378" s="133"/>
      <c r="I378" s="133"/>
      <c r="J378" s="133"/>
      <c r="K378" s="134"/>
    </row>
    <row r="379" customFormat="false" ht="15" hidden="false" customHeight="false" outlineLevel="0" collapsed="false">
      <c r="A379" s="133"/>
      <c r="B379" s="133"/>
      <c r="C379" s="133"/>
      <c r="D379" s="133"/>
      <c r="E379" s="134"/>
      <c r="F379" s="135"/>
      <c r="G379" s="135"/>
      <c r="H379" s="133"/>
      <c r="I379" s="133"/>
      <c r="J379" s="133"/>
      <c r="K379" s="134"/>
    </row>
    <row r="380" customFormat="false" ht="15" hidden="false" customHeight="false" outlineLevel="0" collapsed="false">
      <c r="A380" s="133"/>
      <c r="B380" s="133"/>
      <c r="C380" s="133"/>
      <c r="D380" s="133"/>
      <c r="E380" s="134"/>
      <c r="F380" s="135"/>
      <c r="G380" s="135"/>
      <c r="H380" s="133"/>
      <c r="I380" s="133"/>
      <c r="J380" s="133"/>
      <c r="K380" s="134"/>
    </row>
    <row r="381" customFormat="false" ht="15" hidden="false" customHeight="false" outlineLevel="0" collapsed="false">
      <c r="A381" s="133"/>
      <c r="B381" s="133"/>
      <c r="C381" s="133"/>
      <c r="D381" s="133"/>
      <c r="E381" s="134"/>
      <c r="F381" s="135"/>
      <c r="G381" s="135"/>
      <c r="H381" s="133"/>
      <c r="I381" s="133"/>
      <c r="J381" s="133"/>
      <c r="K381" s="134"/>
    </row>
    <row r="382" customFormat="false" ht="15" hidden="false" customHeight="false" outlineLevel="0" collapsed="false">
      <c r="A382" s="133"/>
      <c r="B382" s="133"/>
      <c r="C382" s="133"/>
      <c r="D382" s="133"/>
      <c r="E382" s="134"/>
      <c r="F382" s="135"/>
      <c r="G382" s="135"/>
      <c r="H382" s="133"/>
      <c r="I382" s="133"/>
      <c r="J382" s="133"/>
      <c r="K382" s="134"/>
    </row>
    <row r="383" customFormat="false" ht="15" hidden="false" customHeight="false" outlineLevel="0" collapsed="false">
      <c r="A383" s="133"/>
      <c r="B383" s="133"/>
      <c r="C383" s="133"/>
      <c r="D383" s="133"/>
      <c r="E383" s="134"/>
      <c r="F383" s="135"/>
      <c r="G383" s="135"/>
      <c r="H383" s="133"/>
      <c r="I383" s="133"/>
      <c r="J383" s="133"/>
      <c r="K383" s="134"/>
    </row>
    <row r="384" customFormat="false" ht="15" hidden="false" customHeight="false" outlineLevel="0" collapsed="false">
      <c r="A384" s="133"/>
      <c r="B384" s="133"/>
      <c r="C384" s="133"/>
      <c r="D384" s="133"/>
      <c r="E384" s="134"/>
      <c r="F384" s="135"/>
      <c r="G384" s="135"/>
      <c r="H384" s="133"/>
      <c r="I384" s="133"/>
      <c r="J384" s="133"/>
      <c r="K384" s="134"/>
    </row>
    <row r="385" customFormat="false" ht="15" hidden="false" customHeight="false" outlineLevel="0" collapsed="false">
      <c r="A385" s="133"/>
      <c r="B385" s="133"/>
      <c r="C385" s="133"/>
      <c r="D385" s="133"/>
      <c r="E385" s="134"/>
      <c r="F385" s="135"/>
      <c r="G385" s="135"/>
      <c r="H385" s="133"/>
      <c r="I385" s="133"/>
      <c r="J385" s="133"/>
      <c r="K385" s="134"/>
    </row>
    <row r="386" customFormat="false" ht="15" hidden="false" customHeight="false" outlineLevel="0" collapsed="false">
      <c r="A386" s="133"/>
      <c r="B386" s="133"/>
      <c r="C386" s="133"/>
      <c r="D386" s="133"/>
      <c r="E386" s="134"/>
      <c r="F386" s="135"/>
      <c r="G386" s="135"/>
      <c r="H386" s="133"/>
      <c r="I386" s="133"/>
      <c r="J386" s="133"/>
      <c r="K386" s="134"/>
    </row>
    <row r="387" customFormat="false" ht="15" hidden="false" customHeight="false" outlineLevel="0" collapsed="false">
      <c r="A387" s="133"/>
      <c r="B387" s="133"/>
      <c r="C387" s="133"/>
      <c r="D387" s="133"/>
      <c r="E387" s="134"/>
      <c r="F387" s="135"/>
      <c r="G387" s="135"/>
      <c r="H387" s="133"/>
      <c r="I387" s="133"/>
      <c r="J387" s="133"/>
      <c r="K387" s="134"/>
    </row>
    <row r="388" customFormat="false" ht="15" hidden="false" customHeight="false" outlineLevel="0" collapsed="false">
      <c r="A388" s="133"/>
      <c r="B388" s="133"/>
      <c r="C388" s="133"/>
      <c r="D388" s="133"/>
      <c r="E388" s="134"/>
      <c r="F388" s="135"/>
      <c r="G388" s="135"/>
      <c r="H388" s="133"/>
      <c r="I388" s="133"/>
      <c r="J388" s="133"/>
      <c r="K388" s="134"/>
    </row>
    <row r="389" customFormat="false" ht="15" hidden="false" customHeight="false" outlineLevel="0" collapsed="false">
      <c r="A389" s="133"/>
      <c r="B389" s="133"/>
      <c r="C389" s="133"/>
      <c r="D389" s="133"/>
      <c r="E389" s="134"/>
      <c r="F389" s="135"/>
      <c r="G389" s="135"/>
      <c r="H389" s="133"/>
      <c r="I389" s="133"/>
      <c r="J389" s="133"/>
      <c r="K389" s="134"/>
    </row>
    <row r="390" customFormat="false" ht="15" hidden="false" customHeight="false" outlineLevel="0" collapsed="false">
      <c r="A390" s="133"/>
      <c r="B390" s="133"/>
      <c r="C390" s="133"/>
      <c r="D390" s="133"/>
      <c r="E390" s="134"/>
      <c r="F390" s="135"/>
      <c r="G390" s="135"/>
      <c r="H390" s="133"/>
      <c r="I390" s="133"/>
      <c r="J390" s="133"/>
      <c r="K390" s="134"/>
    </row>
    <row r="391" customFormat="false" ht="15" hidden="false" customHeight="false" outlineLevel="0" collapsed="false">
      <c r="A391" s="133"/>
      <c r="B391" s="133"/>
      <c r="C391" s="133"/>
      <c r="D391" s="133"/>
      <c r="E391" s="134"/>
      <c r="F391" s="135"/>
      <c r="G391" s="135"/>
      <c r="H391" s="133"/>
      <c r="I391" s="133"/>
      <c r="J391" s="133"/>
      <c r="K391" s="134"/>
    </row>
    <row r="392" customFormat="false" ht="15" hidden="false" customHeight="false" outlineLevel="0" collapsed="false">
      <c r="A392" s="133"/>
      <c r="B392" s="133"/>
      <c r="C392" s="133"/>
      <c r="D392" s="133"/>
      <c r="E392" s="134"/>
      <c r="F392" s="135"/>
      <c r="G392" s="135"/>
      <c r="H392" s="133"/>
      <c r="I392" s="133"/>
      <c r="J392" s="133"/>
      <c r="K392" s="134"/>
    </row>
    <row r="393" customFormat="false" ht="15" hidden="false" customHeight="false" outlineLevel="0" collapsed="false">
      <c r="A393" s="133"/>
      <c r="B393" s="133"/>
      <c r="C393" s="133"/>
      <c r="D393" s="133"/>
      <c r="E393" s="134"/>
      <c r="F393" s="135"/>
      <c r="G393" s="135"/>
      <c r="H393" s="133"/>
      <c r="I393" s="133"/>
      <c r="J393" s="133"/>
      <c r="K393" s="134"/>
    </row>
    <row r="394" customFormat="false" ht="15" hidden="false" customHeight="false" outlineLevel="0" collapsed="false">
      <c r="A394" s="133"/>
      <c r="B394" s="133"/>
      <c r="C394" s="133"/>
      <c r="D394" s="133"/>
      <c r="E394" s="134"/>
      <c r="F394" s="135"/>
      <c r="G394" s="135"/>
      <c r="H394" s="133"/>
      <c r="I394" s="133"/>
      <c r="J394" s="133"/>
      <c r="K394" s="134"/>
    </row>
    <row r="395" customFormat="false" ht="15" hidden="false" customHeight="false" outlineLevel="0" collapsed="false">
      <c r="A395" s="133"/>
      <c r="B395" s="133"/>
      <c r="C395" s="133"/>
      <c r="D395" s="133"/>
      <c r="E395" s="134"/>
      <c r="F395" s="135"/>
      <c r="G395" s="135"/>
      <c r="H395" s="133"/>
      <c r="I395" s="133"/>
      <c r="J395" s="133"/>
      <c r="K395" s="134"/>
    </row>
    <row r="396" customFormat="false" ht="15" hidden="false" customHeight="false" outlineLevel="0" collapsed="false">
      <c r="A396" s="133"/>
      <c r="B396" s="133"/>
      <c r="C396" s="133"/>
      <c r="D396" s="133"/>
      <c r="E396" s="134"/>
      <c r="F396" s="135"/>
      <c r="G396" s="135"/>
      <c r="H396" s="133"/>
      <c r="I396" s="133"/>
      <c r="J396" s="133"/>
      <c r="K396" s="134"/>
    </row>
    <row r="397" customFormat="false" ht="15" hidden="false" customHeight="false" outlineLevel="0" collapsed="false">
      <c r="A397" s="133"/>
      <c r="B397" s="133"/>
      <c r="C397" s="133"/>
      <c r="D397" s="133"/>
      <c r="E397" s="134"/>
      <c r="F397" s="135"/>
      <c r="G397" s="135"/>
      <c r="H397" s="133"/>
      <c r="I397" s="133"/>
      <c r="J397" s="133"/>
      <c r="K397" s="134"/>
    </row>
    <row r="398" customFormat="false" ht="15" hidden="false" customHeight="false" outlineLevel="0" collapsed="false">
      <c r="A398" s="133"/>
      <c r="B398" s="133"/>
      <c r="C398" s="133"/>
      <c r="D398" s="133"/>
      <c r="E398" s="134"/>
      <c r="F398" s="135"/>
      <c r="G398" s="135"/>
      <c r="H398" s="133"/>
      <c r="I398" s="133"/>
      <c r="J398" s="133"/>
      <c r="K398" s="134"/>
    </row>
    <row r="399" customFormat="false" ht="15" hidden="false" customHeight="false" outlineLevel="0" collapsed="false">
      <c r="A399" s="133"/>
      <c r="B399" s="133"/>
      <c r="C399" s="133"/>
      <c r="D399" s="133"/>
      <c r="E399" s="134"/>
      <c r="F399" s="135"/>
      <c r="G399" s="135"/>
      <c r="H399" s="133"/>
      <c r="I399" s="133"/>
      <c r="J399" s="133"/>
      <c r="K399" s="134"/>
    </row>
    <row r="400" customFormat="false" ht="15" hidden="false" customHeight="false" outlineLevel="0" collapsed="false">
      <c r="A400" s="133"/>
      <c r="B400" s="133"/>
      <c r="C400" s="133"/>
      <c r="D400" s="133"/>
      <c r="E400" s="134"/>
      <c r="F400" s="135"/>
      <c r="G400" s="135"/>
      <c r="H400" s="133"/>
      <c r="I400" s="133"/>
      <c r="J400" s="133"/>
      <c r="K400" s="134"/>
    </row>
  </sheetData>
  <sheetProtection sheet="true" formatCells="false" formatColumns="false" formatRows="false" sort="false" autoFilter="false"/>
  <autoFilter ref="A1:K4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13"/>
    <col collapsed="false" customWidth="true" hidden="false" outlineLevel="0" max="11" min="8" style="0" width="16"/>
    <col collapsed="false" customWidth="true" hidden="false" outlineLevel="0" max="12" min="12" style="0" width="30"/>
    <col collapsed="false" customWidth="true" hidden="false" outlineLevel="0" max="14" min="13" style="0" width="16"/>
  </cols>
  <sheetData>
    <row r="1" customFormat="false" ht="31.5" hidden="false" customHeight="true" outlineLevel="0" collapsed="false">
      <c r="A1" s="28" t="s">
        <v>576</v>
      </c>
      <c r="B1" s="28" t="s">
        <v>78</v>
      </c>
      <c r="C1" s="28" t="s">
        <v>97</v>
      </c>
      <c r="D1" s="28" t="s">
        <v>105</v>
      </c>
      <c r="E1" s="28" t="s">
        <v>699</v>
      </c>
      <c r="F1" s="28" t="s">
        <v>700</v>
      </c>
      <c r="G1" s="28" t="s">
        <v>701</v>
      </c>
      <c r="H1" s="28" t="s">
        <v>702</v>
      </c>
      <c r="I1" s="28" t="s">
        <v>703</v>
      </c>
      <c r="J1" s="28" t="s">
        <v>704</v>
      </c>
      <c r="K1" s="28" t="s">
        <v>705</v>
      </c>
      <c r="L1" s="28" t="s">
        <v>151</v>
      </c>
      <c r="M1" s="28" t="s">
        <v>581</v>
      </c>
      <c r="N1" s="28" t="s">
        <v>582</v>
      </c>
    </row>
    <row r="2" customFormat="false" ht="15" hidden="false" customHeight="false" outlineLevel="0" collapsed="false">
      <c r="A2" s="133" t="s">
        <v>706</v>
      </c>
      <c r="B2" s="133" t="s">
        <v>152</v>
      </c>
      <c r="C2" s="133" t="s">
        <v>155</v>
      </c>
      <c r="D2" s="133" t="s">
        <v>163</v>
      </c>
      <c r="E2" s="133" t="s">
        <v>707</v>
      </c>
      <c r="F2" s="133" t="s">
        <v>708</v>
      </c>
      <c r="G2" s="134" t="n">
        <v>46183</v>
      </c>
      <c r="H2" s="135" t="n">
        <v>948260.25</v>
      </c>
      <c r="I2" s="133"/>
      <c r="J2" s="133"/>
      <c r="K2" s="133" t="s">
        <v>709</v>
      </c>
      <c r="L2" s="133"/>
      <c r="M2" s="133" t="s">
        <v>585</v>
      </c>
      <c r="N2" s="134"/>
    </row>
    <row r="3" customFormat="false" ht="15" hidden="false" customHeight="false" outlineLevel="0" collapsed="false">
      <c r="A3" s="133" t="s">
        <v>710</v>
      </c>
      <c r="B3" s="133" t="s">
        <v>152</v>
      </c>
      <c r="C3" s="133" t="s">
        <v>155</v>
      </c>
      <c r="D3" s="133" t="s">
        <v>163</v>
      </c>
      <c r="E3" s="133" t="s">
        <v>707</v>
      </c>
      <c r="F3" s="133" t="s">
        <v>711</v>
      </c>
      <c r="G3" s="134" t="n">
        <v>46203</v>
      </c>
      <c r="H3" s="135" t="n">
        <v>2212607.25</v>
      </c>
      <c r="I3" s="133"/>
      <c r="J3" s="133"/>
      <c r="K3" s="133" t="s">
        <v>712</v>
      </c>
      <c r="L3" s="133"/>
      <c r="M3" s="133" t="s">
        <v>585</v>
      </c>
      <c r="N3" s="134"/>
    </row>
    <row r="4" customFormat="false" ht="15" hidden="false" customHeight="false" outlineLevel="0" collapsed="false">
      <c r="A4" s="133" t="s">
        <v>713</v>
      </c>
      <c r="B4" s="133" t="s">
        <v>168</v>
      </c>
      <c r="C4" s="133" t="s">
        <v>169</v>
      </c>
      <c r="D4" s="133" t="s">
        <v>173</v>
      </c>
      <c r="E4" s="133" t="s">
        <v>707</v>
      </c>
      <c r="F4" s="133" t="s">
        <v>708</v>
      </c>
      <c r="G4" s="134" t="n">
        <v>46186</v>
      </c>
      <c r="H4" s="135" t="n">
        <v>1014552</v>
      </c>
      <c r="I4" s="133"/>
      <c r="J4" s="133"/>
      <c r="K4" s="133" t="s">
        <v>714</v>
      </c>
      <c r="L4" s="133"/>
      <c r="M4" s="133" t="s">
        <v>585</v>
      </c>
      <c r="N4" s="134"/>
    </row>
    <row r="5" customFormat="false" ht="15" hidden="false" customHeight="false" outlineLevel="0" collapsed="false">
      <c r="A5" s="133" t="s">
        <v>715</v>
      </c>
      <c r="B5" s="133" t="s">
        <v>175</v>
      </c>
      <c r="C5" s="133" t="s">
        <v>176</v>
      </c>
      <c r="D5" s="133" t="s">
        <v>179</v>
      </c>
      <c r="E5" s="133" t="s">
        <v>707</v>
      </c>
      <c r="F5" s="133" t="s">
        <v>711</v>
      </c>
      <c r="G5" s="134" t="n">
        <v>46236</v>
      </c>
      <c r="H5" s="135" t="n">
        <v>855540</v>
      </c>
      <c r="I5" s="133"/>
      <c r="J5" s="133"/>
      <c r="K5" s="133" t="s">
        <v>716</v>
      </c>
      <c r="L5" s="133"/>
      <c r="M5" s="133" t="s">
        <v>585</v>
      </c>
      <c r="N5" s="134"/>
    </row>
    <row r="6" customFormat="false" ht="15" hidden="false" customHeight="false" outlineLevel="0" collapsed="false">
      <c r="A6" s="133" t="s">
        <v>717</v>
      </c>
      <c r="B6" s="133" t="s">
        <v>183</v>
      </c>
      <c r="C6" s="133" t="s">
        <v>184</v>
      </c>
      <c r="D6" s="133" t="s">
        <v>190</v>
      </c>
      <c r="E6" s="133" t="s">
        <v>707</v>
      </c>
      <c r="F6" s="133" t="s">
        <v>711</v>
      </c>
      <c r="G6" s="134" t="n">
        <v>46223</v>
      </c>
      <c r="H6" s="135" t="n">
        <v>3228864.2</v>
      </c>
      <c r="I6" s="133"/>
      <c r="J6" s="133"/>
      <c r="K6" s="133" t="s">
        <v>718</v>
      </c>
      <c r="L6" s="133"/>
      <c r="M6" s="133" t="s">
        <v>585</v>
      </c>
      <c r="N6" s="134"/>
    </row>
    <row r="7" customFormat="false" ht="15" hidden="false" customHeight="false" outlineLevel="0" collapsed="false">
      <c r="A7" s="133" t="s">
        <v>719</v>
      </c>
      <c r="B7" s="133" t="s">
        <v>194</v>
      </c>
      <c r="C7" s="133" t="s">
        <v>197</v>
      </c>
      <c r="D7" s="133" t="s">
        <v>202</v>
      </c>
      <c r="E7" s="133" t="s">
        <v>707</v>
      </c>
      <c r="F7" s="133" t="s">
        <v>720</v>
      </c>
      <c r="G7" s="134" t="n">
        <v>46239</v>
      </c>
      <c r="H7" s="135" t="n">
        <v>1074150</v>
      </c>
      <c r="I7" s="133"/>
      <c r="J7" s="133"/>
      <c r="K7" s="133" t="s">
        <v>721</v>
      </c>
      <c r="L7" s="133"/>
      <c r="M7" s="133" t="s">
        <v>585</v>
      </c>
      <c r="N7" s="134"/>
    </row>
    <row r="8" customFormat="false" ht="15" hidden="false" customHeight="false" outlineLevel="0" collapsed="false">
      <c r="A8" s="133" t="s">
        <v>722</v>
      </c>
      <c r="B8" s="133" t="s">
        <v>194</v>
      </c>
      <c r="C8" s="133" t="s">
        <v>197</v>
      </c>
      <c r="D8" s="133" t="s">
        <v>202</v>
      </c>
      <c r="E8" s="133" t="s">
        <v>723</v>
      </c>
      <c r="F8" s="133" t="s">
        <v>711</v>
      </c>
      <c r="G8" s="134" t="n">
        <v>46239</v>
      </c>
      <c r="H8" s="135" t="n">
        <v>1074150</v>
      </c>
      <c r="I8" s="133"/>
      <c r="J8" s="133"/>
      <c r="K8" s="133"/>
      <c r="L8" s="133" t="s">
        <v>724</v>
      </c>
      <c r="M8" s="133" t="s">
        <v>585</v>
      </c>
      <c r="N8" s="134"/>
    </row>
    <row r="9" customFormat="false" ht="15" hidden="false" customHeight="false" outlineLevel="0" collapsed="false">
      <c r="A9" s="133" t="s">
        <v>725</v>
      </c>
      <c r="B9" s="133" t="s">
        <v>206</v>
      </c>
      <c r="C9" s="133" t="s">
        <v>207</v>
      </c>
      <c r="D9" s="133" t="s">
        <v>210</v>
      </c>
      <c r="E9" s="133" t="s">
        <v>707</v>
      </c>
      <c r="F9" s="133" t="s">
        <v>708</v>
      </c>
      <c r="G9" s="134" t="n">
        <v>46196</v>
      </c>
      <c r="H9" s="135" t="n">
        <v>892500</v>
      </c>
      <c r="I9" s="133"/>
      <c r="J9" s="133"/>
      <c r="K9" s="133" t="s">
        <v>726</v>
      </c>
      <c r="L9" s="133"/>
      <c r="M9" s="133" t="s">
        <v>585</v>
      </c>
      <c r="N9" s="134"/>
    </row>
    <row r="10" customFormat="false" ht="15" hidden="false" customHeight="false" outlineLevel="0" collapsed="false">
      <c r="A10" s="133" t="s">
        <v>727</v>
      </c>
      <c r="B10" s="133" t="s">
        <v>212</v>
      </c>
      <c r="C10" s="133" t="s">
        <v>213</v>
      </c>
      <c r="D10" s="133" t="s">
        <v>216</v>
      </c>
      <c r="E10" s="133" t="s">
        <v>707</v>
      </c>
      <c r="F10" s="133" t="s">
        <v>711</v>
      </c>
      <c r="G10" s="134" t="n">
        <v>46238</v>
      </c>
      <c r="H10" s="135" t="n">
        <v>947784</v>
      </c>
      <c r="I10" s="133"/>
      <c r="J10" s="133"/>
      <c r="K10" s="133" t="s">
        <v>728</v>
      </c>
      <c r="L10" s="133"/>
      <c r="M10" s="133" t="s">
        <v>585</v>
      </c>
      <c r="N10" s="134"/>
    </row>
    <row r="11" customFormat="false" ht="15" hidden="false" customHeight="false" outlineLevel="0" collapsed="false">
      <c r="A11" s="133" t="s">
        <v>729</v>
      </c>
      <c r="B11" s="133" t="s">
        <v>220</v>
      </c>
      <c r="C11" s="133" t="s">
        <v>221</v>
      </c>
      <c r="D11" s="133" t="s">
        <v>226</v>
      </c>
      <c r="E11" s="133" t="s">
        <v>707</v>
      </c>
      <c r="F11" s="133" t="s">
        <v>708</v>
      </c>
      <c r="G11" s="134" t="n">
        <v>46203</v>
      </c>
      <c r="H11" s="135" t="n">
        <v>509657.5</v>
      </c>
      <c r="I11" s="133"/>
      <c r="J11" s="133"/>
      <c r="K11" s="133" t="s">
        <v>730</v>
      </c>
      <c r="L11" s="133"/>
      <c r="M11" s="133" t="s">
        <v>585</v>
      </c>
      <c r="N11" s="134"/>
    </row>
    <row r="12" customFormat="false" ht="15" hidden="false" customHeight="false" outlineLevel="0" collapsed="false">
      <c r="A12" s="133" t="s">
        <v>731</v>
      </c>
      <c r="B12" s="133" t="s">
        <v>228</v>
      </c>
      <c r="C12" s="133" t="s">
        <v>229</v>
      </c>
      <c r="D12" s="133" t="s">
        <v>232</v>
      </c>
      <c r="E12" s="133" t="s">
        <v>707</v>
      </c>
      <c r="F12" s="133" t="s">
        <v>711</v>
      </c>
      <c r="G12" s="134" t="n">
        <v>46250</v>
      </c>
      <c r="H12" s="135" t="n">
        <v>425915</v>
      </c>
      <c r="I12" s="133"/>
      <c r="J12" s="133"/>
      <c r="K12" s="133" t="s">
        <v>732</v>
      </c>
      <c r="L12" s="133"/>
      <c r="M12" s="133" t="s">
        <v>585</v>
      </c>
      <c r="N12" s="134"/>
    </row>
    <row r="13" customFormat="false" ht="15" hidden="false" customHeight="false" outlineLevel="0" collapsed="false">
      <c r="A13" s="133" t="s">
        <v>733</v>
      </c>
      <c r="B13" s="133" t="s">
        <v>234</v>
      </c>
      <c r="C13" s="133" t="s">
        <v>237</v>
      </c>
      <c r="D13" s="133" t="s">
        <v>242</v>
      </c>
      <c r="E13" s="133" t="s">
        <v>707</v>
      </c>
      <c r="F13" s="133" t="s">
        <v>708</v>
      </c>
      <c r="G13" s="134" t="n">
        <v>46209</v>
      </c>
      <c r="H13" s="135" t="n">
        <v>128772</v>
      </c>
      <c r="I13" s="133"/>
      <c r="J13" s="133"/>
      <c r="K13" s="133" t="s">
        <v>734</v>
      </c>
      <c r="L13" s="133"/>
      <c r="M13" s="133" t="s">
        <v>585</v>
      </c>
      <c r="N13" s="134"/>
    </row>
    <row r="14" customFormat="false" ht="15" hidden="false" customHeight="false" outlineLevel="0" collapsed="false">
      <c r="A14" s="133" t="s">
        <v>735</v>
      </c>
      <c r="B14" s="133" t="s">
        <v>234</v>
      </c>
      <c r="C14" s="133" t="s">
        <v>237</v>
      </c>
      <c r="D14" s="133" t="s">
        <v>242</v>
      </c>
      <c r="E14" s="133" t="s">
        <v>723</v>
      </c>
      <c r="F14" s="133" t="s">
        <v>711</v>
      </c>
      <c r="G14" s="134" t="n">
        <v>46240</v>
      </c>
      <c r="H14" s="135" t="n">
        <v>300468</v>
      </c>
      <c r="I14" s="133"/>
      <c r="J14" s="133"/>
      <c r="K14" s="133"/>
      <c r="L14" s="133" t="s">
        <v>724</v>
      </c>
      <c r="M14" s="133" t="s">
        <v>585</v>
      </c>
      <c r="N14" s="134"/>
    </row>
    <row r="15" customFormat="false" ht="15" hidden="false" customHeight="false" outlineLevel="0" collapsed="false">
      <c r="A15" s="133" t="s">
        <v>736</v>
      </c>
      <c r="B15" s="133" t="s">
        <v>245</v>
      </c>
      <c r="C15" s="133" t="s">
        <v>246</v>
      </c>
      <c r="D15" s="133" t="s">
        <v>249</v>
      </c>
      <c r="E15" s="133" t="s">
        <v>707</v>
      </c>
      <c r="F15" s="133" t="s">
        <v>720</v>
      </c>
      <c r="G15" s="134" t="n">
        <v>46256</v>
      </c>
      <c r="H15" s="135" t="n">
        <v>108675</v>
      </c>
      <c r="I15" s="133"/>
      <c r="J15" s="133"/>
      <c r="K15" s="133" t="s">
        <v>737</v>
      </c>
      <c r="L15" s="133"/>
      <c r="M15" s="133" t="s">
        <v>585</v>
      </c>
      <c r="N15" s="134"/>
    </row>
    <row r="16" customFormat="false" ht="15" hidden="false" customHeight="false" outlineLevel="0" collapsed="false">
      <c r="A16" s="133" t="s">
        <v>738</v>
      </c>
      <c r="B16" s="133" t="s">
        <v>245</v>
      </c>
      <c r="C16" s="133" t="s">
        <v>246</v>
      </c>
      <c r="D16" s="133" t="s">
        <v>249</v>
      </c>
      <c r="E16" s="133" t="s">
        <v>723</v>
      </c>
      <c r="F16" s="133" t="s">
        <v>711</v>
      </c>
      <c r="G16" s="134" t="n">
        <v>46256</v>
      </c>
      <c r="H16" s="135" t="n">
        <v>108675</v>
      </c>
      <c r="I16" s="133"/>
      <c r="J16" s="133"/>
      <c r="K16" s="133"/>
      <c r="L16" s="133" t="s">
        <v>724</v>
      </c>
      <c r="M16" s="133" t="s">
        <v>585</v>
      </c>
      <c r="N16" s="134"/>
    </row>
    <row r="17" customFormat="false" ht="15" hidden="false" customHeight="false" outlineLevel="0" collapsed="false">
      <c r="A17" s="133" t="s">
        <v>739</v>
      </c>
      <c r="B17" s="133" t="s">
        <v>252</v>
      </c>
      <c r="C17" s="133" t="s">
        <v>253</v>
      </c>
      <c r="D17" s="133" t="s">
        <v>256</v>
      </c>
      <c r="E17" s="133" t="s">
        <v>707</v>
      </c>
      <c r="F17" s="133" t="s">
        <v>711</v>
      </c>
      <c r="G17" s="134" t="n">
        <v>46261</v>
      </c>
      <c r="H17" s="135" t="n">
        <v>186117.75</v>
      </c>
      <c r="I17" s="133"/>
      <c r="J17" s="133"/>
      <c r="K17" s="133" t="s">
        <v>740</v>
      </c>
      <c r="L17" s="133"/>
      <c r="M17" s="133" t="s">
        <v>585</v>
      </c>
      <c r="N17" s="134"/>
    </row>
    <row r="18" customFormat="false" ht="15" hidden="false" customHeight="false" outlineLevel="0" collapsed="false">
      <c r="A18" s="133" t="s">
        <v>741</v>
      </c>
      <c r="B18" s="133" t="s">
        <v>257</v>
      </c>
      <c r="C18" s="133" t="s">
        <v>258</v>
      </c>
      <c r="D18" s="133" t="s">
        <v>262</v>
      </c>
      <c r="E18" s="133" t="s">
        <v>707</v>
      </c>
      <c r="F18" s="133" t="s">
        <v>720</v>
      </c>
      <c r="G18" s="134" t="n">
        <v>46279</v>
      </c>
      <c r="H18" s="135" t="n">
        <v>352800</v>
      </c>
      <c r="I18" s="133"/>
      <c r="J18" s="133"/>
      <c r="K18" s="133" t="s">
        <v>742</v>
      </c>
      <c r="L18" s="133"/>
      <c r="M18" s="133" t="s">
        <v>585</v>
      </c>
      <c r="N18" s="134"/>
    </row>
    <row r="19" customFormat="false" ht="15" hidden="false" customHeight="false" outlineLevel="0" collapsed="false">
      <c r="A19" s="133" t="s">
        <v>743</v>
      </c>
      <c r="B19" s="133" t="s">
        <v>257</v>
      </c>
      <c r="C19" s="133" t="s">
        <v>258</v>
      </c>
      <c r="D19" s="133" t="s">
        <v>262</v>
      </c>
      <c r="E19" s="133" t="s">
        <v>723</v>
      </c>
      <c r="F19" s="133" t="s">
        <v>711</v>
      </c>
      <c r="G19" s="134" t="n">
        <v>46279</v>
      </c>
      <c r="H19" s="135" t="n">
        <v>352800</v>
      </c>
      <c r="I19" s="133"/>
      <c r="J19" s="133"/>
      <c r="K19" s="133"/>
      <c r="L19" s="133" t="s">
        <v>724</v>
      </c>
      <c r="M19" s="133" t="s">
        <v>585</v>
      </c>
      <c r="N19" s="134"/>
    </row>
    <row r="20" customFormat="false" ht="15" hidden="false" customHeight="false" outlineLevel="0" collapsed="false">
      <c r="A20" s="133" t="s">
        <v>744</v>
      </c>
      <c r="B20" s="133" t="s">
        <v>264</v>
      </c>
      <c r="C20" s="133" t="s">
        <v>265</v>
      </c>
      <c r="D20" s="133" t="s">
        <v>268</v>
      </c>
      <c r="E20" s="133" t="s">
        <v>707</v>
      </c>
      <c r="F20" s="133" t="s">
        <v>711</v>
      </c>
      <c r="G20" s="134" t="n">
        <v>46255</v>
      </c>
      <c r="H20" s="135" t="n">
        <v>1739018.5</v>
      </c>
      <c r="I20" s="133"/>
      <c r="J20" s="133"/>
      <c r="K20" s="133" t="s">
        <v>745</v>
      </c>
      <c r="L20" s="133"/>
      <c r="M20" s="133" t="s">
        <v>585</v>
      </c>
      <c r="N20" s="134"/>
    </row>
    <row r="21" customFormat="false" ht="15" hidden="false" customHeight="false" outlineLevel="0" collapsed="false">
      <c r="A21" s="133" t="s">
        <v>746</v>
      </c>
      <c r="B21" s="133" t="s">
        <v>270</v>
      </c>
      <c r="C21" s="133" t="s">
        <v>273</v>
      </c>
      <c r="D21" s="133" t="s">
        <v>278</v>
      </c>
      <c r="E21" s="133" t="s">
        <v>707</v>
      </c>
      <c r="F21" s="133" t="s">
        <v>711</v>
      </c>
      <c r="G21" s="134" t="n">
        <v>46274</v>
      </c>
      <c r="H21" s="135" t="n">
        <v>712431.3</v>
      </c>
      <c r="I21" s="133"/>
      <c r="J21" s="133"/>
      <c r="K21" s="133" t="s">
        <v>747</v>
      </c>
      <c r="L21" s="133"/>
      <c r="M21" s="133" t="s">
        <v>585</v>
      </c>
      <c r="N21" s="134"/>
    </row>
    <row r="22" customFormat="false" ht="15" hidden="false" customHeight="false" outlineLevel="0" collapsed="false">
      <c r="A22" s="133" t="s">
        <v>748</v>
      </c>
      <c r="B22" s="133" t="s">
        <v>281</v>
      </c>
      <c r="C22" s="133" t="s">
        <v>282</v>
      </c>
      <c r="D22" s="133" t="s">
        <v>285</v>
      </c>
      <c r="E22" s="133" t="s">
        <v>707</v>
      </c>
      <c r="F22" s="133" t="s">
        <v>708</v>
      </c>
      <c r="G22" s="134" t="n">
        <v>46228</v>
      </c>
      <c r="H22" s="135" t="n">
        <v>66622.5</v>
      </c>
      <c r="I22" s="133"/>
      <c r="J22" s="133"/>
      <c r="K22" s="133" t="s">
        <v>749</v>
      </c>
      <c r="L22" s="133"/>
      <c r="M22" s="133" t="s">
        <v>585</v>
      </c>
      <c r="N22" s="134"/>
    </row>
    <row r="23" customFormat="false" ht="15" hidden="false" customHeight="false" outlineLevel="0" collapsed="false">
      <c r="A23" s="133" t="s">
        <v>750</v>
      </c>
      <c r="B23" s="133" t="s">
        <v>281</v>
      </c>
      <c r="C23" s="133" t="s">
        <v>282</v>
      </c>
      <c r="D23" s="133" t="s">
        <v>285</v>
      </c>
      <c r="E23" s="133" t="s">
        <v>707</v>
      </c>
      <c r="F23" s="133" t="s">
        <v>711</v>
      </c>
      <c r="G23" s="134" t="n">
        <v>46253</v>
      </c>
      <c r="H23" s="135" t="n">
        <v>155452.5</v>
      </c>
      <c r="I23" s="133"/>
      <c r="J23" s="133"/>
      <c r="K23" s="133" t="s">
        <v>751</v>
      </c>
      <c r="L23" s="133"/>
      <c r="M23" s="133" t="s">
        <v>585</v>
      </c>
      <c r="N23" s="134"/>
    </row>
    <row r="24" customFormat="false" ht="15" hidden="false" customHeight="false" outlineLevel="0" collapsed="false">
      <c r="A24" s="133" t="s">
        <v>752</v>
      </c>
      <c r="B24" s="133" t="s">
        <v>287</v>
      </c>
      <c r="C24" s="133" t="s">
        <v>290</v>
      </c>
      <c r="D24" s="133" t="s">
        <v>295</v>
      </c>
      <c r="E24" s="133" t="s">
        <v>707</v>
      </c>
      <c r="F24" s="133" t="s">
        <v>720</v>
      </c>
      <c r="G24" s="134" t="n">
        <v>46285</v>
      </c>
      <c r="H24" s="135" t="n">
        <v>40248</v>
      </c>
      <c r="I24" s="133"/>
      <c r="J24" s="133"/>
      <c r="K24" s="133" t="s">
        <v>753</v>
      </c>
      <c r="L24" s="133"/>
      <c r="M24" s="133" t="s">
        <v>585</v>
      </c>
      <c r="N24" s="134"/>
    </row>
    <row r="25" customFormat="false" ht="15" hidden="false" customHeight="false" outlineLevel="0" collapsed="false">
      <c r="A25" s="133" t="s">
        <v>754</v>
      </c>
      <c r="B25" s="133" t="s">
        <v>287</v>
      </c>
      <c r="C25" s="133" t="s">
        <v>290</v>
      </c>
      <c r="D25" s="133" t="s">
        <v>295</v>
      </c>
      <c r="E25" s="133" t="s">
        <v>723</v>
      </c>
      <c r="F25" s="133" t="s">
        <v>711</v>
      </c>
      <c r="G25" s="134" t="n">
        <v>46285</v>
      </c>
      <c r="H25" s="135" t="n">
        <v>40248</v>
      </c>
      <c r="I25" s="133"/>
      <c r="J25" s="133"/>
      <c r="K25" s="133"/>
      <c r="L25" s="133" t="s">
        <v>724</v>
      </c>
      <c r="M25" s="133" t="s">
        <v>585</v>
      </c>
      <c r="N25" s="134"/>
    </row>
    <row r="26" customFormat="false" ht="15" hidden="false" customHeight="false" outlineLevel="0" collapsed="false">
      <c r="A26" s="133" t="s">
        <v>755</v>
      </c>
      <c r="B26" s="133" t="s">
        <v>297</v>
      </c>
      <c r="C26" s="133" t="s">
        <v>300</v>
      </c>
      <c r="D26" s="133" t="s">
        <v>304</v>
      </c>
      <c r="E26" s="133" t="s">
        <v>707</v>
      </c>
      <c r="F26" s="133" t="s">
        <v>720</v>
      </c>
      <c r="G26" s="134" t="n">
        <v>46274</v>
      </c>
      <c r="H26" s="135" t="n">
        <v>107392.5</v>
      </c>
      <c r="I26" s="133"/>
      <c r="J26" s="133"/>
      <c r="K26" s="133" t="s">
        <v>756</v>
      </c>
      <c r="L26" s="133"/>
      <c r="M26" s="133" t="s">
        <v>585</v>
      </c>
      <c r="N26" s="134"/>
    </row>
    <row r="27" customFormat="false" ht="15" hidden="false" customHeight="false" outlineLevel="0" collapsed="false">
      <c r="A27" s="133" t="s">
        <v>757</v>
      </c>
      <c r="B27" s="133" t="s">
        <v>297</v>
      </c>
      <c r="C27" s="133" t="s">
        <v>300</v>
      </c>
      <c r="D27" s="133" t="s">
        <v>304</v>
      </c>
      <c r="E27" s="133" t="s">
        <v>723</v>
      </c>
      <c r="F27" s="133" t="s">
        <v>711</v>
      </c>
      <c r="G27" s="134" t="n">
        <v>46274</v>
      </c>
      <c r="H27" s="135" t="n">
        <v>107392.5</v>
      </c>
      <c r="I27" s="133"/>
      <c r="J27" s="133"/>
      <c r="K27" s="133"/>
      <c r="L27" s="133" t="s">
        <v>724</v>
      </c>
      <c r="M27" s="133" t="s">
        <v>585</v>
      </c>
      <c r="N27" s="134"/>
    </row>
    <row r="28" customFormat="false" ht="15" hidden="false" customHeight="false" outlineLevel="0" collapsed="false">
      <c r="A28" s="133" t="s">
        <v>758</v>
      </c>
      <c r="B28" s="133" t="s">
        <v>306</v>
      </c>
      <c r="C28" s="133" t="s">
        <v>307</v>
      </c>
      <c r="D28" s="133" t="s">
        <v>313</v>
      </c>
      <c r="E28" s="133" t="s">
        <v>707</v>
      </c>
      <c r="F28" s="133" t="s">
        <v>708</v>
      </c>
      <c r="G28" s="134" t="n">
        <v>46243</v>
      </c>
      <c r="H28" s="135" t="n">
        <v>2779880.68</v>
      </c>
      <c r="I28" s="133"/>
      <c r="J28" s="133"/>
      <c r="K28" s="133" t="s">
        <v>759</v>
      </c>
      <c r="L28" s="133"/>
      <c r="M28" s="133" t="s">
        <v>585</v>
      </c>
      <c r="N28" s="134"/>
    </row>
    <row r="29" customFormat="false" ht="15" hidden="false" customHeight="false" outlineLevel="0" collapsed="false">
      <c r="A29" s="133" t="s">
        <v>760</v>
      </c>
      <c r="B29" s="133" t="s">
        <v>306</v>
      </c>
      <c r="C29" s="133" t="s">
        <v>307</v>
      </c>
      <c r="D29" s="133" t="s">
        <v>313</v>
      </c>
      <c r="E29" s="133" t="s">
        <v>723</v>
      </c>
      <c r="F29" s="133" t="s">
        <v>711</v>
      </c>
      <c r="G29" s="134" t="n">
        <v>46327</v>
      </c>
      <c r="H29" s="135" t="n">
        <v>2779880.68</v>
      </c>
      <c r="I29" s="133"/>
      <c r="J29" s="133"/>
      <c r="K29" s="133"/>
      <c r="L29" s="133" t="s">
        <v>724</v>
      </c>
      <c r="M29" s="133" t="s">
        <v>585</v>
      </c>
      <c r="N29" s="134"/>
    </row>
    <row r="30" customFormat="false" ht="15" hidden="false" customHeight="false" outlineLevel="0" collapsed="false">
      <c r="A30" s="133" t="s">
        <v>761</v>
      </c>
      <c r="B30" s="133" t="s">
        <v>316</v>
      </c>
      <c r="C30" s="133" t="s">
        <v>317</v>
      </c>
      <c r="D30" s="133" t="s">
        <v>320</v>
      </c>
      <c r="E30" s="133" t="s">
        <v>707</v>
      </c>
      <c r="F30" s="133" t="s">
        <v>708</v>
      </c>
      <c r="G30" s="134" t="n">
        <v>46245</v>
      </c>
      <c r="H30" s="135" t="n">
        <v>786511.45</v>
      </c>
      <c r="I30" s="133"/>
      <c r="J30" s="133"/>
      <c r="K30" s="133" t="s">
        <v>762</v>
      </c>
      <c r="L30" s="133"/>
      <c r="M30" s="133" t="s">
        <v>585</v>
      </c>
      <c r="N30" s="134"/>
    </row>
    <row r="31" customFormat="false" ht="15" hidden="false" customHeight="false" outlineLevel="0" collapsed="false">
      <c r="A31" s="133" t="s">
        <v>763</v>
      </c>
      <c r="B31" s="133" t="s">
        <v>316</v>
      </c>
      <c r="C31" s="133" t="s">
        <v>317</v>
      </c>
      <c r="D31" s="133" t="s">
        <v>320</v>
      </c>
      <c r="E31" s="133" t="s">
        <v>723</v>
      </c>
      <c r="F31" s="133" t="s">
        <v>711</v>
      </c>
      <c r="G31" s="134" t="n">
        <v>46325</v>
      </c>
      <c r="H31" s="135" t="n">
        <v>786511.46</v>
      </c>
      <c r="I31" s="133"/>
      <c r="J31" s="133"/>
      <c r="K31" s="133"/>
      <c r="L31" s="133" t="s">
        <v>724</v>
      </c>
      <c r="M31" s="133" t="s">
        <v>585</v>
      </c>
      <c r="N31" s="134"/>
    </row>
    <row r="32" customFormat="false" ht="15" hidden="false" customHeight="false" outlineLevel="0" collapsed="false">
      <c r="A32" s="133" t="s">
        <v>764</v>
      </c>
      <c r="B32" s="133" t="s">
        <v>321</v>
      </c>
      <c r="C32" s="133" t="s">
        <v>322</v>
      </c>
      <c r="D32" s="133" t="s">
        <v>325</v>
      </c>
      <c r="E32" s="133" t="s">
        <v>707</v>
      </c>
      <c r="F32" s="133" t="s">
        <v>708</v>
      </c>
      <c r="G32" s="134" t="n">
        <v>46251</v>
      </c>
      <c r="H32" s="135" t="n">
        <v>1525964.23</v>
      </c>
      <c r="I32" s="133"/>
      <c r="J32" s="133"/>
      <c r="K32" s="133" t="s">
        <v>765</v>
      </c>
      <c r="L32" s="133"/>
      <c r="M32" s="133" t="s">
        <v>585</v>
      </c>
      <c r="N32" s="134"/>
    </row>
    <row r="33" customFormat="false" ht="15" hidden="false" customHeight="false" outlineLevel="0" collapsed="false">
      <c r="A33" s="133" t="s">
        <v>766</v>
      </c>
      <c r="B33" s="133" t="s">
        <v>321</v>
      </c>
      <c r="C33" s="133" t="s">
        <v>322</v>
      </c>
      <c r="D33" s="133" t="s">
        <v>325</v>
      </c>
      <c r="E33" s="133" t="s">
        <v>723</v>
      </c>
      <c r="F33" s="133" t="s">
        <v>711</v>
      </c>
      <c r="G33" s="134" t="n">
        <v>46326</v>
      </c>
      <c r="H33" s="135" t="n">
        <v>1525964.22</v>
      </c>
      <c r="I33" s="133"/>
      <c r="J33" s="133"/>
      <c r="K33" s="133"/>
      <c r="L33" s="133" t="s">
        <v>724</v>
      </c>
      <c r="M33" s="133" t="s">
        <v>585</v>
      </c>
      <c r="N33" s="134"/>
    </row>
    <row r="34" customFormat="false" ht="15" hidden="false" customHeight="false" outlineLevel="0" collapsed="false">
      <c r="A34" s="133" t="s">
        <v>767</v>
      </c>
      <c r="B34" s="133" t="s">
        <v>326</v>
      </c>
      <c r="C34" s="133" t="s">
        <v>327</v>
      </c>
      <c r="D34" s="133" t="s">
        <v>330</v>
      </c>
      <c r="E34" s="133" t="s">
        <v>707</v>
      </c>
      <c r="F34" s="133" t="s">
        <v>708</v>
      </c>
      <c r="G34" s="134" t="n">
        <v>46248</v>
      </c>
      <c r="H34" s="135" t="n">
        <v>803756.54</v>
      </c>
      <c r="I34" s="133"/>
      <c r="J34" s="133"/>
      <c r="K34" s="133" t="s">
        <v>768</v>
      </c>
      <c r="L34" s="133"/>
      <c r="M34" s="133" t="s">
        <v>585</v>
      </c>
      <c r="N34" s="134"/>
    </row>
    <row r="35" customFormat="false" ht="15" hidden="false" customHeight="false" outlineLevel="0" collapsed="false">
      <c r="A35" s="133" t="s">
        <v>769</v>
      </c>
      <c r="B35" s="133" t="s">
        <v>326</v>
      </c>
      <c r="C35" s="133" t="s">
        <v>327</v>
      </c>
      <c r="D35" s="133" t="s">
        <v>330</v>
      </c>
      <c r="E35" s="133" t="s">
        <v>707</v>
      </c>
      <c r="F35" s="133" t="s">
        <v>711</v>
      </c>
      <c r="G35" s="134" t="n">
        <v>46291</v>
      </c>
      <c r="H35" s="135" t="n">
        <v>803756.54</v>
      </c>
      <c r="I35" s="133"/>
      <c r="J35" s="133"/>
      <c r="K35" s="133" t="s">
        <v>770</v>
      </c>
      <c r="L35" s="133"/>
      <c r="M35" s="133" t="s">
        <v>585</v>
      </c>
      <c r="N35" s="134"/>
    </row>
    <row r="36" customFormat="false" ht="15" hidden="false" customHeight="false" outlineLevel="0" collapsed="false">
      <c r="A36" s="133" t="s">
        <v>771</v>
      </c>
      <c r="B36" s="133" t="s">
        <v>331</v>
      </c>
      <c r="C36" s="133" t="s">
        <v>334</v>
      </c>
      <c r="D36" s="133" t="s">
        <v>339</v>
      </c>
      <c r="E36" s="133" t="s">
        <v>707</v>
      </c>
      <c r="F36" s="133" t="s">
        <v>708</v>
      </c>
      <c r="G36" s="134" t="n">
        <v>46253</v>
      </c>
      <c r="H36" s="135" t="n">
        <v>380910.08</v>
      </c>
      <c r="I36" s="133"/>
      <c r="J36" s="133"/>
      <c r="K36" s="133" t="s">
        <v>772</v>
      </c>
      <c r="L36" s="133"/>
      <c r="M36" s="133" t="s">
        <v>585</v>
      </c>
      <c r="N36" s="134"/>
    </row>
    <row r="37" customFormat="false" ht="15" hidden="false" customHeight="false" outlineLevel="0" collapsed="false">
      <c r="A37" s="133" t="s">
        <v>773</v>
      </c>
      <c r="B37" s="133" t="s">
        <v>331</v>
      </c>
      <c r="C37" s="133" t="s">
        <v>334</v>
      </c>
      <c r="D37" s="133" t="s">
        <v>339</v>
      </c>
      <c r="E37" s="133" t="s">
        <v>723</v>
      </c>
      <c r="F37" s="133" t="s">
        <v>711</v>
      </c>
      <c r="G37" s="134" t="n">
        <v>46291</v>
      </c>
      <c r="H37" s="135" t="n">
        <v>380910.07</v>
      </c>
      <c r="I37" s="133"/>
      <c r="J37" s="133"/>
      <c r="K37" s="133"/>
      <c r="L37" s="133" t="s">
        <v>724</v>
      </c>
      <c r="M37" s="133" t="s">
        <v>585</v>
      </c>
      <c r="N37" s="134"/>
    </row>
    <row r="38" customFormat="false" ht="15" hidden="false" customHeight="false" outlineLevel="0" collapsed="false">
      <c r="A38" s="133" t="s">
        <v>774</v>
      </c>
      <c r="B38" s="133" t="s">
        <v>340</v>
      </c>
      <c r="C38" s="133" t="s">
        <v>176</v>
      </c>
      <c r="D38" s="133" t="s">
        <v>342</v>
      </c>
      <c r="E38" s="133" t="s">
        <v>707</v>
      </c>
      <c r="F38" s="133" t="s">
        <v>708</v>
      </c>
      <c r="G38" s="134" t="n">
        <v>46253</v>
      </c>
      <c r="H38" s="135" t="n">
        <v>348937.78</v>
      </c>
      <c r="I38" s="133"/>
      <c r="J38" s="133"/>
      <c r="K38" s="133" t="s">
        <v>775</v>
      </c>
      <c r="L38" s="133"/>
      <c r="M38" s="133" t="s">
        <v>585</v>
      </c>
      <c r="N38" s="134"/>
    </row>
    <row r="39" customFormat="false" ht="15" hidden="false" customHeight="false" outlineLevel="0" collapsed="false">
      <c r="A39" s="133" t="s">
        <v>776</v>
      </c>
      <c r="B39" s="133" t="s">
        <v>340</v>
      </c>
      <c r="C39" s="133" t="s">
        <v>176</v>
      </c>
      <c r="D39" s="133" t="s">
        <v>342</v>
      </c>
      <c r="E39" s="133" t="s">
        <v>723</v>
      </c>
      <c r="F39" s="133" t="s">
        <v>711</v>
      </c>
      <c r="G39" s="134" t="n">
        <v>46288</v>
      </c>
      <c r="H39" s="135" t="n">
        <v>814188.17</v>
      </c>
      <c r="I39" s="133"/>
      <c r="J39" s="133"/>
      <c r="K39" s="133"/>
      <c r="L39" s="133" t="s">
        <v>724</v>
      </c>
      <c r="M39" s="133" t="s">
        <v>585</v>
      </c>
      <c r="N39" s="134"/>
    </row>
    <row r="40" customFormat="false" ht="15" hidden="false" customHeight="false" outlineLevel="0" collapsed="false">
      <c r="A40" s="133" t="s">
        <v>777</v>
      </c>
      <c r="B40" s="133" t="s">
        <v>343</v>
      </c>
      <c r="C40" s="133" t="s">
        <v>300</v>
      </c>
      <c r="D40" s="133" t="s">
        <v>345</v>
      </c>
      <c r="E40" s="133" t="s">
        <v>707</v>
      </c>
      <c r="F40" s="133" t="s">
        <v>711</v>
      </c>
      <c r="G40" s="134" t="n">
        <v>46302</v>
      </c>
      <c r="H40" s="135" t="n">
        <v>196295</v>
      </c>
      <c r="I40" s="133"/>
      <c r="J40" s="133"/>
      <c r="K40" s="133" t="s">
        <v>778</v>
      </c>
      <c r="L40" s="133"/>
      <c r="M40" s="133" t="s">
        <v>585</v>
      </c>
      <c r="N40" s="134"/>
    </row>
    <row r="41" customFormat="false" ht="15" hidden="false" customHeight="false" outlineLevel="0" collapsed="false">
      <c r="A41" s="133" t="s">
        <v>779</v>
      </c>
      <c r="B41" s="133" t="s">
        <v>346</v>
      </c>
      <c r="C41" s="133" t="s">
        <v>253</v>
      </c>
      <c r="D41" s="133" t="s">
        <v>348</v>
      </c>
      <c r="E41" s="133" t="s">
        <v>707</v>
      </c>
      <c r="F41" s="133" t="s">
        <v>708</v>
      </c>
      <c r="G41" s="134" t="n">
        <v>46257</v>
      </c>
      <c r="H41" s="135" t="n">
        <v>222223.05</v>
      </c>
      <c r="I41" s="133"/>
      <c r="J41" s="133"/>
      <c r="K41" s="133" t="s">
        <v>780</v>
      </c>
      <c r="L41" s="133"/>
      <c r="M41" s="133" t="s">
        <v>585</v>
      </c>
      <c r="N41" s="134"/>
    </row>
    <row r="42" customFormat="false" ht="15" hidden="false" customHeight="false" outlineLevel="0" collapsed="false">
      <c r="A42" s="133" t="s">
        <v>781</v>
      </c>
      <c r="B42" s="133" t="s">
        <v>350</v>
      </c>
      <c r="C42" s="133" t="s">
        <v>290</v>
      </c>
      <c r="D42" s="133" t="s">
        <v>352</v>
      </c>
      <c r="E42" s="133" t="s">
        <v>707</v>
      </c>
      <c r="F42" s="133" t="s">
        <v>708</v>
      </c>
      <c r="G42" s="134" t="n">
        <v>46258</v>
      </c>
      <c r="H42" s="135" t="n">
        <v>49680.48</v>
      </c>
      <c r="I42" s="133"/>
      <c r="J42" s="133"/>
      <c r="K42" s="133" t="s">
        <v>782</v>
      </c>
      <c r="L42" s="133"/>
      <c r="M42" s="133" t="s">
        <v>585</v>
      </c>
      <c r="N42" s="134"/>
    </row>
    <row r="43" customFormat="false" ht="15" hidden="false" customHeight="false" outlineLevel="0" collapsed="false">
      <c r="A43" s="133" t="s">
        <v>783</v>
      </c>
      <c r="B43" s="133" t="s">
        <v>350</v>
      </c>
      <c r="C43" s="133" t="s">
        <v>290</v>
      </c>
      <c r="D43" s="133" t="s">
        <v>352</v>
      </c>
      <c r="E43" s="133" t="s">
        <v>707</v>
      </c>
      <c r="F43" s="133" t="s">
        <v>711</v>
      </c>
      <c r="G43" s="134" t="n">
        <v>46292</v>
      </c>
      <c r="H43" s="135" t="n">
        <v>115921.12</v>
      </c>
      <c r="I43" s="133"/>
      <c r="J43" s="133"/>
      <c r="K43" s="133" t="s">
        <v>784</v>
      </c>
      <c r="L43" s="133"/>
      <c r="M43" s="133" t="s">
        <v>585</v>
      </c>
      <c r="N43" s="134"/>
    </row>
    <row r="44" customFormat="false" ht="15" hidden="false" customHeight="false" outlineLevel="0" collapsed="false">
      <c r="A44" s="133" t="s">
        <v>785</v>
      </c>
      <c r="B44" s="133" t="s">
        <v>355</v>
      </c>
      <c r="C44" s="133" t="s">
        <v>184</v>
      </c>
      <c r="D44" s="133" t="s">
        <v>357</v>
      </c>
      <c r="E44" s="133" t="s">
        <v>707</v>
      </c>
      <c r="F44" s="133" t="s">
        <v>711</v>
      </c>
      <c r="G44" s="134" t="n">
        <v>46301</v>
      </c>
      <c r="H44" s="135" t="n">
        <v>2217862.4</v>
      </c>
      <c r="I44" s="133"/>
      <c r="J44" s="133"/>
      <c r="K44" s="133" t="s">
        <v>786</v>
      </c>
      <c r="L44" s="133"/>
      <c r="M44" s="133" t="s">
        <v>585</v>
      </c>
      <c r="N44" s="134"/>
    </row>
    <row r="45" customFormat="false" ht="15" hidden="false" customHeight="false" outlineLevel="0" collapsed="false">
      <c r="A45" s="133" t="s">
        <v>787</v>
      </c>
      <c r="B45" s="133" t="s">
        <v>358</v>
      </c>
      <c r="C45" s="133" t="s">
        <v>300</v>
      </c>
      <c r="D45" s="133" t="s">
        <v>360</v>
      </c>
      <c r="E45" s="133" t="s">
        <v>707</v>
      </c>
      <c r="F45" s="133" t="s">
        <v>708</v>
      </c>
      <c r="G45" s="134" t="n">
        <v>46271</v>
      </c>
      <c r="H45" s="135" t="n">
        <v>62113.5</v>
      </c>
      <c r="I45" s="133"/>
      <c r="J45" s="133"/>
      <c r="K45" s="133" t="s">
        <v>788</v>
      </c>
      <c r="L45" s="133"/>
      <c r="M45" s="133" t="s">
        <v>585</v>
      </c>
      <c r="N45" s="134"/>
    </row>
    <row r="46" customFormat="false" ht="15" hidden="false" customHeight="false" outlineLevel="0" collapsed="false">
      <c r="A46" s="133" t="s">
        <v>789</v>
      </c>
      <c r="B46" s="133" t="s">
        <v>358</v>
      </c>
      <c r="C46" s="133" t="s">
        <v>300</v>
      </c>
      <c r="D46" s="133" t="s">
        <v>360</v>
      </c>
      <c r="E46" s="133" t="s">
        <v>723</v>
      </c>
      <c r="F46" s="133" t="s">
        <v>711</v>
      </c>
      <c r="G46" s="134" t="n">
        <v>46298</v>
      </c>
      <c r="H46" s="135" t="n">
        <v>144931.5</v>
      </c>
      <c r="I46" s="133"/>
      <c r="J46" s="133"/>
      <c r="K46" s="133"/>
      <c r="L46" s="133" t="s">
        <v>724</v>
      </c>
      <c r="M46" s="133" t="s">
        <v>585</v>
      </c>
      <c r="N46" s="134"/>
    </row>
    <row r="47" customFormat="false" ht="15" hidden="false" customHeight="false" outlineLevel="0" collapsed="false">
      <c r="A47" s="133" t="s">
        <v>790</v>
      </c>
      <c r="B47" s="133" t="s">
        <v>361</v>
      </c>
      <c r="C47" s="133" t="s">
        <v>221</v>
      </c>
      <c r="D47" s="133" t="s">
        <v>363</v>
      </c>
      <c r="E47" s="133" t="s">
        <v>723</v>
      </c>
      <c r="F47" s="133" t="s">
        <v>711</v>
      </c>
      <c r="G47" s="134" t="n">
        <v>46315</v>
      </c>
      <c r="H47" s="135" t="n">
        <v>612105</v>
      </c>
      <c r="I47" s="133"/>
      <c r="J47" s="133"/>
      <c r="K47" s="133"/>
      <c r="L47" s="133" t="s">
        <v>724</v>
      </c>
      <c r="M47" s="133" t="s">
        <v>585</v>
      </c>
      <c r="N47" s="134"/>
    </row>
    <row r="48" customFormat="false" ht="15" hidden="false" customHeight="false" outlineLevel="0" collapsed="false">
      <c r="A48" s="133" t="s">
        <v>791</v>
      </c>
      <c r="B48" s="133" t="s">
        <v>365</v>
      </c>
      <c r="C48" s="133" t="s">
        <v>207</v>
      </c>
      <c r="D48" s="133" t="s">
        <v>367</v>
      </c>
      <c r="E48" s="133" t="s">
        <v>723</v>
      </c>
      <c r="F48" s="133" t="s">
        <v>711</v>
      </c>
      <c r="G48" s="134" t="n">
        <v>46322</v>
      </c>
      <c r="H48" s="135" t="n">
        <v>859320</v>
      </c>
      <c r="I48" s="133"/>
      <c r="J48" s="133"/>
      <c r="K48" s="133"/>
      <c r="L48" s="133" t="s">
        <v>724</v>
      </c>
      <c r="M48" s="133" t="s">
        <v>585</v>
      </c>
      <c r="N48" s="134"/>
    </row>
    <row r="49" customFormat="false" ht="15" hidden="false" customHeight="false" outlineLevel="0" collapsed="false">
      <c r="A49" s="133" t="s">
        <v>792</v>
      </c>
      <c r="B49" s="133" t="s">
        <v>369</v>
      </c>
      <c r="C49" s="133" t="s">
        <v>155</v>
      </c>
      <c r="D49" s="133" t="s">
        <v>371</v>
      </c>
      <c r="E49" s="133" t="s">
        <v>707</v>
      </c>
      <c r="F49" s="133" t="s">
        <v>708</v>
      </c>
      <c r="G49" s="134" t="n">
        <v>46282</v>
      </c>
      <c r="H49" s="135" t="n">
        <v>5011272</v>
      </c>
      <c r="I49" s="133"/>
      <c r="J49" s="133"/>
      <c r="K49" s="133" t="s">
        <v>793</v>
      </c>
      <c r="L49" s="133"/>
      <c r="M49" s="133" t="s">
        <v>585</v>
      </c>
      <c r="N49" s="134"/>
    </row>
    <row r="50" customFormat="false" ht="15" hidden="false" customHeight="false" outlineLevel="0" collapsed="false">
      <c r="A50" s="133" t="s">
        <v>794</v>
      </c>
      <c r="B50" s="133" t="s">
        <v>373</v>
      </c>
      <c r="C50" s="133" t="s">
        <v>221</v>
      </c>
      <c r="D50" s="133" t="s">
        <v>375</v>
      </c>
      <c r="E50" s="133" t="s">
        <v>723</v>
      </c>
      <c r="F50" s="133" t="s">
        <v>711</v>
      </c>
      <c r="G50" s="134" t="n">
        <v>46314</v>
      </c>
      <c r="H50" s="135" t="n">
        <v>563730</v>
      </c>
      <c r="I50" s="133"/>
      <c r="J50" s="133"/>
      <c r="K50" s="133"/>
      <c r="L50" s="133" t="s">
        <v>724</v>
      </c>
      <c r="M50" s="133" t="s">
        <v>585</v>
      </c>
      <c r="N50" s="134"/>
    </row>
    <row r="51" customFormat="false" ht="15" hidden="false" customHeight="false" outlineLevel="0" collapsed="false">
      <c r="A51" s="133" t="s">
        <v>795</v>
      </c>
      <c r="B51" s="133" t="s">
        <v>376</v>
      </c>
      <c r="C51" s="133" t="s">
        <v>207</v>
      </c>
      <c r="D51" s="133" t="s">
        <v>378</v>
      </c>
      <c r="E51" s="133" t="s">
        <v>707</v>
      </c>
      <c r="F51" s="133" t="s">
        <v>708</v>
      </c>
      <c r="G51" s="134" t="n">
        <v>46284</v>
      </c>
      <c r="H51" s="135" t="n">
        <v>616875</v>
      </c>
      <c r="I51" s="133"/>
      <c r="J51" s="133"/>
      <c r="K51" s="133" t="s">
        <v>796</v>
      </c>
      <c r="L51" s="133"/>
      <c r="M51" s="133" t="s">
        <v>585</v>
      </c>
      <c r="N51" s="134"/>
    </row>
    <row r="52" customFormat="false" ht="15" hidden="false" customHeight="false" outlineLevel="0" collapsed="false">
      <c r="A52" s="133" t="s">
        <v>797</v>
      </c>
      <c r="B52" s="133" t="s">
        <v>380</v>
      </c>
      <c r="C52" s="133" t="s">
        <v>253</v>
      </c>
      <c r="D52" s="133" t="s">
        <v>382</v>
      </c>
      <c r="E52" s="133" t="s">
        <v>707</v>
      </c>
      <c r="F52" s="133" t="s">
        <v>708</v>
      </c>
      <c r="G52" s="134" t="n">
        <v>46289</v>
      </c>
      <c r="H52" s="135" t="n">
        <v>82832.4</v>
      </c>
      <c r="I52" s="133"/>
      <c r="J52" s="133"/>
      <c r="K52" s="133" t="s">
        <v>798</v>
      </c>
      <c r="L52" s="133"/>
      <c r="M52" s="133" t="s">
        <v>585</v>
      </c>
      <c r="N52" s="134"/>
    </row>
    <row r="53" customFormat="false" ht="15" hidden="false" customHeight="false" outlineLevel="0" collapsed="false">
      <c r="A53" s="133" t="s">
        <v>799</v>
      </c>
      <c r="B53" s="133" t="s">
        <v>380</v>
      </c>
      <c r="C53" s="133" t="s">
        <v>253</v>
      </c>
      <c r="D53" s="133" t="s">
        <v>382</v>
      </c>
      <c r="E53" s="133" t="s">
        <v>723</v>
      </c>
      <c r="F53" s="133" t="s">
        <v>711</v>
      </c>
      <c r="G53" s="134" t="n">
        <v>46316</v>
      </c>
      <c r="H53" s="135" t="n">
        <v>193275.6</v>
      </c>
      <c r="I53" s="133"/>
      <c r="J53" s="133"/>
      <c r="K53" s="133"/>
      <c r="L53" s="133" t="s">
        <v>724</v>
      </c>
      <c r="M53" s="133" t="s">
        <v>585</v>
      </c>
      <c r="N53" s="134"/>
    </row>
    <row r="54" customFormat="false" ht="15" hidden="false" customHeight="false" outlineLevel="0" collapsed="false">
      <c r="A54" s="133" t="s">
        <v>800</v>
      </c>
      <c r="B54" s="133" t="s">
        <v>384</v>
      </c>
      <c r="C54" s="133" t="s">
        <v>213</v>
      </c>
      <c r="D54" s="133" t="s">
        <v>386</v>
      </c>
      <c r="E54" s="133" t="s">
        <v>723</v>
      </c>
      <c r="F54" s="133" t="s">
        <v>711</v>
      </c>
      <c r="G54" s="134" t="n">
        <v>46331</v>
      </c>
      <c r="H54" s="135" t="n">
        <v>804756.2</v>
      </c>
      <c r="I54" s="133"/>
      <c r="J54" s="133"/>
      <c r="K54" s="133"/>
      <c r="L54" s="133" t="s">
        <v>724</v>
      </c>
      <c r="M54" s="133" t="s">
        <v>585</v>
      </c>
      <c r="N54" s="134"/>
    </row>
    <row r="55" customFormat="false" ht="15" hidden="false" customHeight="false" outlineLevel="0" collapsed="false">
      <c r="A55" s="133" t="s">
        <v>801</v>
      </c>
      <c r="B55" s="133" t="s">
        <v>387</v>
      </c>
      <c r="C55" s="133" t="s">
        <v>258</v>
      </c>
      <c r="D55" s="133" t="s">
        <v>389</v>
      </c>
      <c r="E55" s="133" t="s">
        <v>707</v>
      </c>
      <c r="F55" s="133" t="s">
        <v>708</v>
      </c>
      <c r="G55" s="134" t="n">
        <v>46292</v>
      </c>
      <c r="H55" s="135" t="n">
        <v>562800</v>
      </c>
      <c r="I55" s="133"/>
      <c r="J55" s="133"/>
      <c r="K55" s="133" t="s">
        <v>802</v>
      </c>
      <c r="L55" s="133"/>
      <c r="M55" s="133" t="s">
        <v>585</v>
      </c>
      <c r="N55" s="134"/>
    </row>
    <row r="56" customFormat="false" ht="15" hidden="false" customHeight="false" outlineLevel="0" collapsed="false">
      <c r="A56" s="133" t="s">
        <v>803</v>
      </c>
      <c r="B56" s="133" t="s">
        <v>393</v>
      </c>
      <c r="C56" s="133" t="s">
        <v>265</v>
      </c>
      <c r="D56" s="133" t="s">
        <v>395</v>
      </c>
      <c r="E56" s="133" t="s">
        <v>723</v>
      </c>
      <c r="F56" s="133" t="s">
        <v>711</v>
      </c>
      <c r="G56" s="134" t="n">
        <v>46321</v>
      </c>
      <c r="H56" s="135" t="n">
        <v>1651611.6</v>
      </c>
      <c r="I56" s="133"/>
      <c r="J56" s="133"/>
      <c r="K56" s="133"/>
      <c r="L56" s="133" t="s">
        <v>724</v>
      </c>
      <c r="M56" s="133" t="s">
        <v>585</v>
      </c>
      <c r="N56" s="134"/>
    </row>
    <row r="57" customFormat="false" ht="15" hidden="false" customHeight="false" outlineLevel="0" collapsed="false">
      <c r="A57" s="133" t="s">
        <v>804</v>
      </c>
      <c r="B57" s="133" t="s">
        <v>398</v>
      </c>
      <c r="C57" s="133" t="s">
        <v>155</v>
      </c>
      <c r="D57" s="133" t="s">
        <v>400</v>
      </c>
      <c r="E57" s="133" t="s">
        <v>707</v>
      </c>
      <c r="F57" s="133" t="s">
        <v>708</v>
      </c>
      <c r="G57" s="134" t="n">
        <v>46304</v>
      </c>
      <c r="H57" s="135" t="n">
        <v>1572363.45</v>
      </c>
      <c r="I57" s="133"/>
      <c r="J57" s="133"/>
      <c r="K57" s="133" t="s">
        <v>805</v>
      </c>
      <c r="L57" s="133"/>
      <c r="M57" s="133" t="s">
        <v>585</v>
      </c>
      <c r="N57" s="134"/>
    </row>
    <row r="58" customFormat="false" ht="15" hidden="false" customHeight="false" outlineLevel="0" collapsed="false">
      <c r="A58" s="133" t="s">
        <v>806</v>
      </c>
      <c r="B58" s="133" t="s">
        <v>398</v>
      </c>
      <c r="C58" s="133" t="s">
        <v>155</v>
      </c>
      <c r="D58" s="133" t="s">
        <v>400</v>
      </c>
      <c r="E58" s="133" t="s">
        <v>723</v>
      </c>
      <c r="F58" s="133" t="s">
        <v>711</v>
      </c>
      <c r="G58" s="134" t="n">
        <v>46338</v>
      </c>
      <c r="H58" s="135" t="n">
        <v>3668848.05</v>
      </c>
      <c r="I58" s="133"/>
      <c r="J58" s="133"/>
      <c r="K58" s="133"/>
      <c r="L58" s="133" t="s">
        <v>724</v>
      </c>
      <c r="M58" s="133" t="s">
        <v>585</v>
      </c>
      <c r="N58" s="134"/>
    </row>
    <row r="59" customFormat="false" ht="15" hidden="false" customHeight="false" outlineLevel="0" collapsed="false">
      <c r="A59" s="133"/>
      <c r="B59" s="133"/>
      <c r="C59" s="133"/>
      <c r="D59" s="133"/>
      <c r="E59" s="133"/>
      <c r="F59" s="133"/>
      <c r="G59" s="134"/>
      <c r="H59" s="135"/>
      <c r="I59" s="133"/>
      <c r="J59" s="133"/>
      <c r="K59" s="133"/>
      <c r="L59" s="133"/>
      <c r="M59" s="133"/>
      <c r="N59" s="134"/>
    </row>
    <row r="60" customFormat="false" ht="15" hidden="false" customHeight="false" outlineLevel="0" collapsed="false">
      <c r="A60" s="133"/>
      <c r="B60" s="133"/>
      <c r="C60" s="133"/>
      <c r="D60" s="133"/>
      <c r="E60" s="133"/>
      <c r="F60" s="133"/>
      <c r="G60" s="134"/>
      <c r="H60" s="135"/>
      <c r="I60" s="133"/>
      <c r="J60" s="133"/>
      <c r="K60" s="133"/>
      <c r="L60" s="133"/>
      <c r="M60" s="133"/>
      <c r="N60" s="134"/>
    </row>
    <row r="61" customFormat="false" ht="15" hidden="false" customHeight="false" outlineLevel="0" collapsed="false">
      <c r="A61" s="133"/>
      <c r="B61" s="133"/>
      <c r="C61" s="133"/>
      <c r="D61" s="133"/>
      <c r="E61" s="133"/>
      <c r="F61" s="133"/>
      <c r="G61" s="134"/>
      <c r="H61" s="135"/>
      <c r="I61" s="133"/>
      <c r="J61" s="133"/>
      <c r="K61" s="133"/>
      <c r="L61" s="133"/>
      <c r="M61" s="133"/>
      <c r="N61" s="134"/>
    </row>
    <row r="62" customFormat="false" ht="15" hidden="false" customHeight="false" outlineLevel="0" collapsed="false">
      <c r="A62" s="133"/>
      <c r="B62" s="133"/>
      <c r="C62" s="133"/>
      <c r="D62" s="133"/>
      <c r="E62" s="133"/>
      <c r="F62" s="133"/>
      <c r="G62" s="134"/>
      <c r="H62" s="135"/>
      <c r="I62" s="133"/>
      <c r="J62" s="133"/>
      <c r="K62" s="133"/>
      <c r="L62" s="133"/>
      <c r="M62" s="133"/>
      <c r="N62" s="134"/>
    </row>
    <row r="63" customFormat="false" ht="15" hidden="false" customHeight="false" outlineLevel="0" collapsed="false">
      <c r="A63" s="133"/>
      <c r="B63" s="133"/>
      <c r="C63" s="133"/>
      <c r="D63" s="133"/>
      <c r="E63" s="133"/>
      <c r="F63" s="133"/>
      <c r="G63" s="134"/>
      <c r="H63" s="135"/>
      <c r="I63" s="133"/>
      <c r="J63" s="133"/>
      <c r="K63" s="133"/>
      <c r="L63" s="133"/>
      <c r="M63" s="133"/>
      <c r="N63" s="134"/>
    </row>
    <row r="64" customFormat="false" ht="15" hidden="false" customHeight="false" outlineLevel="0" collapsed="false">
      <c r="A64" s="133"/>
      <c r="B64" s="133"/>
      <c r="C64" s="133"/>
      <c r="D64" s="133"/>
      <c r="E64" s="133"/>
      <c r="F64" s="133"/>
      <c r="G64" s="134"/>
      <c r="H64" s="135"/>
      <c r="I64" s="133"/>
      <c r="J64" s="133"/>
      <c r="K64" s="133"/>
      <c r="L64" s="133"/>
      <c r="M64" s="133"/>
      <c r="N64" s="134"/>
    </row>
    <row r="65" customFormat="false" ht="15" hidden="false" customHeight="false" outlineLevel="0" collapsed="false">
      <c r="A65" s="133"/>
      <c r="B65" s="133"/>
      <c r="C65" s="133"/>
      <c r="D65" s="133"/>
      <c r="E65" s="133"/>
      <c r="F65" s="133"/>
      <c r="G65" s="134"/>
      <c r="H65" s="135"/>
      <c r="I65" s="133"/>
      <c r="J65" s="133"/>
      <c r="K65" s="133"/>
      <c r="L65" s="133"/>
      <c r="M65" s="133"/>
      <c r="N65" s="134"/>
    </row>
    <row r="66" customFormat="false" ht="15" hidden="false" customHeight="false" outlineLevel="0" collapsed="false">
      <c r="A66" s="133"/>
      <c r="B66" s="133"/>
      <c r="C66" s="133"/>
      <c r="D66" s="133"/>
      <c r="E66" s="133"/>
      <c r="F66" s="133"/>
      <c r="G66" s="134"/>
      <c r="H66" s="135"/>
      <c r="I66" s="133"/>
      <c r="J66" s="133"/>
      <c r="K66" s="133"/>
      <c r="L66" s="133"/>
      <c r="M66" s="133"/>
      <c r="N66" s="134"/>
    </row>
    <row r="67" customFormat="false" ht="15" hidden="false" customHeight="false" outlineLevel="0" collapsed="false">
      <c r="A67" s="133"/>
      <c r="B67" s="133"/>
      <c r="C67" s="133"/>
      <c r="D67" s="133"/>
      <c r="E67" s="133"/>
      <c r="F67" s="133"/>
      <c r="G67" s="134"/>
      <c r="H67" s="135"/>
      <c r="I67" s="133"/>
      <c r="J67" s="133"/>
      <c r="K67" s="133"/>
      <c r="L67" s="133"/>
      <c r="M67" s="133"/>
      <c r="N67" s="134"/>
    </row>
    <row r="68" customFormat="false" ht="15" hidden="false" customHeight="false" outlineLevel="0" collapsed="false">
      <c r="A68" s="133"/>
      <c r="B68" s="133"/>
      <c r="C68" s="133"/>
      <c r="D68" s="133"/>
      <c r="E68" s="133"/>
      <c r="F68" s="133"/>
      <c r="G68" s="134"/>
      <c r="H68" s="135"/>
      <c r="I68" s="133"/>
      <c r="J68" s="133"/>
      <c r="K68" s="133"/>
      <c r="L68" s="133"/>
      <c r="M68" s="133"/>
      <c r="N68" s="134"/>
    </row>
    <row r="69" customFormat="false" ht="15" hidden="false" customHeight="false" outlineLevel="0" collapsed="false">
      <c r="A69" s="133"/>
      <c r="B69" s="133"/>
      <c r="C69" s="133"/>
      <c r="D69" s="133"/>
      <c r="E69" s="133"/>
      <c r="F69" s="133"/>
      <c r="G69" s="134"/>
      <c r="H69" s="135"/>
      <c r="I69" s="133"/>
      <c r="J69" s="133"/>
      <c r="K69" s="133"/>
      <c r="L69" s="133"/>
      <c r="M69" s="133"/>
      <c r="N69" s="134"/>
    </row>
    <row r="70" customFormat="false" ht="15" hidden="false" customHeight="false" outlineLevel="0" collapsed="false">
      <c r="A70" s="133"/>
      <c r="B70" s="133"/>
      <c r="C70" s="133"/>
      <c r="D70" s="133"/>
      <c r="E70" s="133"/>
      <c r="F70" s="133"/>
      <c r="G70" s="134"/>
      <c r="H70" s="135"/>
      <c r="I70" s="133"/>
      <c r="J70" s="133"/>
      <c r="K70" s="133"/>
      <c r="L70" s="133"/>
      <c r="M70" s="133"/>
      <c r="N70" s="134"/>
    </row>
    <row r="71" customFormat="false" ht="15" hidden="false" customHeight="false" outlineLevel="0" collapsed="false">
      <c r="A71" s="133"/>
      <c r="B71" s="133"/>
      <c r="C71" s="133"/>
      <c r="D71" s="133"/>
      <c r="E71" s="133"/>
      <c r="F71" s="133"/>
      <c r="G71" s="134"/>
      <c r="H71" s="135"/>
      <c r="I71" s="133"/>
      <c r="J71" s="133"/>
      <c r="K71" s="133"/>
      <c r="L71" s="133"/>
      <c r="M71" s="133"/>
      <c r="N71" s="134"/>
    </row>
    <row r="72" customFormat="false" ht="15" hidden="false" customHeight="false" outlineLevel="0" collapsed="false">
      <c r="A72" s="133"/>
      <c r="B72" s="133"/>
      <c r="C72" s="133"/>
      <c r="D72" s="133"/>
      <c r="E72" s="133"/>
      <c r="F72" s="133"/>
      <c r="G72" s="134"/>
      <c r="H72" s="135"/>
      <c r="I72" s="133"/>
      <c r="J72" s="133"/>
      <c r="K72" s="133"/>
      <c r="L72" s="133"/>
      <c r="M72" s="133"/>
      <c r="N72" s="134"/>
    </row>
    <row r="73" customFormat="false" ht="15" hidden="false" customHeight="false" outlineLevel="0" collapsed="false">
      <c r="A73" s="133"/>
      <c r="B73" s="133"/>
      <c r="C73" s="133"/>
      <c r="D73" s="133"/>
      <c r="E73" s="133"/>
      <c r="F73" s="133"/>
      <c r="G73" s="134"/>
      <c r="H73" s="135"/>
      <c r="I73" s="133"/>
      <c r="J73" s="133"/>
      <c r="K73" s="133"/>
      <c r="L73" s="133"/>
      <c r="M73" s="133"/>
      <c r="N73" s="134"/>
    </row>
    <row r="74" customFormat="false" ht="15" hidden="false" customHeight="false" outlineLevel="0" collapsed="false">
      <c r="A74" s="133"/>
      <c r="B74" s="133"/>
      <c r="C74" s="133"/>
      <c r="D74" s="133"/>
      <c r="E74" s="133"/>
      <c r="F74" s="133"/>
      <c r="G74" s="134"/>
      <c r="H74" s="135"/>
      <c r="I74" s="133"/>
      <c r="J74" s="133"/>
      <c r="K74" s="133"/>
      <c r="L74" s="133"/>
      <c r="M74" s="133"/>
      <c r="N74" s="134"/>
    </row>
    <row r="75" customFormat="false" ht="15" hidden="false" customHeight="false" outlineLevel="0" collapsed="false">
      <c r="A75" s="133"/>
      <c r="B75" s="133"/>
      <c r="C75" s="133"/>
      <c r="D75" s="133"/>
      <c r="E75" s="133"/>
      <c r="F75" s="133"/>
      <c r="G75" s="134"/>
      <c r="H75" s="135"/>
      <c r="I75" s="133"/>
      <c r="J75" s="133"/>
      <c r="K75" s="133"/>
      <c r="L75" s="133"/>
      <c r="M75" s="133"/>
      <c r="N75" s="134"/>
    </row>
    <row r="76" customFormat="false" ht="15" hidden="false" customHeight="false" outlineLevel="0" collapsed="false">
      <c r="A76" s="133"/>
      <c r="B76" s="133"/>
      <c r="C76" s="133"/>
      <c r="D76" s="133"/>
      <c r="E76" s="133"/>
      <c r="F76" s="133"/>
      <c r="G76" s="134"/>
      <c r="H76" s="135"/>
      <c r="I76" s="133"/>
      <c r="J76" s="133"/>
      <c r="K76" s="133"/>
      <c r="L76" s="133"/>
      <c r="M76" s="133"/>
      <c r="N76" s="134"/>
    </row>
    <row r="77" customFormat="false" ht="15" hidden="false" customHeight="false" outlineLevel="0" collapsed="false">
      <c r="A77" s="133"/>
      <c r="B77" s="133"/>
      <c r="C77" s="133"/>
      <c r="D77" s="133"/>
      <c r="E77" s="133"/>
      <c r="F77" s="133"/>
      <c r="G77" s="134"/>
      <c r="H77" s="135"/>
      <c r="I77" s="133"/>
      <c r="J77" s="133"/>
      <c r="K77" s="133"/>
      <c r="L77" s="133"/>
      <c r="M77" s="133"/>
      <c r="N77" s="134"/>
    </row>
    <row r="78" customFormat="false" ht="15" hidden="false" customHeight="false" outlineLevel="0" collapsed="false">
      <c r="A78" s="133"/>
      <c r="B78" s="133"/>
      <c r="C78" s="133"/>
      <c r="D78" s="133"/>
      <c r="E78" s="133"/>
      <c r="F78" s="133"/>
      <c r="G78" s="134"/>
      <c r="H78" s="135"/>
      <c r="I78" s="133"/>
      <c r="J78" s="133"/>
      <c r="K78" s="133"/>
      <c r="L78" s="133"/>
      <c r="M78" s="133"/>
      <c r="N78" s="134"/>
    </row>
    <row r="79" customFormat="false" ht="15" hidden="false" customHeight="false" outlineLevel="0" collapsed="false">
      <c r="A79" s="133"/>
      <c r="B79" s="133"/>
      <c r="C79" s="133"/>
      <c r="D79" s="133"/>
      <c r="E79" s="133"/>
      <c r="F79" s="133"/>
      <c r="G79" s="134"/>
      <c r="H79" s="135"/>
      <c r="I79" s="133"/>
      <c r="J79" s="133"/>
      <c r="K79" s="133"/>
      <c r="L79" s="133"/>
      <c r="M79" s="133"/>
      <c r="N79" s="134"/>
    </row>
    <row r="80" customFormat="false" ht="15" hidden="false" customHeight="false" outlineLevel="0" collapsed="false">
      <c r="A80" s="133"/>
      <c r="B80" s="133"/>
      <c r="C80" s="133"/>
      <c r="D80" s="133"/>
      <c r="E80" s="133"/>
      <c r="F80" s="133"/>
      <c r="G80" s="134"/>
      <c r="H80" s="135"/>
      <c r="I80" s="133"/>
      <c r="J80" s="133"/>
      <c r="K80" s="133"/>
      <c r="L80" s="133"/>
      <c r="M80" s="133"/>
      <c r="N80" s="134"/>
    </row>
    <row r="81" customFormat="false" ht="15" hidden="false" customHeight="false" outlineLevel="0" collapsed="false">
      <c r="A81" s="133"/>
      <c r="B81" s="133"/>
      <c r="C81" s="133"/>
      <c r="D81" s="133"/>
      <c r="E81" s="133"/>
      <c r="F81" s="133"/>
      <c r="G81" s="134"/>
      <c r="H81" s="135"/>
      <c r="I81" s="133"/>
      <c r="J81" s="133"/>
      <c r="K81" s="133"/>
      <c r="L81" s="133"/>
      <c r="M81" s="133"/>
      <c r="N81" s="134"/>
    </row>
    <row r="82" customFormat="false" ht="15" hidden="false" customHeight="false" outlineLevel="0" collapsed="false">
      <c r="A82" s="133"/>
      <c r="B82" s="133"/>
      <c r="C82" s="133"/>
      <c r="D82" s="133"/>
      <c r="E82" s="133"/>
      <c r="F82" s="133"/>
      <c r="G82" s="134"/>
      <c r="H82" s="135"/>
      <c r="I82" s="133"/>
      <c r="J82" s="133"/>
      <c r="K82" s="133"/>
      <c r="L82" s="133"/>
      <c r="M82" s="133"/>
      <c r="N82" s="134"/>
    </row>
    <row r="83" customFormat="false" ht="15" hidden="false" customHeight="false" outlineLevel="0" collapsed="false">
      <c r="A83" s="133"/>
      <c r="B83" s="133"/>
      <c r="C83" s="133"/>
      <c r="D83" s="133"/>
      <c r="E83" s="133"/>
      <c r="F83" s="133"/>
      <c r="G83" s="134"/>
      <c r="H83" s="135"/>
      <c r="I83" s="133"/>
      <c r="J83" s="133"/>
      <c r="K83" s="133"/>
      <c r="L83" s="133"/>
      <c r="M83" s="133"/>
      <c r="N83" s="134"/>
    </row>
    <row r="84" customFormat="false" ht="15" hidden="false" customHeight="false" outlineLevel="0" collapsed="false">
      <c r="A84" s="133"/>
      <c r="B84" s="133"/>
      <c r="C84" s="133"/>
      <c r="D84" s="133"/>
      <c r="E84" s="133"/>
      <c r="F84" s="133"/>
      <c r="G84" s="134"/>
      <c r="H84" s="135"/>
      <c r="I84" s="133"/>
      <c r="J84" s="133"/>
      <c r="K84" s="133"/>
      <c r="L84" s="133"/>
      <c r="M84" s="133"/>
      <c r="N84" s="134"/>
    </row>
    <row r="85" customFormat="false" ht="15" hidden="false" customHeight="false" outlineLevel="0" collapsed="false">
      <c r="A85" s="133"/>
      <c r="B85" s="133"/>
      <c r="C85" s="133"/>
      <c r="D85" s="133"/>
      <c r="E85" s="133"/>
      <c r="F85" s="133"/>
      <c r="G85" s="134"/>
      <c r="H85" s="135"/>
      <c r="I85" s="133"/>
      <c r="J85" s="133"/>
      <c r="K85" s="133"/>
      <c r="L85" s="133"/>
      <c r="M85" s="133"/>
      <c r="N85" s="134"/>
    </row>
    <row r="86" customFormat="false" ht="15" hidden="false" customHeight="false" outlineLevel="0" collapsed="false">
      <c r="A86" s="133"/>
      <c r="B86" s="133"/>
      <c r="C86" s="133"/>
      <c r="D86" s="133"/>
      <c r="E86" s="133"/>
      <c r="F86" s="133"/>
      <c r="G86" s="134"/>
      <c r="H86" s="135"/>
      <c r="I86" s="133"/>
      <c r="J86" s="133"/>
      <c r="K86" s="133"/>
      <c r="L86" s="133"/>
      <c r="M86" s="133"/>
      <c r="N86" s="134"/>
    </row>
    <row r="87" customFormat="false" ht="15" hidden="false" customHeight="false" outlineLevel="0" collapsed="false">
      <c r="A87" s="133"/>
      <c r="B87" s="133"/>
      <c r="C87" s="133"/>
      <c r="D87" s="133"/>
      <c r="E87" s="133"/>
      <c r="F87" s="133"/>
      <c r="G87" s="134"/>
      <c r="H87" s="135"/>
      <c r="I87" s="133"/>
      <c r="J87" s="133"/>
      <c r="K87" s="133"/>
      <c r="L87" s="133"/>
      <c r="M87" s="133"/>
      <c r="N87" s="134"/>
    </row>
    <row r="88" customFormat="false" ht="15" hidden="false" customHeight="false" outlineLevel="0" collapsed="false">
      <c r="A88" s="133"/>
      <c r="B88" s="133"/>
      <c r="C88" s="133"/>
      <c r="D88" s="133"/>
      <c r="E88" s="133"/>
      <c r="F88" s="133"/>
      <c r="G88" s="134"/>
      <c r="H88" s="135"/>
      <c r="I88" s="133"/>
      <c r="J88" s="133"/>
      <c r="K88" s="133"/>
      <c r="L88" s="133"/>
      <c r="M88" s="133"/>
      <c r="N88" s="134"/>
    </row>
    <row r="89" customFormat="false" ht="15" hidden="false" customHeight="false" outlineLevel="0" collapsed="false">
      <c r="A89" s="133"/>
      <c r="B89" s="133"/>
      <c r="C89" s="133"/>
      <c r="D89" s="133"/>
      <c r="E89" s="133"/>
      <c r="F89" s="133"/>
      <c r="G89" s="134"/>
      <c r="H89" s="135"/>
      <c r="I89" s="133"/>
      <c r="J89" s="133"/>
      <c r="K89" s="133"/>
      <c r="L89" s="133"/>
      <c r="M89" s="133"/>
      <c r="N89" s="134"/>
    </row>
    <row r="90" customFormat="false" ht="15" hidden="false" customHeight="false" outlineLevel="0" collapsed="false">
      <c r="A90" s="133"/>
      <c r="B90" s="133"/>
      <c r="C90" s="133"/>
      <c r="D90" s="133"/>
      <c r="E90" s="133"/>
      <c r="F90" s="133"/>
      <c r="G90" s="134"/>
      <c r="H90" s="135"/>
      <c r="I90" s="133"/>
      <c r="J90" s="133"/>
      <c r="K90" s="133"/>
      <c r="L90" s="133"/>
      <c r="M90" s="133"/>
      <c r="N90" s="134"/>
    </row>
    <row r="91" customFormat="false" ht="15" hidden="false" customHeight="false" outlineLevel="0" collapsed="false">
      <c r="A91" s="133"/>
      <c r="B91" s="133"/>
      <c r="C91" s="133"/>
      <c r="D91" s="133"/>
      <c r="E91" s="133"/>
      <c r="F91" s="133"/>
      <c r="G91" s="134"/>
      <c r="H91" s="135"/>
      <c r="I91" s="133"/>
      <c r="J91" s="133"/>
      <c r="K91" s="133"/>
      <c r="L91" s="133"/>
      <c r="M91" s="133"/>
      <c r="N91" s="134"/>
    </row>
    <row r="92" customFormat="false" ht="15" hidden="false" customHeight="false" outlineLevel="0" collapsed="false">
      <c r="A92" s="133"/>
      <c r="B92" s="133"/>
      <c r="C92" s="133"/>
      <c r="D92" s="133"/>
      <c r="E92" s="133"/>
      <c r="F92" s="133"/>
      <c r="G92" s="134"/>
      <c r="H92" s="135"/>
      <c r="I92" s="133"/>
      <c r="J92" s="133"/>
      <c r="K92" s="133"/>
      <c r="L92" s="133"/>
      <c r="M92" s="133"/>
      <c r="N92" s="134"/>
    </row>
    <row r="93" customFormat="false" ht="15" hidden="false" customHeight="false" outlineLevel="0" collapsed="false">
      <c r="A93" s="133"/>
      <c r="B93" s="133"/>
      <c r="C93" s="133"/>
      <c r="D93" s="133"/>
      <c r="E93" s="133"/>
      <c r="F93" s="133"/>
      <c r="G93" s="134"/>
      <c r="H93" s="135"/>
      <c r="I93" s="133"/>
      <c r="J93" s="133"/>
      <c r="K93" s="133"/>
      <c r="L93" s="133"/>
      <c r="M93" s="133"/>
      <c r="N93" s="134"/>
    </row>
    <row r="94" customFormat="false" ht="15" hidden="false" customHeight="false" outlineLevel="0" collapsed="false">
      <c r="A94" s="133"/>
      <c r="B94" s="133"/>
      <c r="C94" s="133"/>
      <c r="D94" s="133"/>
      <c r="E94" s="133"/>
      <c r="F94" s="133"/>
      <c r="G94" s="134"/>
      <c r="H94" s="135"/>
      <c r="I94" s="133"/>
      <c r="J94" s="133"/>
      <c r="K94" s="133"/>
      <c r="L94" s="133"/>
      <c r="M94" s="133"/>
      <c r="N94" s="134"/>
    </row>
    <row r="95" customFormat="false" ht="15" hidden="false" customHeight="false" outlineLevel="0" collapsed="false">
      <c r="A95" s="133"/>
      <c r="B95" s="133"/>
      <c r="C95" s="133"/>
      <c r="D95" s="133"/>
      <c r="E95" s="133"/>
      <c r="F95" s="133"/>
      <c r="G95" s="134"/>
      <c r="H95" s="135"/>
      <c r="I95" s="133"/>
      <c r="J95" s="133"/>
      <c r="K95" s="133"/>
      <c r="L95" s="133"/>
      <c r="M95" s="133"/>
      <c r="N95" s="134"/>
    </row>
    <row r="96" customFormat="false" ht="15" hidden="false" customHeight="false" outlineLevel="0" collapsed="false">
      <c r="A96" s="133"/>
      <c r="B96" s="133"/>
      <c r="C96" s="133"/>
      <c r="D96" s="133"/>
      <c r="E96" s="133"/>
      <c r="F96" s="133"/>
      <c r="G96" s="134"/>
      <c r="H96" s="135"/>
      <c r="I96" s="133"/>
      <c r="J96" s="133"/>
      <c r="K96" s="133"/>
      <c r="L96" s="133"/>
      <c r="M96" s="133"/>
      <c r="N96" s="134"/>
    </row>
    <row r="97" customFormat="false" ht="15" hidden="false" customHeight="false" outlineLevel="0" collapsed="false">
      <c r="A97" s="133"/>
      <c r="B97" s="133"/>
      <c r="C97" s="133"/>
      <c r="D97" s="133"/>
      <c r="E97" s="133"/>
      <c r="F97" s="133"/>
      <c r="G97" s="134"/>
      <c r="H97" s="135"/>
      <c r="I97" s="133"/>
      <c r="J97" s="133"/>
      <c r="K97" s="133"/>
      <c r="L97" s="133"/>
      <c r="M97" s="133"/>
      <c r="N97" s="134"/>
    </row>
    <row r="98" customFormat="false" ht="15" hidden="false" customHeight="false" outlineLevel="0" collapsed="false">
      <c r="A98" s="133"/>
      <c r="B98" s="133"/>
      <c r="C98" s="133"/>
      <c r="D98" s="133"/>
      <c r="E98" s="133"/>
      <c r="F98" s="133"/>
      <c r="G98" s="134"/>
      <c r="H98" s="135"/>
      <c r="I98" s="133"/>
      <c r="J98" s="133"/>
      <c r="K98" s="133"/>
      <c r="L98" s="133"/>
      <c r="M98" s="133"/>
      <c r="N98" s="134"/>
    </row>
    <row r="99" customFormat="false" ht="15" hidden="false" customHeight="false" outlineLevel="0" collapsed="false">
      <c r="A99" s="133"/>
      <c r="B99" s="133"/>
      <c r="C99" s="133"/>
      <c r="D99" s="133"/>
      <c r="E99" s="133"/>
      <c r="F99" s="133"/>
      <c r="G99" s="134"/>
      <c r="H99" s="135"/>
      <c r="I99" s="133"/>
      <c r="J99" s="133"/>
      <c r="K99" s="133"/>
      <c r="L99" s="133"/>
      <c r="M99" s="133"/>
      <c r="N99" s="134"/>
    </row>
    <row r="100" customFormat="false" ht="15" hidden="false" customHeight="false" outlineLevel="0" collapsed="false">
      <c r="A100" s="133"/>
      <c r="B100" s="133"/>
      <c r="C100" s="133"/>
      <c r="D100" s="133"/>
      <c r="E100" s="133"/>
      <c r="F100" s="133"/>
      <c r="G100" s="134"/>
      <c r="H100" s="135"/>
      <c r="I100" s="133"/>
      <c r="J100" s="133"/>
      <c r="K100" s="133"/>
      <c r="L100" s="133"/>
      <c r="M100" s="133"/>
      <c r="N100" s="134"/>
    </row>
    <row r="101" customFormat="false" ht="15" hidden="false" customHeight="false" outlineLevel="0" collapsed="false">
      <c r="A101" s="133"/>
      <c r="B101" s="133"/>
      <c r="C101" s="133"/>
      <c r="D101" s="133"/>
      <c r="E101" s="133"/>
      <c r="F101" s="133"/>
      <c r="G101" s="134"/>
      <c r="H101" s="135"/>
      <c r="I101" s="133"/>
      <c r="J101" s="133"/>
      <c r="K101" s="133"/>
      <c r="L101" s="133"/>
      <c r="M101" s="133"/>
      <c r="N101" s="134"/>
    </row>
    <row r="102" customFormat="false" ht="15" hidden="false" customHeight="false" outlineLevel="0" collapsed="false">
      <c r="A102" s="133"/>
      <c r="B102" s="133"/>
      <c r="C102" s="133"/>
      <c r="D102" s="133"/>
      <c r="E102" s="133"/>
      <c r="F102" s="133"/>
      <c r="G102" s="134"/>
      <c r="H102" s="135"/>
      <c r="I102" s="133"/>
      <c r="J102" s="133"/>
      <c r="K102" s="133"/>
      <c r="L102" s="133"/>
      <c r="M102" s="133"/>
      <c r="N102" s="134"/>
    </row>
    <row r="103" customFormat="false" ht="15" hidden="false" customHeight="false" outlineLevel="0" collapsed="false">
      <c r="A103" s="133"/>
      <c r="B103" s="133"/>
      <c r="C103" s="133"/>
      <c r="D103" s="133"/>
      <c r="E103" s="133"/>
      <c r="F103" s="133"/>
      <c r="G103" s="134"/>
      <c r="H103" s="135"/>
      <c r="I103" s="133"/>
      <c r="J103" s="133"/>
      <c r="K103" s="133"/>
      <c r="L103" s="133"/>
      <c r="M103" s="133"/>
      <c r="N103" s="134"/>
    </row>
    <row r="104" customFormat="false" ht="15" hidden="false" customHeight="false" outlineLevel="0" collapsed="false">
      <c r="A104" s="133"/>
      <c r="B104" s="133"/>
      <c r="C104" s="133"/>
      <c r="D104" s="133"/>
      <c r="E104" s="133"/>
      <c r="F104" s="133"/>
      <c r="G104" s="134"/>
      <c r="H104" s="135"/>
      <c r="I104" s="133"/>
      <c r="J104" s="133"/>
      <c r="K104" s="133"/>
      <c r="L104" s="133"/>
      <c r="M104" s="133"/>
      <c r="N104" s="134"/>
    </row>
    <row r="105" customFormat="false" ht="15" hidden="false" customHeight="false" outlineLevel="0" collapsed="false">
      <c r="A105" s="133"/>
      <c r="B105" s="133"/>
      <c r="C105" s="133"/>
      <c r="D105" s="133"/>
      <c r="E105" s="133"/>
      <c r="F105" s="133"/>
      <c r="G105" s="134"/>
      <c r="H105" s="135"/>
      <c r="I105" s="133"/>
      <c r="J105" s="133"/>
      <c r="K105" s="133"/>
      <c r="L105" s="133"/>
      <c r="M105" s="133"/>
      <c r="N105" s="134"/>
    </row>
    <row r="106" customFormat="false" ht="15" hidden="false" customHeight="false" outlineLevel="0" collapsed="false">
      <c r="A106" s="133"/>
      <c r="B106" s="133"/>
      <c r="C106" s="133"/>
      <c r="D106" s="133"/>
      <c r="E106" s="133"/>
      <c r="F106" s="133"/>
      <c r="G106" s="134"/>
      <c r="H106" s="135"/>
      <c r="I106" s="133"/>
      <c r="J106" s="133"/>
      <c r="K106" s="133"/>
      <c r="L106" s="133"/>
      <c r="M106" s="133"/>
      <c r="N106" s="134"/>
    </row>
    <row r="107" customFormat="false" ht="15" hidden="false" customHeight="false" outlineLevel="0" collapsed="false">
      <c r="A107" s="133"/>
      <c r="B107" s="133"/>
      <c r="C107" s="133"/>
      <c r="D107" s="133"/>
      <c r="E107" s="133"/>
      <c r="F107" s="133"/>
      <c r="G107" s="134"/>
      <c r="H107" s="135"/>
      <c r="I107" s="133"/>
      <c r="J107" s="133"/>
      <c r="K107" s="133"/>
      <c r="L107" s="133"/>
      <c r="M107" s="133"/>
      <c r="N107" s="134"/>
    </row>
    <row r="108" customFormat="false" ht="15" hidden="false" customHeight="false" outlineLevel="0" collapsed="false">
      <c r="A108" s="133"/>
      <c r="B108" s="133"/>
      <c r="C108" s="133"/>
      <c r="D108" s="133"/>
      <c r="E108" s="133"/>
      <c r="F108" s="133"/>
      <c r="G108" s="134"/>
      <c r="H108" s="135"/>
      <c r="I108" s="133"/>
      <c r="J108" s="133"/>
      <c r="K108" s="133"/>
      <c r="L108" s="133"/>
      <c r="M108" s="133"/>
      <c r="N108" s="134"/>
    </row>
    <row r="109" customFormat="false" ht="15" hidden="false" customHeight="false" outlineLevel="0" collapsed="false">
      <c r="A109" s="133"/>
      <c r="B109" s="133"/>
      <c r="C109" s="133"/>
      <c r="D109" s="133"/>
      <c r="E109" s="133"/>
      <c r="F109" s="133"/>
      <c r="G109" s="134"/>
      <c r="H109" s="135"/>
      <c r="I109" s="133"/>
      <c r="J109" s="133"/>
      <c r="K109" s="133"/>
      <c r="L109" s="133"/>
      <c r="M109" s="133"/>
      <c r="N109" s="134"/>
    </row>
    <row r="110" customFormat="false" ht="15" hidden="false" customHeight="false" outlineLevel="0" collapsed="false">
      <c r="A110" s="133"/>
      <c r="B110" s="133"/>
      <c r="C110" s="133"/>
      <c r="D110" s="133"/>
      <c r="E110" s="133"/>
      <c r="F110" s="133"/>
      <c r="G110" s="134"/>
      <c r="H110" s="135"/>
      <c r="I110" s="133"/>
      <c r="J110" s="133"/>
      <c r="K110" s="133"/>
      <c r="L110" s="133"/>
      <c r="M110" s="133"/>
      <c r="N110" s="134"/>
    </row>
    <row r="111" customFormat="false" ht="15" hidden="false" customHeight="false" outlineLevel="0" collapsed="false">
      <c r="A111" s="133"/>
      <c r="B111" s="133"/>
      <c r="C111" s="133"/>
      <c r="D111" s="133"/>
      <c r="E111" s="133"/>
      <c r="F111" s="133"/>
      <c r="G111" s="134"/>
      <c r="H111" s="135"/>
      <c r="I111" s="133"/>
      <c r="J111" s="133"/>
      <c r="K111" s="133"/>
      <c r="L111" s="133"/>
      <c r="M111" s="133"/>
      <c r="N111" s="134"/>
    </row>
    <row r="112" customFormat="false" ht="15" hidden="false" customHeight="false" outlineLevel="0" collapsed="false">
      <c r="A112" s="133"/>
      <c r="B112" s="133"/>
      <c r="C112" s="133"/>
      <c r="D112" s="133"/>
      <c r="E112" s="133"/>
      <c r="F112" s="133"/>
      <c r="G112" s="134"/>
      <c r="H112" s="135"/>
      <c r="I112" s="133"/>
      <c r="J112" s="133"/>
      <c r="K112" s="133"/>
      <c r="L112" s="133"/>
      <c r="M112" s="133"/>
      <c r="N112" s="134"/>
    </row>
    <row r="113" customFormat="false" ht="15" hidden="false" customHeight="false" outlineLevel="0" collapsed="false">
      <c r="A113" s="133"/>
      <c r="B113" s="133"/>
      <c r="C113" s="133"/>
      <c r="D113" s="133"/>
      <c r="E113" s="133"/>
      <c r="F113" s="133"/>
      <c r="G113" s="134"/>
      <c r="H113" s="135"/>
      <c r="I113" s="133"/>
      <c r="J113" s="133"/>
      <c r="K113" s="133"/>
      <c r="L113" s="133"/>
      <c r="M113" s="133"/>
      <c r="N113" s="134"/>
    </row>
    <row r="114" customFormat="false" ht="15" hidden="false" customHeight="false" outlineLevel="0" collapsed="false">
      <c r="A114" s="133"/>
      <c r="B114" s="133"/>
      <c r="C114" s="133"/>
      <c r="D114" s="133"/>
      <c r="E114" s="133"/>
      <c r="F114" s="133"/>
      <c r="G114" s="134"/>
      <c r="H114" s="135"/>
      <c r="I114" s="133"/>
      <c r="J114" s="133"/>
      <c r="K114" s="133"/>
      <c r="L114" s="133"/>
      <c r="M114" s="133"/>
      <c r="N114" s="134"/>
    </row>
    <row r="115" customFormat="false" ht="15" hidden="false" customHeight="false" outlineLevel="0" collapsed="false">
      <c r="A115" s="133"/>
      <c r="B115" s="133"/>
      <c r="C115" s="133"/>
      <c r="D115" s="133"/>
      <c r="E115" s="133"/>
      <c r="F115" s="133"/>
      <c r="G115" s="134"/>
      <c r="H115" s="135"/>
      <c r="I115" s="133"/>
      <c r="J115" s="133"/>
      <c r="K115" s="133"/>
      <c r="L115" s="133"/>
      <c r="M115" s="133"/>
      <c r="N115" s="134"/>
    </row>
    <row r="116" customFormat="false" ht="15" hidden="false" customHeight="false" outlineLevel="0" collapsed="false">
      <c r="A116" s="133"/>
      <c r="B116" s="133"/>
      <c r="C116" s="133"/>
      <c r="D116" s="133"/>
      <c r="E116" s="133"/>
      <c r="F116" s="133"/>
      <c r="G116" s="134"/>
      <c r="H116" s="135"/>
      <c r="I116" s="133"/>
      <c r="J116" s="133"/>
      <c r="K116" s="133"/>
      <c r="L116" s="133"/>
      <c r="M116" s="133"/>
      <c r="N116" s="134"/>
    </row>
    <row r="117" customFormat="false" ht="15" hidden="false" customHeight="false" outlineLevel="0" collapsed="false">
      <c r="A117" s="133"/>
      <c r="B117" s="133"/>
      <c r="C117" s="133"/>
      <c r="D117" s="133"/>
      <c r="E117" s="133"/>
      <c r="F117" s="133"/>
      <c r="G117" s="134"/>
      <c r="H117" s="135"/>
      <c r="I117" s="133"/>
      <c r="J117" s="133"/>
      <c r="K117" s="133"/>
      <c r="L117" s="133"/>
      <c r="M117" s="133"/>
      <c r="N117" s="134"/>
    </row>
    <row r="118" customFormat="false" ht="15" hidden="false" customHeight="false" outlineLevel="0" collapsed="false">
      <c r="A118" s="133"/>
      <c r="B118" s="133"/>
      <c r="C118" s="133"/>
      <c r="D118" s="133"/>
      <c r="E118" s="133"/>
      <c r="F118" s="133"/>
      <c r="G118" s="134"/>
      <c r="H118" s="135"/>
      <c r="I118" s="133"/>
      <c r="J118" s="133"/>
      <c r="K118" s="133"/>
      <c r="L118" s="133"/>
      <c r="M118" s="133"/>
      <c r="N118" s="134"/>
    </row>
    <row r="119" customFormat="false" ht="15" hidden="false" customHeight="false" outlineLevel="0" collapsed="false">
      <c r="A119" s="133"/>
      <c r="B119" s="133"/>
      <c r="C119" s="133"/>
      <c r="D119" s="133"/>
      <c r="E119" s="133"/>
      <c r="F119" s="133"/>
      <c r="G119" s="134"/>
      <c r="H119" s="135"/>
      <c r="I119" s="133"/>
      <c r="J119" s="133"/>
      <c r="K119" s="133"/>
      <c r="L119" s="133"/>
      <c r="M119" s="133"/>
      <c r="N119" s="134"/>
    </row>
    <row r="120" customFormat="false" ht="15" hidden="false" customHeight="false" outlineLevel="0" collapsed="false">
      <c r="A120" s="133"/>
      <c r="B120" s="133"/>
      <c r="C120" s="133"/>
      <c r="D120" s="133"/>
      <c r="E120" s="133"/>
      <c r="F120" s="133"/>
      <c r="G120" s="134"/>
      <c r="H120" s="135"/>
      <c r="I120" s="133"/>
      <c r="J120" s="133"/>
      <c r="K120" s="133"/>
      <c r="L120" s="133"/>
      <c r="M120" s="133"/>
      <c r="N120" s="134"/>
    </row>
    <row r="121" customFormat="false" ht="15" hidden="false" customHeight="false" outlineLevel="0" collapsed="false">
      <c r="A121" s="133"/>
      <c r="B121" s="133"/>
      <c r="C121" s="133"/>
      <c r="D121" s="133"/>
      <c r="E121" s="133"/>
      <c r="F121" s="133"/>
      <c r="G121" s="134"/>
      <c r="H121" s="135"/>
      <c r="I121" s="133"/>
      <c r="J121" s="133"/>
      <c r="K121" s="133"/>
      <c r="L121" s="133"/>
      <c r="M121" s="133"/>
      <c r="N121" s="134"/>
    </row>
    <row r="122" customFormat="false" ht="15" hidden="false" customHeight="false" outlineLevel="0" collapsed="false">
      <c r="A122" s="133"/>
      <c r="B122" s="133"/>
      <c r="C122" s="133"/>
      <c r="D122" s="133"/>
      <c r="E122" s="133"/>
      <c r="F122" s="133"/>
      <c r="G122" s="134"/>
      <c r="H122" s="135"/>
      <c r="I122" s="133"/>
      <c r="J122" s="133"/>
      <c r="K122" s="133"/>
      <c r="L122" s="133"/>
      <c r="M122" s="133"/>
      <c r="N122" s="134"/>
    </row>
    <row r="123" customFormat="false" ht="15" hidden="false" customHeight="false" outlineLevel="0" collapsed="false">
      <c r="A123" s="133"/>
      <c r="B123" s="133"/>
      <c r="C123" s="133"/>
      <c r="D123" s="133"/>
      <c r="E123" s="133"/>
      <c r="F123" s="133"/>
      <c r="G123" s="134"/>
      <c r="H123" s="135"/>
      <c r="I123" s="133"/>
      <c r="J123" s="133"/>
      <c r="K123" s="133"/>
      <c r="L123" s="133"/>
      <c r="M123" s="133"/>
      <c r="N123" s="134"/>
    </row>
    <row r="124" customFormat="false" ht="15" hidden="false" customHeight="false" outlineLevel="0" collapsed="false">
      <c r="A124" s="133"/>
      <c r="B124" s="133"/>
      <c r="C124" s="133"/>
      <c r="D124" s="133"/>
      <c r="E124" s="133"/>
      <c r="F124" s="133"/>
      <c r="G124" s="134"/>
      <c r="H124" s="135"/>
      <c r="I124" s="133"/>
      <c r="J124" s="133"/>
      <c r="K124" s="133"/>
      <c r="L124" s="133"/>
      <c r="M124" s="133"/>
      <c r="N124" s="134"/>
    </row>
    <row r="125" customFormat="false" ht="15" hidden="false" customHeight="false" outlineLevel="0" collapsed="false">
      <c r="A125" s="133"/>
      <c r="B125" s="133"/>
      <c r="C125" s="133"/>
      <c r="D125" s="133"/>
      <c r="E125" s="133"/>
      <c r="F125" s="133"/>
      <c r="G125" s="134"/>
      <c r="H125" s="135"/>
      <c r="I125" s="133"/>
      <c r="J125" s="133"/>
      <c r="K125" s="133"/>
      <c r="L125" s="133"/>
      <c r="M125" s="133"/>
      <c r="N125" s="134"/>
    </row>
    <row r="126" customFormat="false" ht="15" hidden="false" customHeight="false" outlineLevel="0" collapsed="false">
      <c r="A126" s="133"/>
      <c r="B126" s="133"/>
      <c r="C126" s="133"/>
      <c r="D126" s="133"/>
      <c r="E126" s="133"/>
      <c r="F126" s="133"/>
      <c r="G126" s="134"/>
      <c r="H126" s="135"/>
      <c r="I126" s="133"/>
      <c r="J126" s="133"/>
      <c r="K126" s="133"/>
      <c r="L126" s="133"/>
      <c r="M126" s="133"/>
      <c r="N126" s="134"/>
    </row>
    <row r="127" customFormat="false" ht="15" hidden="false" customHeight="false" outlineLevel="0" collapsed="false">
      <c r="A127" s="133"/>
      <c r="B127" s="133"/>
      <c r="C127" s="133"/>
      <c r="D127" s="133"/>
      <c r="E127" s="133"/>
      <c r="F127" s="133"/>
      <c r="G127" s="134"/>
      <c r="H127" s="135"/>
      <c r="I127" s="133"/>
      <c r="J127" s="133"/>
      <c r="K127" s="133"/>
      <c r="L127" s="133"/>
      <c r="M127" s="133"/>
      <c r="N127" s="134"/>
    </row>
    <row r="128" customFormat="false" ht="15" hidden="false" customHeight="false" outlineLevel="0" collapsed="false">
      <c r="A128" s="133"/>
      <c r="B128" s="133"/>
      <c r="C128" s="133"/>
      <c r="D128" s="133"/>
      <c r="E128" s="133"/>
      <c r="F128" s="133"/>
      <c r="G128" s="134"/>
      <c r="H128" s="135"/>
      <c r="I128" s="133"/>
      <c r="J128" s="133"/>
      <c r="K128" s="133"/>
      <c r="L128" s="133"/>
      <c r="M128" s="133"/>
      <c r="N128" s="134"/>
    </row>
    <row r="129" customFormat="false" ht="15" hidden="false" customHeight="false" outlineLevel="0" collapsed="false">
      <c r="A129" s="133"/>
      <c r="B129" s="133"/>
      <c r="C129" s="133"/>
      <c r="D129" s="133"/>
      <c r="E129" s="133"/>
      <c r="F129" s="133"/>
      <c r="G129" s="134"/>
      <c r="H129" s="135"/>
      <c r="I129" s="133"/>
      <c r="J129" s="133"/>
      <c r="K129" s="133"/>
      <c r="L129" s="133"/>
      <c r="M129" s="133"/>
      <c r="N129" s="134"/>
    </row>
    <row r="130" customFormat="false" ht="15" hidden="false" customHeight="false" outlineLevel="0" collapsed="false">
      <c r="A130" s="133"/>
      <c r="B130" s="133"/>
      <c r="C130" s="133"/>
      <c r="D130" s="133"/>
      <c r="E130" s="133"/>
      <c r="F130" s="133"/>
      <c r="G130" s="134"/>
      <c r="H130" s="135"/>
      <c r="I130" s="133"/>
      <c r="J130" s="133"/>
      <c r="K130" s="133"/>
      <c r="L130" s="133"/>
      <c r="M130" s="133"/>
      <c r="N130" s="134"/>
    </row>
    <row r="131" customFormat="false" ht="15" hidden="false" customHeight="false" outlineLevel="0" collapsed="false">
      <c r="A131" s="133"/>
      <c r="B131" s="133"/>
      <c r="C131" s="133"/>
      <c r="D131" s="133"/>
      <c r="E131" s="133"/>
      <c r="F131" s="133"/>
      <c r="G131" s="134"/>
      <c r="H131" s="135"/>
      <c r="I131" s="133"/>
      <c r="J131" s="133"/>
      <c r="K131" s="133"/>
      <c r="L131" s="133"/>
      <c r="M131" s="133"/>
      <c r="N131" s="134"/>
    </row>
    <row r="132" customFormat="false" ht="15" hidden="false" customHeight="false" outlineLevel="0" collapsed="false">
      <c r="A132" s="133"/>
      <c r="B132" s="133"/>
      <c r="C132" s="133"/>
      <c r="D132" s="133"/>
      <c r="E132" s="133"/>
      <c r="F132" s="133"/>
      <c r="G132" s="134"/>
      <c r="H132" s="135"/>
      <c r="I132" s="133"/>
      <c r="J132" s="133"/>
      <c r="K132" s="133"/>
      <c r="L132" s="133"/>
      <c r="M132" s="133"/>
      <c r="N132" s="134"/>
    </row>
    <row r="133" customFormat="false" ht="15" hidden="false" customHeight="false" outlineLevel="0" collapsed="false">
      <c r="A133" s="133"/>
      <c r="B133" s="133"/>
      <c r="C133" s="133"/>
      <c r="D133" s="133"/>
      <c r="E133" s="133"/>
      <c r="F133" s="133"/>
      <c r="G133" s="134"/>
      <c r="H133" s="135"/>
      <c r="I133" s="133"/>
      <c r="J133" s="133"/>
      <c r="K133" s="133"/>
      <c r="L133" s="133"/>
      <c r="M133" s="133"/>
      <c r="N133" s="134"/>
    </row>
    <row r="134" customFormat="false" ht="15" hidden="false" customHeight="false" outlineLevel="0" collapsed="false">
      <c r="A134" s="133"/>
      <c r="B134" s="133"/>
      <c r="C134" s="133"/>
      <c r="D134" s="133"/>
      <c r="E134" s="133"/>
      <c r="F134" s="133"/>
      <c r="G134" s="134"/>
      <c r="H134" s="135"/>
      <c r="I134" s="133"/>
      <c r="J134" s="133"/>
      <c r="K134" s="133"/>
      <c r="L134" s="133"/>
      <c r="M134" s="133"/>
      <c r="N134" s="134"/>
    </row>
    <row r="135" customFormat="false" ht="15" hidden="false" customHeight="false" outlineLevel="0" collapsed="false">
      <c r="A135" s="133"/>
      <c r="B135" s="133"/>
      <c r="C135" s="133"/>
      <c r="D135" s="133"/>
      <c r="E135" s="133"/>
      <c r="F135" s="133"/>
      <c r="G135" s="134"/>
      <c r="H135" s="135"/>
      <c r="I135" s="133"/>
      <c r="J135" s="133"/>
      <c r="K135" s="133"/>
      <c r="L135" s="133"/>
      <c r="M135" s="133"/>
      <c r="N135" s="134"/>
    </row>
    <row r="136" customFormat="false" ht="15" hidden="false" customHeight="false" outlineLevel="0" collapsed="false">
      <c r="A136" s="133"/>
      <c r="B136" s="133"/>
      <c r="C136" s="133"/>
      <c r="D136" s="133"/>
      <c r="E136" s="133"/>
      <c r="F136" s="133"/>
      <c r="G136" s="134"/>
      <c r="H136" s="135"/>
      <c r="I136" s="133"/>
      <c r="J136" s="133"/>
      <c r="K136" s="133"/>
      <c r="L136" s="133"/>
      <c r="M136" s="133"/>
      <c r="N136" s="134"/>
    </row>
    <row r="137" customFormat="false" ht="15" hidden="false" customHeight="false" outlineLevel="0" collapsed="false">
      <c r="A137" s="133"/>
      <c r="B137" s="133"/>
      <c r="C137" s="133"/>
      <c r="D137" s="133"/>
      <c r="E137" s="133"/>
      <c r="F137" s="133"/>
      <c r="G137" s="134"/>
      <c r="H137" s="135"/>
      <c r="I137" s="133"/>
      <c r="J137" s="133"/>
      <c r="K137" s="133"/>
      <c r="L137" s="133"/>
      <c r="M137" s="133"/>
      <c r="N137" s="134"/>
    </row>
    <row r="138" customFormat="false" ht="15" hidden="false" customHeight="false" outlineLevel="0" collapsed="false">
      <c r="A138" s="133"/>
      <c r="B138" s="133"/>
      <c r="C138" s="133"/>
      <c r="D138" s="133"/>
      <c r="E138" s="133"/>
      <c r="F138" s="133"/>
      <c r="G138" s="134"/>
      <c r="H138" s="135"/>
      <c r="I138" s="133"/>
      <c r="J138" s="133"/>
      <c r="K138" s="133"/>
      <c r="L138" s="133"/>
      <c r="M138" s="133"/>
      <c r="N138" s="134"/>
    </row>
    <row r="139" customFormat="false" ht="15" hidden="false" customHeight="false" outlineLevel="0" collapsed="false">
      <c r="A139" s="133"/>
      <c r="B139" s="133"/>
      <c r="C139" s="133"/>
      <c r="D139" s="133"/>
      <c r="E139" s="133"/>
      <c r="F139" s="133"/>
      <c r="G139" s="134"/>
      <c r="H139" s="135"/>
      <c r="I139" s="133"/>
      <c r="J139" s="133"/>
      <c r="K139" s="133"/>
      <c r="L139" s="133"/>
      <c r="M139" s="133"/>
      <c r="N139" s="134"/>
    </row>
    <row r="140" customFormat="false" ht="15" hidden="false" customHeight="false" outlineLevel="0" collapsed="false">
      <c r="A140" s="133"/>
      <c r="B140" s="133"/>
      <c r="C140" s="133"/>
      <c r="D140" s="133"/>
      <c r="E140" s="133"/>
      <c r="F140" s="133"/>
      <c r="G140" s="134"/>
      <c r="H140" s="135"/>
      <c r="I140" s="133"/>
      <c r="J140" s="133"/>
      <c r="K140" s="133"/>
      <c r="L140" s="133"/>
      <c r="M140" s="133"/>
      <c r="N140" s="134"/>
    </row>
    <row r="141" customFormat="false" ht="15" hidden="false" customHeight="false" outlineLevel="0" collapsed="false">
      <c r="A141" s="133"/>
      <c r="B141" s="133"/>
      <c r="C141" s="133"/>
      <c r="D141" s="133"/>
      <c r="E141" s="133"/>
      <c r="F141" s="133"/>
      <c r="G141" s="134"/>
      <c r="H141" s="135"/>
      <c r="I141" s="133"/>
      <c r="J141" s="133"/>
      <c r="K141" s="133"/>
      <c r="L141" s="133"/>
      <c r="M141" s="133"/>
      <c r="N141" s="134"/>
    </row>
    <row r="142" customFormat="false" ht="15" hidden="false" customHeight="false" outlineLevel="0" collapsed="false">
      <c r="A142" s="133"/>
      <c r="B142" s="133"/>
      <c r="C142" s="133"/>
      <c r="D142" s="133"/>
      <c r="E142" s="133"/>
      <c r="F142" s="133"/>
      <c r="G142" s="134"/>
      <c r="H142" s="135"/>
      <c r="I142" s="133"/>
      <c r="J142" s="133"/>
      <c r="K142" s="133"/>
      <c r="L142" s="133"/>
      <c r="M142" s="133"/>
      <c r="N142" s="134"/>
    </row>
    <row r="143" customFormat="false" ht="15" hidden="false" customHeight="false" outlineLevel="0" collapsed="false">
      <c r="A143" s="133"/>
      <c r="B143" s="133"/>
      <c r="C143" s="133"/>
      <c r="D143" s="133"/>
      <c r="E143" s="133"/>
      <c r="F143" s="133"/>
      <c r="G143" s="134"/>
      <c r="H143" s="135"/>
      <c r="I143" s="133"/>
      <c r="J143" s="133"/>
      <c r="K143" s="133"/>
      <c r="L143" s="133"/>
      <c r="M143" s="133"/>
      <c r="N143" s="134"/>
    </row>
    <row r="144" customFormat="false" ht="15" hidden="false" customHeight="false" outlineLevel="0" collapsed="false">
      <c r="A144" s="133"/>
      <c r="B144" s="133"/>
      <c r="C144" s="133"/>
      <c r="D144" s="133"/>
      <c r="E144" s="133"/>
      <c r="F144" s="133"/>
      <c r="G144" s="134"/>
      <c r="H144" s="135"/>
      <c r="I144" s="133"/>
      <c r="J144" s="133"/>
      <c r="K144" s="133"/>
      <c r="L144" s="133"/>
      <c r="M144" s="133"/>
      <c r="N144" s="134"/>
    </row>
    <row r="145" customFormat="false" ht="15" hidden="false" customHeight="false" outlineLevel="0" collapsed="false">
      <c r="A145" s="133"/>
      <c r="B145" s="133"/>
      <c r="C145" s="133"/>
      <c r="D145" s="133"/>
      <c r="E145" s="133"/>
      <c r="F145" s="133"/>
      <c r="G145" s="134"/>
      <c r="H145" s="135"/>
      <c r="I145" s="133"/>
      <c r="J145" s="133"/>
      <c r="K145" s="133"/>
      <c r="L145" s="133"/>
      <c r="M145" s="133"/>
      <c r="N145" s="134"/>
    </row>
    <row r="146" customFormat="false" ht="15" hidden="false" customHeight="false" outlineLevel="0" collapsed="false">
      <c r="A146" s="133"/>
      <c r="B146" s="133"/>
      <c r="C146" s="133"/>
      <c r="D146" s="133"/>
      <c r="E146" s="133"/>
      <c r="F146" s="133"/>
      <c r="G146" s="134"/>
      <c r="H146" s="135"/>
      <c r="I146" s="133"/>
      <c r="J146" s="133"/>
      <c r="K146" s="133"/>
      <c r="L146" s="133"/>
      <c r="M146" s="133"/>
      <c r="N146" s="134"/>
    </row>
    <row r="147" customFormat="false" ht="15" hidden="false" customHeight="false" outlineLevel="0" collapsed="false">
      <c r="A147" s="133"/>
      <c r="B147" s="133"/>
      <c r="C147" s="133"/>
      <c r="D147" s="133"/>
      <c r="E147" s="133"/>
      <c r="F147" s="133"/>
      <c r="G147" s="134"/>
      <c r="H147" s="135"/>
      <c r="I147" s="133"/>
      <c r="J147" s="133"/>
      <c r="K147" s="133"/>
      <c r="L147" s="133"/>
      <c r="M147" s="133"/>
      <c r="N147" s="134"/>
    </row>
    <row r="148" customFormat="false" ht="15" hidden="false" customHeight="false" outlineLevel="0" collapsed="false">
      <c r="A148" s="133"/>
      <c r="B148" s="133"/>
      <c r="C148" s="133"/>
      <c r="D148" s="133"/>
      <c r="E148" s="133"/>
      <c r="F148" s="133"/>
      <c r="G148" s="134"/>
      <c r="H148" s="135"/>
      <c r="I148" s="133"/>
      <c r="J148" s="133"/>
      <c r="K148" s="133"/>
      <c r="L148" s="133"/>
      <c r="M148" s="133"/>
      <c r="N148" s="134"/>
    </row>
    <row r="149" customFormat="false" ht="15" hidden="false" customHeight="false" outlineLevel="0" collapsed="false">
      <c r="A149" s="133"/>
      <c r="B149" s="133"/>
      <c r="C149" s="133"/>
      <c r="D149" s="133"/>
      <c r="E149" s="133"/>
      <c r="F149" s="133"/>
      <c r="G149" s="134"/>
      <c r="H149" s="135"/>
      <c r="I149" s="133"/>
      <c r="J149" s="133"/>
      <c r="K149" s="133"/>
      <c r="L149" s="133"/>
      <c r="M149" s="133"/>
      <c r="N149" s="134"/>
    </row>
    <row r="150" customFormat="false" ht="15" hidden="false" customHeight="false" outlineLevel="0" collapsed="false">
      <c r="A150" s="133"/>
      <c r="B150" s="133"/>
      <c r="C150" s="133"/>
      <c r="D150" s="133"/>
      <c r="E150" s="133"/>
      <c r="F150" s="133"/>
      <c r="G150" s="134"/>
      <c r="H150" s="135"/>
      <c r="I150" s="133"/>
      <c r="J150" s="133"/>
      <c r="K150" s="133"/>
      <c r="L150" s="133"/>
      <c r="M150" s="133"/>
      <c r="N150" s="134"/>
    </row>
    <row r="151" customFormat="false" ht="15" hidden="false" customHeight="false" outlineLevel="0" collapsed="false">
      <c r="A151" s="133"/>
      <c r="B151" s="133"/>
      <c r="C151" s="133"/>
      <c r="D151" s="133"/>
      <c r="E151" s="133"/>
      <c r="F151" s="133"/>
      <c r="G151" s="134"/>
      <c r="H151" s="135"/>
      <c r="I151" s="133"/>
      <c r="J151" s="133"/>
      <c r="K151" s="133"/>
      <c r="L151" s="133"/>
      <c r="M151" s="133"/>
      <c r="N151" s="134"/>
    </row>
    <row r="152" customFormat="false" ht="15" hidden="false" customHeight="false" outlineLevel="0" collapsed="false">
      <c r="A152" s="133"/>
      <c r="B152" s="133"/>
      <c r="C152" s="133"/>
      <c r="D152" s="133"/>
      <c r="E152" s="133"/>
      <c r="F152" s="133"/>
      <c r="G152" s="134"/>
      <c r="H152" s="135"/>
      <c r="I152" s="133"/>
      <c r="J152" s="133"/>
      <c r="K152" s="133"/>
      <c r="L152" s="133"/>
      <c r="M152" s="133"/>
      <c r="N152" s="134"/>
    </row>
    <row r="153" customFormat="false" ht="15" hidden="false" customHeight="false" outlineLevel="0" collapsed="false">
      <c r="A153" s="133"/>
      <c r="B153" s="133"/>
      <c r="C153" s="133"/>
      <c r="D153" s="133"/>
      <c r="E153" s="133"/>
      <c r="F153" s="133"/>
      <c r="G153" s="134"/>
      <c r="H153" s="135"/>
      <c r="I153" s="133"/>
      <c r="J153" s="133"/>
      <c r="K153" s="133"/>
      <c r="L153" s="133"/>
      <c r="M153" s="133"/>
      <c r="N153" s="134"/>
    </row>
    <row r="154" customFormat="false" ht="15" hidden="false" customHeight="false" outlineLevel="0" collapsed="false">
      <c r="A154" s="133"/>
      <c r="B154" s="133"/>
      <c r="C154" s="133"/>
      <c r="D154" s="133"/>
      <c r="E154" s="133"/>
      <c r="F154" s="133"/>
      <c r="G154" s="134"/>
      <c r="H154" s="135"/>
      <c r="I154" s="133"/>
      <c r="J154" s="133"/>
      <c r="K154" s="133"/>
      <c r="L154" s="133"/>
      <c r="M154" s="133"/>
      <c r="N154" s="134"/>
    </row>
    <row r="155" customFormat="false" ht="15" hidden="false" customHeight="false" outlineLevel="0" collapsed="false">
      <c r="A155" s="133"/>
      <c r="B155" s="133"/>
      <c r="C155" s="133"/>
      <c r="D155" s="133"/>
      <c r="E155" s="133"/>
      <c r="F155" s="133"/>
      <c r="G155" s="134"/>
      <c r="H155" s="135"/>
      <c r="I155" s="133"/>
      <c r="J155" s="133"/>
      <c r="K155" s="133"/>
      <c r="L155" s="133"/>
      <c r="M155" s="133"/>
      <c r="N155" s="134"/>
    </row>
    <row r="156" customFormat="false" ht="15" hidden="false" customHeight="false" outlineLevel="0" collapsed="false">
      <c r="A156" s="133"/>
      <c r="B156" s="133"/>
      <c r="C156" s="133"/>
      <c r="D156" s="133"/>
      <c r="E156" s="133"/>
      <c r="F156" s="133"/>
      <c r="G156" s="134"/>
      <c r="H156" s="135"/>
      <c r="I156" s="133"/>
      <c r="J156" s="133"/>
      <c r="K156" s="133"/>
      <c r="L156" s="133"/>
      <c r="M156" s="133"/>
      <c r="N156" s="134"/>
    </row>
    <row r="157" customFormat="false" ht="15" hidden="false" customHeight="false" outlineLevel="0" collapsed="false">
      <c r="A157" s="133"/>
      <c r="B157" s="133"/>
      <c r="C157" s="133"/>
      <c r="D157" s="133"/>
      <c r="E157" s="133"/>
      <c r="F157" s="133"/>
      <c r="G157" s="134"/>
      <c r="H157" s="135"/>
      <c r="I157" s="133"/>
      <c r="J157" s="133"/>
      <c r="K157" s="133"/>
      <c r="L157" s="133"/>
      <c r="M157" s="133"/>
      <c r="N157" s="134"/>
    </row>
    <row r="158" customFormat="false" ht="15" hidden="false" customHeight="false" outlineLevel="0" collapsed="false">
      <c r="A158" s="133"/>
      <c r="B158" s="133"/>
      <c r="C158" s="133"/>
      <c r="D158" s="133"/>
      <c r="E158" s="133"/>
      <c r="F158" s="133"/>
      <c r="G158" s="134"/>
      <c r="H158" s="135"/>
      <c r="I158" s="133"/>
      <c r="J158" s="133"/>
      <c r="K158" s="133"/>
      <c r="L158" s="133"/>
      <c r="M158" s="133"/>
      <c r="N158" s="134"/>
    </row>
    <row r="159" customFormat="false" ht="15" hidden="false" customHeight="false" outlineLevel="0" collapsed="false">
      <c r="A159" s="133"/>
      <c r="B159" s="133"/>
      <c r="C159" s="133"/>
      <c r="D159" s="133"/>
      <c r="E159" s="133"/>
      <c r="F159" s="133"/>
      <c r="G159" s="134"/>
      <c r="H159" s="135"/>
      <c r="I159" s="133"/>
      <c r="J159" s="133"/>
      <c r="K159" s="133"/>
      <c r="L159" s="133"/>
      <c r="M159" s="133"/>
      <c r="N159" s="134"/>
    </row>
    <row r="160" customFormat="false" ht="15" hidden="false" customHeight="false" outlineLevel="0" collapsed="false">
      <c r="A160" s="133"/>
      <c r="B160" s="133"/>
      <c r="C160" s="133"/>
      <c r="D160" s="133"/>
      <c r="E160" s="133"/>
      <c r="F160" s="133"/>
      <c r="G160" s="134"/>
      <c r="H160" s="135"/>
      <c r="I160" s="133"/>
      <c r="J160" s="133"/>
      <c r="K160" s="133"/>
      <c r="L160" s="133"/>
      <c r="M160" s="133"/>
      <c r="N160" s="134"/>
    </row>
    <row r="161" customFormat="false" ht="15" hidden="false" customHeight="false" outlineLevel="0" collapsed="false">
      <c r="A161" s="133"/>
      <c r="B161" s="133"/>
      <c r="C161" s="133"/>
      <c r="D161" s="133"/>
      <c r="E161" s="133"/>
      <c r="F161" s="133"/>
      <c r="G161" s="134"/>
      <c r="H161" s="135"/>
      <c r="I161" s="133"/>
      <c r="J161" s="133"/>
      <c r="K161" s="133"/>
      <c r="L161" s="133"/>
      <c r="M161" s="133"/>
      <c r="N161" s="134"/>
    </row>
    <row r="162" customFormat="false" ht="15" hidden="false" customHeight="false" outlineLevel="0" collapsed="false">
      <c r="A162" s="133"/>
      <c r="B162" s="133"/>
      <c r="C162" s="133"/>
      <c r="D162" s="133"/>
      <c r="E162" s="133"/>
      <c r="F162" s="133"/>
      <c r="G162" s="134"/>
      <c r="H162" s="135"/>
      <c r="I162" s="133"/>
      <c r="J162" s="133"/>
      <c r="K162" s="133"/>
      <c r="L162" s="133"/>
      <c r="M162" s="133"/>
      <c r="N162" s="134"/>
    </row>
    <row r="163" customFormat="false" ht="15" hidden="false" customHeight="false" outlineLevel="0" collapsed="false">
      <c r="A163" s="133"/>
      <c r="B163" s="133"/>
      <c r="C163" s="133"/>
      <c r="D163" s="133"/>
      <c r="E163" s="133"/>
      <c r="F163" s="133"/>
      <c r="G163" s="134"/>
      <c r="H163" s="135"/>
      <c r="I163" s="133"/>
      <c r="J163" s="133"/>
      <c r="K163" s="133"/>
      <c r="L163" s="133"/>
      <c r="M163" s="133"/>
      <c r="N163" s="134"/>
    </row>
    <row r="164" customFormat="false" ht="15" hidden="false" customHeight="false" outlineLevel="0" collapsed="false">
      <c r="A164" s="133"/>
      <c r="B164" s="133"/>
      <c r="C164" s="133"/>
      <c r="D164" s="133"/>
      <c r="E164" s="133"/>
      <c r="F164" s="133"/>
      <c r="G164" s="134"/>
      <c r="H164" s="135"/>
      <c r="I164" s="133"/>
      <c r="J164" s="133"/>
      <c r="K164" s="133"/>
      <c r="L164" s="133"/>
      <c r="M164" s="133"/>
      <c r="N164" s="134"/>
    </row>
    <row r="165" customFormat="false" ht="15" hidden="false" customHeight="false" outlineLevel="0" collapsed="false">
      <c r="A165" s="133"/>
      <c r="B165" s="133"/>
      <c r="C165" s="133"/>
      <c r="D165" s="133"/>
      <c r="E165" s="133"/>
      <c r="F165" s="133"/>
      <c r="G165" s="134"/>
      <c r="H165" s="135"/>
      <c r="I165" s="133"/>
      <c r="J165" s="133"/>
      <c r="K165" s="133"/>
      <c r="L165" s="133"/>
      <c r="M165" s="133"/>
      <c r="N165" s="134"/>
    </row>
    <row r="166" customFormat="false" ht="15" hidden="false" customHeight="false" outlineLevel="0" collapsed="false">
      <c r="A166" s="133"/>
      <c r="B166" s="133"/>
      <c r="C166" s="133"/>
      <c r="D166" s="133"/>
      <c r="E166" s="133"/>
      <c r="F166" s="133"/>
      <c r="G166" s="134"/>
      <c r="H166" s="135"/>
      <c r="I166" s="133"/>
      <c r="J166" s="133"/>
      <c r="K166" s="133"/>
      <c r="L166" s="133"/>
      <c r="M166" s="133"/>
      <c r="N166" s="134"/>
    </row>
    <row r="167" customFormat="false" ht="15" hidden="false" customHeight="false" outlineLevel="0" collapsed="false">
      <c r="A167" s="133"/>
      <c r="B167" s="133"/>
      <c r="C167" s="133"/>
      <c r="D167" s="133"/>
      <c r="E167" s="133"/>
      <c r="F167" s="133"/>
      <c r="G167" s="134"/>
      <c r="H167" s="135"/>
      <c r="I167" s="133"/>
      <c r="J167" s="133"/>
      <c r="K167" s="133"/>
      <c r="L167" s="133"/>
      <c r="M167" s="133"/>
      <c r="N167" s="134"/>
    </row>
    <row r="168" customFormat="false" ht="15" hidden="false" customHeight="false" outlineLevel="0" collapsed="false">
      <c r="A168" s="133"/>
      <c r="B168" s="133"/>
      <c r="C168" s="133"/>
      <c r="D168" s="133"/>
      <c r="E168" s="133"/>
      <c r="F168" s="133"/>
      <c r="G168" s="134"/>
      <c r="H168" s="135"/>
      <c r="I168" s="133"/>
      <c r="J168" s="133"/>
      <c r="K168" s="133"/>
      <c r="L168" s="133"/>
      <c r="M168" s="133"/>
      <c r="N168" s="134"/>
    </row>
    <row r="169" customFormat="false" ht="15" hidden="false" customHeight="false" outlineLevel="0" collapsed="false">
      <c r="A169" s="133"/>
      <c r="B169" s="133"/>
      <c r="C169" s="133"/>
      <c r="D169" s="133"/>
      <c r="E169" s="133"/>
      <c r="F169" s="133"/>
      <c r="G169" s="134"/>
      <c r="H169" s="135"/>
      <c r="I169" s="133"/>
      <c r="J169" s="133"/>
      <c r="K169" s="133"/>
      <c r="L169" s="133"/>
      <c r="M169" s="133"/>
      <c r="N169" s="134"/>
    </row>
    <row r="170" customFormat="false" ht="15" hidden="false" customHeight="false" outlineLevel="0" collapsed="false">
      <c r="A170" s="133"/>
      <c r="B170" s="133"/>
      <c r="C170" s="133"/>
      <c r="D170" s="133"/>
      <c r="E170" s="133"/>
      <c r="F170" s="133"/>
      <c r="G170" s="134"/>
      <c r="H170" s="135"/>
      <c r="I170" s="133"/>
      <c r="J170" s="133"/>
      <c r="K170" s="133"/>
      <c r="L170" s="133"/>
      <c r="M170" s="133"/>
      <c r="N170" s="134"/>
    </row>
    <row r="171" customFormat="false" ht="15" hidden="false" customHeight="false" outlineLevel="0" collapsed="false">
      <c r="A171" s="133"/>
      <c r="B171" s="133"/>
      <c r="C171" s="133"/>
      <c r="D171" s="133"/>
      <c r="E171" s="133"/>
      <c r="F171" s="133"/>
      <c r="G171" s="134"/>
      <c r="H171" s="135"/>
      <c r="I171" s="133"/>
      <c r="J171" s="133"/>
      <c r="K171" s="133"/>
      <c r="L171" s="133"/>
      <c r="M171" s="133"/>
      <c r="N171" s="134"/>
    </row>
    <row r="172" customFormat="false" ht="15" hidden="false" customHeight="false" outlineLevel="0" collapsed="false">
      <c r="A172" s="133"/>
      <c r="B172" s="133"/>
      <c r="C172" s="133"/>
      <c r="D172" s="133"/>
      <c r="E172" s="133"/>
      <c r="F172" s="133"/>
      <c r="G172" s="134"/>
      <c r="H172" s="135"/>
      <c r="I172" s="133"/>
      <c r="J172" s="133"/>
      <c r="K172" s="133"/>
      <c r="L172" s="133"/>
      <c r="M172" s="133"/>
      <c r="N172" s="134"/>
    </row>
    <row r="173" customFormat="false" ht="15" hidden="false" customHeight="false" outlineLevel="0" collapsed="false">
      <c r="A173" s="133"/>
      <c r="B173" s="133"/>
      <c r="C173" s="133"/>
      <c r="D173" s="133"/>
      <c r="E173" s="133"/>
      <c r="F173" s="133"/>
      <c r="G173" s="134"/>
      <c r="H173" s="135"/>
      <c r="I173" s="133"/>
      <c r="J173" s="133"/>
      <c r="K173" s="133"/>
      <c r="L173" s="133"/>
      <c r="M173" s="133"/>
      <c r="N173" s="134"/>
    </row>
    <row r="174" customFormat="false" ht="15" hidden="false" customHeight="false" outlineLevel="0" collapsed="false">
      <c r="A174" s="133"/>
      <c r="B174" s="133"/>
      <c r="C174" s="133"/>
      <c r="D174" s="133"/>
      <c r="E174" s="133"/>
      <c r="F174" s="133"/>
      <c r="G174" s="134"/>
      <c r="H174" s="135"/>
      <c r="I174" s="133"/>
      <c r="J174" s="133"/>
      <c r="K174" s="133"/>
      <c r="L174" s="133"/>
      <c r="M174" s="133"/>
      <c r="N174" s="134"/>
    </row>
    <row r="175" customFormat="false" ht="15" hidden="false" customHeight="false" outlineLevel="0" collapsed="false">
      <c r="A175" s="133"/>
      <c r="B175" s="133"/>
      <c r="C175" s="133"/>
      <c r="D175" s="133"/>
      <c r="E175" s="133"/>
      <c r="F175" s="133"/>
      <c r="G175" s="134"/>
      <c r="H175" s="135"/>
      <c r="I175" s="133"/>
      <c r="J175" s="133"/>
      <c r="K175" s="133"/>
      <c r="L175" s="133"/>
      <c r="M175" s="133"/>
      <c r="N175" s="134"/>
    </row>
    <row r="176" customFormat="false" ht="15" hidden="false" customHeight="false" outlineLevel="0" collapsed="false">
      <c r="A176" s="133"/>
      <c r="B176" s="133"/>
      <c r="C176" s="133"/>
      <c r="D176" s="133"/>
      <c r="E176" s="133"/>
      <c r="F176" s="133"/>
      <c r="G176" s="134"/>
      <c r="H176" s="135"/>
      <c r="I176" s="133"/>
      <c r="J176" s="133"/>
      <c r="K176" s="133"/>
      <c r="L176" s="133"/>
      <c r="M176" s="133"/>
      <c r="N176" s="134"/>
    </row>
    <row r="177" customFormat="false" ht="15" hidden="false" customHeight="false" outlineLevel="0" collapsed="false">
      <c r="A177" s="133"/>
      <c r="B177" s="133"/>
      <c r="C177" s="133"/>
      <c r="D177" s="133"/>
      <c r="E177" s="133"/>
      <c r="F177" s="133"/>
      <c r="G177" s="134"/>
      <c r="H177" s="135"/>
      <c r="I177" s="133"/>
      <c r="J177" s="133"/>
      <c r="K177" s="133"/>
      <c r="L177" s="133"/>
      <c r="M177" s="133"/>
      <c r="N177" s="134"/>
    </row>
    <row r="178" customFormat="false" ht="15" hidden="false" customHeight="false" outlineLevel="0" collapsed="false">
      <c r="A178" s="133"/>
      <c r="B178" s="133"/>
      <c r="C178" s="133"/>
      <c r="D178" s="133"/>
      <c r="E178" s="133"/>
      <c r="F178" s="133"/>
      <c r="G178" s="134"/>
      <c r="H178" s="135"/>
      <c r="I178" s="133"/>
      <c r="J178" s="133"/>
      <c r="K178" s="133"/>
      <c r="L178" s="133"/>
      <c r="M178" s="133"/>
      <c r="N178" s="134"/>
    </row>
    <row r="179" customFormat="false" ht="15" hidden="false" customHeight="false" outlineLevel="0" collapsed="false">
      <c r="A179" s="133"/>
      <c r="B179" s="133"/>
      <c r="C179" s="133"/>
      <c r="D179" s="133"/>
      <c r="E179" s="133"/>
      <c r="F179" s="133"/>
      <c r="G179" s="134"/>
      <c r="H179" s="135"/>
      <c r="I179" s="133"/>
      <c r="J179" s="133"/>
      <c r="K179" s="133"/>
      <c r="L179" s="133"/>
      <c r="M179" s="133"/>
      <c r="N179" s="134"/>
    </row>
    <row r="180" customFormat="false" ht="15" hidden="false" customHeight="false" outlineLevel="0" collapsed="false">
      <c r="A180" s="133"/>
      <c r="B180" s="133"/>
      <c r="C180" s="133"/>
      <c r="D180" s="133"/>
      <c r="E180" s="133"/>
      <c r="F180" s="133"/>
      <c r="G180" s="134"/>
      <c r="H180" s="135"/>
      <c r="I180" s="133"/>
      <c r="J180" s="133"/>
      <c r="K180" s="133"/>
      <c r="L180" s="133"/>
      <c r="M180" s="133"/>
      <c r="N180" s="134"/>
    </row>
    <row r="181" customFormat="false" ht="15" hidden="false" customHeight="false" outlineLevel="0" collapsed="false">
      <c r="A181" s="133"/>
      <c r="B181" s="133"/>
      <c r="C181" s="133"/>
      <c r="D181" s="133"/>
      <c r="E181" s="133"/>
      <c r="F181" s="133"/>
      <c r="G181" s="134"/>
      <c r="H181" s="135"/>
      <c r="I181" s="133"/>
      <c r="J181" s="133"/>
      <c r="K181" s="133"/>
      <c r="L181" s="133"/>
      <c r="M181" s="133"/>
      <c r="N181" s="134"/>
    </row>
    <row r="182" customFormat="false" ht="15" hidden="false" customHeight="false" outlineLevel="0" collapsed="false">
      <c r="A182" s="133"/>
      <c r="B182" s="133"/>
      <c r="C182" s="133"/>
      <c r="D182" s="133"/>
      <c r="E182" s="133"/>
      <c r="F182" s="133"/>
      <c r="G182" s="134"/>
      <c r="H182" s="135"/>
      <c r="I182" s="133"/>
      <c r="J182" s="133"/>
      <c r="K182" s="133"/>
      <c r="L182" s="133"/>
      <c r="M182" s="133"/>
      <c r="N182" s="134"/>
    </row>
    <row r="183" customFormat="false" ht="15" hidden="false" customHeight="false" outlineLevel="0" collapsed="false">
      <c r="A183" s="133"/>
      <c r="B183" s="133"/>
      <c r="C183" s="133"/>
      <c r="D183" s="133"/>
      <c r="E183" s="133"/>
      <c r="F183" s="133"/>
      <c r="G183" s="134"/>
      <c r="H183" s="135"/>
      <c r="I183" s="133"/>
      <c r="J183" s="133"/>
      <c r="K183" s="133"/>
      <c r="L183" s="133"/>
      <c r="M183" s="133"/>
      <c r="N183" s="134"/>
    </row>
    <row r="184" customFormat="false" ht="15" hidden="false" customHeight="false" outlineLevel="0" collapsed="false">
      <c r="A184" s="133"/>
      <c r="B184" s="133"/>
      <c r="C184" s="133"/>
      <c r="D184" s="133"/>
      <c r="E184" s="133"/>
      <c r="F184" s="133"/>
      <c r="G184" s="134"/>
      <c r="H184" s="135"/>
      <c r="I184" s="133"/>
      <c r="J184" s="133"/>
      <c r="K184" s="133"/>
      <c r="L184" s="133"/>
      <c r="M184" s="133"/>
      <c r="N184" s="134"/>
    </row>
    <row r="185" customFormat="false" ht="15" hidden="false" customHeight="false" outlineLevel="0" collapsed="false">
      <c r="A185" s="133"/>
      <c r="B185" s="133"/>
      <c r="C185" s="133"/>
      <c r="D185" s="133"/>
      <c r="E185" s="133"/>
      <c r="F185" s="133"/>
      <c r="G185" s="134"/>
      <c r="H185" s="135"/>
      <c r="I185" s="133"/>
      <c r="J185" s="133"/>
      <c r="K185" s="133"/>
      <c r="L185" s="133"/>
      <c r="M185" s="133"/>
      <c r="N185" s="134"/>
    </row>
    <row r="186" customFormat="false" ht="15" hidden="false" customHeight="false" outlineLevel="0" collapsed="false">
      <c r="A186" s="133"/>
      <c r="B186" s="133"/>
      <c r="C186" s="133"/>
      <c r="D186" s="133"/>
      <c r="E186" s="133"/>
      <c r="F186" s="133"/>
      <c r="G186" s="134"/>
      <c r="H186" s="135"/>
      <c r="I186" s="133"/>
      <c r="J186" s="133"/>
      <c r="K186" s="133"/>
      <c r="L186" s="133"/>
      <c r="M186" s="133"/>
      <c r="N186" s="134"/>
    </row>
    <row r="187" customFormat="false" ht="15" hidden="false" customHeight="false" outlineLevel="0" collapsed="false">
      <c r="A187" s="133"/>
      <c r="B187" s="133"/>
      <c r="C187" s="133"/>
      <c r="D187" s="133"/>
      <c r="E187" s="133"/>
      <c r="F187" s="133"/>
      <c r="G187" s="134"/>
      <c r="H187" s="135"/>
      <c r="I187" s="133"/>
      <c r="J187" s="133"/>
      <c r="K187" s="133"/>
      <c r="L187" s="133"/>
      <c r="M187" s="133"/>
      <c r="N187" s="134"/>
    </row>
    <row r="188" customFormat="false" ht="15" hidden="false" customHeight="false" outlineLevel="0" collapsed="false">
      <c r="A188" s="133"/>
      <c r="B188" s="133"/>
      <c r="C188" s="133"/>
      <c r="D188" s="133"/>
      <c r="E188" s="133"/>
      <c r="F188" s="133"/>
      <c r="G188" s="134"/>
      <c r="H188" s="135"/>
      <c r="I188" s="133"/>
      <c r="J188" s="133"/>
      <c r="K188" s="133"/>
      <c r="L188" s="133"/>
      <c r="M188" s="133"/>
      <c r="N188" s="134"/>
    </row>
    <row r="189" customFormat="false" ht="15" hidden="false" customHeight="false" outlineLevel="0" collapsed="false">
      <c r="A189" s="133"/>
      <c r="B189" s="133"/>
      <c r="C189" s="133"/>
      <c r="D189" s="133"/>
      <c r="E189" s="133"/>
      <c r="F189" s="133"/>
      <c r="G189" s="134"/>
      <c r="H189" s="135"/>
      <c r="I189" s="133"/>
      <c r="J189" s="133"/>
      <c r="K189" s="133"/>
      <c r="L189" s="133"/>
      <c r="M189" s="133"/>
      <c r="N189" s="134"/>
    </row>
    <row r="190" customFormat="false" ht="15" hidden="false" customHeight="false" outlineLevel="0" collapsed="false">
      <c r="A190" s="133"/>
      <c r="B190" s="133"/>
      <c r="C190" s="133"/>
      <c r="D190" s="133"/>
      <c r="E190" s="133"/>
      <c r="F190" s="133"/>
      <c r="G190" s="134"/>
      <c r="H190" s="135"/>
      <c r="I190" s="133"/>
      <c r="J190" s="133"/>
      <c r="K190" s="133"/>
      <c r="L190" s="133"/>
      <c r="M190" s="133"/>
      <c r="N190" s="134"/>
    </row>
    <row r="191" customFormat="false" ht="15" hidden="false" customHeight="false" outlineLevel="0" collapsed="false">
      <c r="A191" s="133"/>
      <c r="B191" s="133"/>
      <c r="C191" s="133"/>
      <c r="D191" s="133"/>
      <c r="E191" s="133"/>
      <c r="F191" s="133"/>
      <c r="G191" s="134"/>
      <c r="H191" s="135"/>
      <c r="I191" s="133"/>
      <c r="J191" s="133"/>
      <c r="K191" s="133"/>
      <c r="L191" s="133"/>
      <c r="M191" s="133"/>
      <c r="N191" s="134"/>
    </row>
    <row r="192" customFormat="false" ht="15" hidden="false" customHeight="false" outlineLevel="0" collapsed="false">
      <c r="A192" s="133"/>
      <c r="B192" s="133"/>
      <c r="C192" s="133"/>
      <c r="D192" s="133"/>
      <c r="E192" s="133"/>
      <c r="F192" s="133"/>
      <c r="G192" s="134"/>
      <c r="H192" s="135"/>
      <c r="I192" s="133"/>
      <c r="J192" s="133"/>
      <c r="K192" s="133"/>
      <c r="L192" s="133"/>
      <c r="M192" s="133"/>
      <c r="N192" s="134"/>
    </row>
    <row r="193" customFormat="false" ht="15" hidden="false" customHeight="false" outlineLevel="0" collapsed="false">
      <c r="A193" s="133"/>
      <c r="B193" s="133"/>
      <c r="C193" s="133"/>
      <c r="D193" s="133"/>
      <c r="E193" s="133"/>
      <c r="F193" s="133"/>
      <c r="G193" s="134"/>
      <c r="H193" s="135"/>
      <c r="I193" s="133"/>
      <c r="J193" s="133"/>
      <c r="K193" s="133"/>
      <c r="L193" s="133"/>
      <c r="M193" s="133"/>
      <c r="N193" s="134"/>
    </row>
    <row r="194" customFormat="false" ht="15" hidden="false" customHeight="false" outlineLevel="0" collapsed="false">
      <c r="A194" s="133"/>
      <c r="B194" s="133"/>
      <c r="C194" s="133"/>
      <c r="D194" s="133"/>
      <c r="E194" s="133"/>
      <c r="F194" s="133"/>
      <c r="G194" s="134"/>
      <c r="H194" s="135"/>
      <c r="I194" s="133"/>
      <c r="J194" s="133"/>
      <c r="K194" s="133"/>
      <c r="L194" s="133"/>
      <c r="M194" s="133"/>
      <c r="N194" s="134"/>
    </row>
    <row r="195" customFormat="false" ht="15" hidden="false" customHeight="false" outlineLevel="0" collapsed="false">
      <c r="A195" s="133"/>
      <c r="B195" s="133"/>
      <c r="C195" s="133"/>
      <c r="D195" s="133"/>
      <c r="E195" s="133"/>
      <c r="F195" s="133"/>
      <c r="G195" s="134"/>
      <c r="H195" s="135"/>
      <c r="I195" s="133"/>
      <c r="J195" s="133"/>
      <c r="K195" s="133"/>
      <c r="L195" s="133"/>
      <c r="M195" s="133"/>
      <c r="N195" s="134"/>
    </row>
    <row r="196" customFormat="false" ht="15" hidden="false" customHeight="false" outlineLevel="0" collapsed="false">
      <c r="A196" s="133"/>
      <c r="B196" s="133"/>
      <c r="C196" s="133"/>
      <c r="D196" s="133"/>
      <c r="E196" s="133"/>
      <c r="F196" s="133"/>
      <c r="G196" s="134"/>
      <c r="H196" s="135"/>
      <c r="I196" s="133"/>
      <c r="J196" s="133"/>
      <c r="K196" s="133"/>
      <c r="L196" s="133"/>
      <c r="M196" s="133"/>
      <c r="N196" s="134"/>
    </row>
    <row r="197" customFormat="false" ht="15" hidden="false" customHeight="false" outlineLevel="0" collapsed="false">
      <c r="A197" s="133"/>
      <c r="B197" s="133"/>
      <c r="C197" s="133"/>
      <c r="D197" s="133"/>
      <c r="E197" s="133"/>
      <c r="F197" s="133"/>
      <c r="G197" s="134"/>
      <c r="H197" s="135"/>
      <c r="I197" s="133"/>
      <c r="J197" s="133"/>
      <c r="K197" s="133"/>
      <c r="L197" s="133"/>
      <c r="M197" s="133"/>
      <c r="N197" s="134"/>
    </row>
    <row r="198" customFormat="false" ht="15" hidden="false" customHeight="false" outlineLevel="0" collapsed="false">
      <c r="A198" s="133"/>
      <c r="B198" s="133"/>
      <c r="C198" s="133"/>
      <c r="D198" s="133"/>
      <c r="E198" s="133"/>
      <c r="F198" s="133"/>
      <c r="G198" s="134"/>
      <c r="H198" s="135"/>
      <c r="I198" s="133"/>
      <c r="J198" s="133"/>
      <c r="K198" s="133"/>
      <c r="L198" s="133"/>
      <c r="M198" s="133"/>
      <c r="N198" s="134"/>
    </row>
    <row r="199" customFormat="false" ht="15" hidden="false" customHeight="false" outlineLevel="0" collapsed="false">
      <c r="A199" s="133"/>
      <c r="B199" s="133"/>
      <c r="C199" s="133"/>
      <c r="D199" s="133"/>
      <c r="E199" s="133"/>
      <c r="F199" s="133"/>
      <c r="G199" s="134"/>
      <c r="H199" s="135"/>
      <c r="I199" s="133"/>
      <c r="J199" s="133"/>
      <c r="K199" s="133"/>
      <c r="L199" s="133"/>
      <c r="M199" s="133"/>
      <c r="N199" s="134"/>
    </row>
    <row r="200" customFormat="false" ht="15" hidden="false" customHeight="false" outlineLevel="0" collapsed="false">
      <c r="A200" s="133"/>
      <c r="B200" s="133"/>
      <c r="C200" s="133"/>
      <c r="D200" s="133"/>
      <c r="E200" s="133"/>
      <c r="F200" s="133"/>
      <c r="G200" s="134"/>
      <c r="H200" s="135"/>
      <c r="I200" s="133"/>
      <c r="J200" s="133"/>
      <c r="K200" s="133"/>
      <c r="L200" s="133"/>
      <c r="M200" s="133"/>
      <c r="N200" s="134"/>
    </row>
    <row r="201" customFormat="false" ht="15" hidden="false" customHeight="false" outlineLevel="0" collapsed="false">
      <c r="A201" s="133"/>
      <c r="B201" s="133"/>
      <c r="C201" s="133"/>
      <c r="D201" s="133"/>
      <c r="E201" s="133"/>
      <c r="F201" s="133"/>
      <c r="G201" s="134"/>
      <c r="H201" s="135"/>
      <c r="I201" s="133"/>
      <c r="J201" s="133"/>
      <c r="K201" s="133"/>
      <c r="L201" s="133"/>
      <c r="M201" s="133"/>
      <c r="N201" s="134"/>
    </row>
    <row r="202" customFormat="false" ht="15" hidden="false" customHeight="false" outlineLevel="0" collapsed="false">
      <c r="A202" s="133"/>
      <c r="B202" s="133"/>
      <c r="C202" s="133"/>
      <c r="D202" s="133"/>
      <c r="E202" s="133"/>
      <c r="F202" s="133"/>
      <c r="G202" s="134"/>
      <c r="H202" s="135"/>
      <c r="I202" s="133"/>
      <c r="J202" s="133"/>
      <c r="K202" s="133"/>
      <c r="L202" s="133"/>
      <c r="M202" s="133"/>
      <c r="N202" s="134"/>
    </row>
    <row r="203" customFormat="false" ht="15" hidden="false" customHeight="false" outlineLevel="0" collapsed="false">
      <c r="A203" s="133"/>
      <c r="B203" s="133"/>
      <c r="C203" s="133"/>
      <c r="D203" s="133"/>
      <c r="E203" s="133"/>
      <c r="F203" s="133"/>
      <c r="G203" s="134"/>
      <c r="H203" s="135"/>
      <c r="I203" s="133"/>
      <c r="J203" s="133"/>
      <c r="K203" s="133"/>
      <c r="L203" s="133"/>
      <c r="M203" s="133"/>
      <c r="N203" s="134"/>
    </row>
    <row r="204" customFormat="false" ht="15" hidden="false" customHeight="false" outlineLevel="0" collapsed="false">
      <c r="A204" s="133"/>
      <c r="B204" s="133"/>
      <c r="C204" s="133"/>
      <c r="D204" s="133"/>
      <c r="E204" s="133"/>
      <c r="F204" s="133"/>
      <c r="G204" s="134"/>
      <c r="H204" s="135"/>
      <c r="I204" s="133"/>
      <c r="J204" s="133"/>
      <c r="K204" s="133"/>
      <c r="L204" s="133"/>
      <c r="M204" s="133"/>
      <c r="N204" s="134"/>
    </row>
    <row r="205" customFormat="false" ht="15" hidden="false" customHeight="false" outlineLevel="0" collapsed="false">
      <c r="A205" s="133"/>
      <c r="B205" s="133"/>
      <c r="C205" s="133"/>
      <c r="D205" s="133"/>
      <c r="E205" s="133"/>
      <c r="F205" s="133"/>
      <c r="G205" s="134"/>
      <c r="H205" s="135"/>
      <c r="I205" s="133"/>
      <c r="J205" s="133"/>
      <c r="K205" s="133"/>
      <c r="L205" s="133"/>
      <c r="M205" s="133"/>
      <c r="N205" s="134"/>
    </row>
    <row r="206" customFormat="false" ht="15" hidden="false" customHeight="false" outlineLevel="0" collapsed="false">
      <c r="A206" s="133"/>
      <c r="B206" s="133"/>
      <c r="C206" s="133"/>
      <c r="D206" s="133"/>
      <c r="E206" s="133"/>
      <c r="F206" s="133"/>
      <c r="G206" s="134"/>
      <c r="H206" s="135"/>
      <c r="I206" s="133"/>
      <c r="J206" s="133"/>
      <c r="K206" s="133"/>
      <c r="L206" s="133"/>
      <c r="M206" s="133"/>
      <c r="N206" s="134"/>
    </row>
    <row r="207" customFormat="false" ht="15" hidden="false" customHeight="false" outlineLevel="0" collapsed="false">
      <c r="A207" s="133"/>
      <c r="B207" s="133"/>
      <c r="C207" s="133"/>
      <c r="D207" s="133"/>
      <c r="E207" s="133"/>
      <c r="F207" s="133"/>
      <c r="G207" s="134"/>
      <c r="H207" s="135"/>
      <c r="I207" s="133"/>
      <c r="J207" s="133"/>
      <c r="K207" s="133"/>
      <c r="L207" s="133"/>
      <c r="M207" s="133"/>
      <c r="N207" s="134"/>
    </row>
    <row r="208" customFormat="false" ht="15" hidden="false" customHeight="false" outlineLevel="0" collapsed="false">
      <c r="A208" s="133"/>
      <c r="B208" s="133"/>
      <c r="C208" s="133"/>
      <c r="D208" s="133"/>
      <c r="E208" s="133"/>
      <c r="F208" s="133"/>
      <c r="G208" s="134"/>
      <c r="H208" s="135"/>
      <c r="I208" s="133"/>
      <c r="J208" s="133"/>
      <c r="K208" s="133"/>
      <c r="L208" s="133"/>
      <c r="M208" s="133"/>
      <c r="N208" s="134"/>
    </row>
    <row r="209" customFormat="false" ht="15" hidden="false" customHeight="false" outlineLevel="0" collapsed="false">
      <c r="A209" s="133"/>
      <c r="B209" s="133"/>
      <c r="C209" s="133"/>
      <c r="D209" s="133"/>
      <c r="E209" s="133"/>
      <c r="F209" s="133"/>
      <c r="G209" s="134"/>
      <c r="H209" s="135"/>
      <c r="I209" s="133"/>
      <c r="J209" s="133"/>
      <c r="K209" s="133"/>
      <c r="L209" s="133"/>
      <c r="M209" s="133"/>
      <c r="N209" s="134"/>
    </row>
    <row r="210" customFormat="false" ht="15" hidden="false" customHeight="false" outlineLevel="0" collapsed="false">
      <c r="A210" s="133"/>
      <c r="B210" s="133"/>
      <c r="C210" s="133"/>
      <c r="D210" s="133"/>
      <c r="E210" s="133"/>
      <c r="F210" s="133"/>
      <c r="G210" s="134"/>
      <c r="H210" s="135"/>
      <c r="I210" s="133"/>
      <c r="J210" s="133"/>
      <c r="K210" s="133"/>
      <c r="L210" s="133"/>
      <c r="M210" s="133"/>
      <c r="N210" s="134"/>
    </row>
    <row r="211" customFormat="false" ht="15" hidden="false" customHeight="false" outlineLevel="0" collapsed="false">
      <c r="A211" s="133"/>
      <c r="B211" s="133"/>
      <c r="C211" s="133"/>
      <c r="D211" s="133"/>
      <c r="E211" s="133"/>
      <c r="F211" s="133"/>
      <c r="G211" s="134"/>
      <c r="H211" s="135"/>
      <c r="I211" s="133"/>
      <c r="J211" s="133"/>
      <c r="K211" s="133"/>
      <c r="L211" s="133"/>
      <c r="M211" s="133"/>
      <c r="N211" s="134"/>
    </row>
    <row r="212" customFormat="false" ht="15" hidden="false" customHeight="false" outlineLevel="0" collapsed="false">
      <c r="A212" s="133"/>
      <c r="B212" s="133"/>
      <c r="C212" s="133"/>
      <c r="D212" s="133"/>
      <c r="E212" s="133"/>
      <c r="F212" s="133"/>
      <c r="G212" s="134"/>
      <c r="H212" s="135"/>
      <c r="I212" s="133"/>
      <c r="J212" s="133"/>
      <c r="K212" s="133"/>
      <c r="L212" s="133"/>
      <c r="M212" s="133"/>
      <c r="N212" s="134"/>
    </row>
    <row r="213" customFormat="false" ht="15" hidden="false" customHeight="false" outlineLevel="0" collapsed="false">
      <c r="A213" s="133"/>
      <c r="B213" s="133"/>
      <c r="C213" s="133"/>
      <c r="D213" s="133"/>
      <c r="E213" s="133"/>
      <c r="F213" s="133"/>
      <c r="G213" s="134"/>
      <c r="H213" s="135"/>
      <c r="I213" s="133"/>
      <c r="J213" s="133"/>
      <c r="K213" s="133"/>
      <c r="L213" s="133"/>
      <c r="M213" s="133"/>
      <c r="N213" s="134"/>
    </row>
    <row r="214" customFormat="false" ht="15" hidden="false" customHeight="false" outlineLevel="0" collapsed="false">
      <c r="A214" s="133"/>
      <c r="B214" s="133"/>
      <c r="C214" s="133"/>
      <c r="D214" s="133"/>
      <c r="E214" s="133"/>
      <c r="F214" s="133"/>
      <c r="G214" s="134"/>
      <c r="H214" s="135"/>
      <c r="I214" s="133"/>
      <c r="J214" s="133"/>
      <c r="K214" s="133"/>
      <c r="L214" s="133"/>
      <c r="M214" s="133"/>
      <c r="N214" s="134"/>
    </row>
    <row r="215" customFormat="false" ht="15" hidden="false" customHeight="false" outlineLevel="0" collapsed="false">
      <c r="A215" s="133"/>
      <c r="B215" s="133"/>
      <c r="C215" s="133"/>
      <c r="D215" s="133"/>
      <c r="E215" s="133"/>
      <c r="F215" s="133"/>
      <c r="G215" s="134"/>
      <c r="H215" s="135"/>
      <c r="I215" s="133"/>
      <c r="J215" s="133"/>
      <c r="K215" s="133"/>
      <c r="L215" s="133"/>
      <c r="M215" s="133"/>
      <c r="N215" s="134"/>
    </row>
    <row r="216" customFormat="false" ht="15" hidden="false" customHeight="false" outlineLevel="0" collapsed="false">
      <c r="A216" s="133"/>
      <c r="B216" s="133"/>
      <c r="C216" s="133"/>
      <c r="D216" s="133"/>
      <c r="E216" s="133"/>
      <c r="F216" s="133"/>
      <c r="G216" s="134"/>
      <c r="H216" s="135"/>
      <c r="I216" s="133"/>
      <c r="J216" s="133"/>
      <c r="K216" s="133"/>
      <c r="L216" s="133"/>
      <c r="M216" s="133"/>
      <c r="N216" s="134"/>
    </row>
    <row r="217" customFormat="false" ht="15" hidden="false" customHeight="false" outlineLevel="0" collapsed="false">
      <c r="A217" s="133"/>
      <c r="B217" s="133"/>
      <c r="C217" s="133"/>
      <c r="D217" s="133"/>
      <c r="E217" s="133"/>
      <c r="F217" s="133"/>
      <c r="G217" s="134"/>
      <c r="H217" s="135"/>
      <c r="I217" s="133"/>
      <c r="J217" s="133"/>
      <c r="K217" s="133"/>
      <c r="L217" s="133"/>
      <c r="M217" s="133"/>
      <c r="N217" s="134"/>
    </row>
    <row r="218" customFormat="false" ht="15" hidden="false" customHeight="false" outlineLevel="0" collapsed="false">
      <c r="A218" s="133"/>
      <c r="B218" s="133"/>
      <c r="C218" s="133"/>
      <c r="D218" s="133"/>
      <c r="E218" s="133"/>
      <c r="F218" s="133"/>
      <c r="G218" s="134"/>
      <c r="H218" s="135"/>
      <c r="I218" s="133"/>
      <c r="J218" s="133"/>
      <c r="K218" s="133"/>
      <c r="L218" s="133"/>
      <c r="M218" s="133"/>
      <c r="N218" s="134"/>
    </row>
    <row r="219" customFormat="false" ht="15" hidden="false" customHeight="false" outlineLevel="0" collapsed="false">
      <c r="A219" s="133"/>
      <c r="B219" s="133"/>
      <c r="C219" s="133"/>
      <c r="D219" s="133"/>
      <c r="E219" s="133"/>
      <c r="F219" s="133"/>
      <c r="G219" s="134"/>
      <c r="H219" s="135"/>
      <c r="I219" s="133"/>
      <c r="J219" s="133"/>
      <c r="K219" s="133"/>
      <c r="L219" s="133"/>
      <c r="M219" s="133"/>
      <c r="N219" s="134"/>
    </row>
    <row r="220" customFormat="false" ht="15" hidden="false" customHeight="false" outlineLevel="0" collapsed="false">
      <c r="A220" s="133"/>
      <c r="B220" s="133"/>
      <c r="C220" s="133"/>
      <c r="D220" s="133"/>
      <c r="E220" s="133"/>
      <c r="F220" s="133"/>
      <c r="G220" s="134"/>
      <c r="H220" s="135"/>
      <c r="I220" s="133"/>
      <c r="J220" s="133"/>
      <c r="K220" s="133"/>
      <c r="L220" s="133"/>
      <c r="M220" s="133"/>
      <c r="N220" s="134"/>
    </row>
    <row r="221" customFormat="false" ht="15" hidden="false" customHeight="false" outlineLevel="0" collapsed="false">
      <c r="A221" s="133"/>
      <c r="B221" s="133"/>
      <c r="C221" s="133"/>
      <c r="D221" s="133"/>
      <c r="E221" s="133"/>
      <c r="F221" s="133"/>
      <c r="G221" s="134"/>
      <c r="H221" s="135"/>
      <c r="I221" s="133"/>
      <c r="J221" s="133"/>
      <c r="K221" s="133"/>
      <c r="L221" s="133"/>
      <c r="M221" s="133"/>
      <c r="N221" s="134"/>
    </row>
    <row r="222" customFormat="false" ht="15" hidden="false" customHeight="false" outlineLevel="0" collapsed="false">
      <c r="A222" s="133"/>
      <c r="B222" s="133"/>
      <c r="C222" s="133"/>
      <c r="D222" s="133"/>
      <c r="E222" s="133"/>
      <c r="F222" s="133"/>
      <c r="G222" s="134"/>
      <c r="H222" s="135"/>
      <c r="I222" s="133"/>
      <c r="J222" s="133"/>
      <c r="K222" s="133"/>
      <c r="L222" s="133"/>
      <c r="M222" s="133"/>
      <c r="N222" s="134"/>
    </row>
    <row r="223" customFormat="false" ht="15" hidden="false" customHeight="false" outlineLevel="0" collapsed="false">
      <c r="A223" s="133"/>
      <c r="B223" s="133"/>
      <c r="C223" s="133"/>
      <c r="D223" s="133"/>
      <c r="E223" s="133"/>
      <c r="F223" s="133"/>
      <c r="G223" s="134"/>
      <c r="H223" s="135"/>
      <c r="I223" s="133"/>
      <c r="J223" s="133"/>
      <c r="K223" s="133"/>
      <c r="L223" s="133"/>
      <c r="M223" s="133"/>
      <c r="N223" s="134"/>
    </row>
    <row r="224" customFormat="false" ht="15" hidden="false" customHeight="false" outlineLevel="0" collapsed="false">
      <c r="A224" s="133"/>
      <c r="B224" s="133"/>
      <c r="C224" s="133"/>
      <c r="D224" s="133"/>
      <c r="E224" s="133"/>
      <c r="F224" s="133"/>
      <c r="G224" s="134"/>
      <c r="H224" s="135"/>
      <c r="I224" s="133"/>
      <c r="J224" s="133"/>
      <c r="K224" s="133"/>
      <c r="L224" s="133"/>
      <c r="M224" s="133"/>
      <c r="N224" s="134"/>
    </row>
    <row r="225" customFormat="false" ht="15" hidden="false" customHeight="false" outlineLevel="0" collapsed="false">
      <c r="A225" s="133"/>
      <c r="B225" s="133"/>
      <c r="C225" s="133"/>
      <c r="D225" s="133"/>
      <c r="E225" s="133"/>
      <c r="F225" s="133"/>
      <c r="G225" s="134"/>
      <c r="H225" s="135"/>
      <c r="I225" s="133"/>
      <c r="J225" s="133"/>
      <c r="K225" s="133"/>
      <c r="L225" s="133"/>
      <c r="M225" s="133"/>
      <c r="N225" s="134"/>
    </row>
    <row r="226" customFormat="false" ht="15" hidden="false" customHeight="false" outlineLevel="0" collapsed="false">
      <c r="A226" s="133"/>
      <c r="B226" s="133"/>
      <c r="C226" s="133"/>
      <c r="D226" s="133"/>
      <c r="E226" s="133"/>
      <c r="F226" s="133"/>
      <c r="G226" s="134"/>
      <c r="H226" s="135"/>
      <c r="I226" s="133"/>
      <c r="J226" s="133"/>
      <c r="K226" s="133"/>
      <c r="L226" s="133"/>
      <c r="M226" s="133"/>
      <c r="N226" s="134"/>
    </row>
    <row r="227" customFormat="false" ht="15" hidden="false" customHeight="false" outlineLevel="0" collapsed="false">
      <c r="A227" s="133"/>
      <c r="B227" s="133"/>
      <c r="C227" s="133"/>
      <c r="D227" s="133"/>
      <c r="E227" s="133"/>
      <c r="F227" s="133"/>
      <c r="G227" s="134"/>
      <c r="H227" s="135"/>
      <c r="I227" s="133"/>
      <c r="J227" s="133"/>
      <c r="K227" s="133"/>
      <c r="L227" s="133"/>
      <c r="M227" s="133"/>
      <c r="N227" s="134"/>
    </row>
    <row r="228" customFormat="false" ht="15" hidden="false" customHeight="false" outlineLevel="0" collapsed="false">
      <c r="A228" s="133"/>
      <c r="B228" s="133"/>
      <c r="C228" s="133"/>
      <c r="D228" s="133"/>
      <c r="E228" s="133"/>
      <c r="F228" s="133"/>
      <c r="G228" s="134"/>
      <c r="H228" s="135"/>
      <c r="I228" s="133"/>
      <c r="J228" s="133"/>
      <c r="K228" s="133"/>
      <c r="L228" s="133"/>
      <c r="M228" s="133"/>
      <c r="N228" s="134"/>
    </row>
    <row r="229" customFormat="false" ht="15" hidden="false" customHeight="false" outlineLevel="0" collapsed="false">
      <c r="A229" s="133"/>
      <c r="B229" s="133"/>
      <c r="C229" s="133"/>
      <c r="D229" s="133"/>
      <c r="E229" s="133"/>
      <c r="F229" s="133"/>
      <c r="G229" s="134"/>
      <c r="H229" s="135"/>
      <c r="I229" s="133"/>
      <c r="J229" s="133"/>
      <c r="K229" s="133"/>
      <c r="L229" s="133"/>
      <c r="M229" s="133"/>
      <c r="N229" s="134"/>
    </row>
    <row r="230" customFormat="false" ht="15" hidden="false" customHeight="false" outlineLevel="0" collapsed="false">
      <c r="A230" s="133"/>
      <c r="B230" s="133"/>
      <c r="C230" s="133"/>
      <c r="D230" s="133"/>
      <c r="E230" s="133"/>
      <c r="F230" s="133"/>
      <c r="G230" s="134"/>
      <c r="H230" s="135"/>
      <c r="I230" s="133"/>
      <c r="J230" s="133"/>
      <c r="K230" s="133"/>
      <c r="L230" s="133"/>
      <c r="M230" s="133"/>
      <c r="N230" s="134"/>
    </row>
    <row r="231" customFormat="false" ht="15" hidden="false" customHeight="false" outlineLevel="0" collapsed="false">
      <c r="A231" s="133"/>
      <c r="B231" s="133"/>
      <c r="C231" s="133"/>
      <c r="D231" s="133"/>
      <c r="E231" s="133"/>
      <c r="F231" s="133"/>
      <c r="G231" s="134"/>
      <c r="H231" s="135"/>
      <c r="I231" s="133"/>
      <c r="J231" s="133"/>
      <c r="K231" s="133"/>
      <c r="L231" s="133"/>
      <c r="M231" s="133"/>
      <c r="N231" s="134"/>
    </row>
    <row r="232" customFormat="false" ht="15" hidden="false" customHeight="false" outlineLevel="0" collapsed="false">
      <c r="A232" s="133"/>
      <c r="B232" s="133"/>
      <c r="C232" s="133"/>
      <c r="D232" s="133"/>
      <c r="E232" s="133"/>
      <c r="F232" s="133"/>
      <c r="G232" s="134"/>
      <c r="H232" s="135"/>
      <c r="I232" s="133"/>
      <c r="J232" s="133"/>
      <c r="K232" s="133"/>
      <c r="L232" s="133"/>
      <c r="M232" s="133"/>
      <c r="N232" s="134"/>
    </row>
    <row r="233" customFormat="false" ht="15" hidden="false" customHeight="false" outlineLevel="0" collapsed="false">
      <c r="A233" s="133"/>
      <c r="B233" s="133"/>
      <c r="C233" s="133"/>
      <c r="D233" s="133"/>
      <c r="E233" s="133"/>
      <c r="F233" s="133"/>
      <c r="G233" s="134"/>
      <c r="H233" s="135"/>
      <c r="I233" s="133"/>
      <c r="J233" s="133"/>
      <c r="K233" s="133"/>
      <c r="L233" s="133"/>
      <c r="M233" s="133"/>
      <c r="N233" s="134"/>
    </row>
    <row r="234" customFormat="false" ht="15" hidden="false" customHeight="false" outlineLevel="0" collapsed="false">
      <c r="A234" s="133"/>
      <c r="B234" s="133"/>
      <c r="C234" s="133"/>
      <c r="D234" s="133"/>
      <c r="E234" s="133"/>
      <c r="F234" s="133"/>
      <c r="G234" s="134"/>
      <c r="H234" s="135"/>
      <c r="I234" s="133"/>
      <c r="J234" s="133"/>
      <c r="K234" s="133"/>
      <c r="L234" s="133"/>
      <c r="M234" s="133"/>
      <c r="N234" s="134"/>
    </row>
    <row r="235" customFormat="false" ht="15" hidden="false" customHeight="false" outlineLevel="0" collapsed="false">
      <c r="A235" s="133"/>
      <c r="B235" s="133"/>
      <c r="C235" s="133"/>
      <c r="D235" s="133"/>
      <c r="E235" s="133"/>
      <c r="F235" s="133"/>
      <c r="G235" s="134"/>
      <c r="H235" s="135"/>
      <c r="I235" s="133"/>
      <c r="J235" s="133"/>
      <c r="K235" s="133"/>
      <c r="L235" s="133"/>
      <c r="M235" s="133"/>
      <c r="N235" s="134"/>
    </row>
    <row r="236" customFormat="false" ht="15" hidden="false" customHeight="false" outlineLevel="0" collapsed="false">
      <c r="A236" s="133"/>
      <c r="B236" s="133"/>
      <c r="C236" s="133"/>
      <c r="D236" s="133"/>
      <c r="E236" s="133"/>
      <c r="F236" s="133"/>
      <c r="G236" s="134"/>
      <c r="H236" s="135"/>
      <c r="I236" s="133"/>
      <c r="J236" s="133"/>
      <c r="K236" s="133"/>
      <c r="L236" s="133"/>
      <c r="M236" s="133"/>
      <c r="N236" s="134"/>
    </row>
    <row r="237" customFormat="false" ht="15" hidden="false" customHeight="false" outlineLevel="0" collapsed="false">
      <c r="A237" s="133"/>
      <c r="B237" s="133"/>
      <c r="C237" s="133"/>
      <c r="D237" s="133"/>
      <c r="E237" s="133"/>
      <c r="F237" s="133"/>
      <c r="G237" s="134"/>
      <c r="H237" s="135"/>
      <c r="I237" s="133"/>
      <c r="J237" s="133"/>
      <c r="K237" s="133"/>
      <c r="L237" s="133"/>
      <c r="M237" s="133"/>
      <c r="N237" s="134"/>
    </row>
    <row r="238" customFormat="false" ht="15" hidden="false" customHeight="false" outlineLevel="0" collapsed="false">
      <c r="A238" s="133"/>
      <c r="B238" s="133"/>
      <c r="C238" s="133"/>
      <c r="D238" s="133"/>
      <c r="E238" s="133"/>
      <c r="F238" s="133"/>
      <c r="G238" s="134"/>
      <c r="H238" s="135"/>
      <c r="I238" s="133"/>
      <c r="J238" s="133"/>
      <c r="K238" s="133"/>
      <c r="L238" s="133"/>
      <c r="M238" s="133"/>
      <c r="N238" s="134"/>
    </row>
    <row r="239" customFormat="false" ht="15" hidden="false" customHeight="false" outlineLevel="0" collapsed="false">
      <c r="A239" s="133"/>
      <c r="B239" s="133"/>
      <c r="C239" s="133"/>
      <c r="D239" s="133"/>
      <c r="E239" s="133"/>
      <c r="F239" s="133"/>
      <c r="G239" s="134"/>
      <c r="H239" s="135"/>
      <c r="I239" s="133"/>
      <c r="J239" s="133"/>
      <c r="K239" s="133"/>
      <c r="L239" s="133"/>
      <c r="M239" s="133"/>
      <c r="N239" s="134"/>
    </row>
    <row r="240" customFormat="false" ht="15" hidden="false" customHeight="false" outlineLevel="0" collapsed="false">
      <c r="A240" s="133"/>
      <c r="B240" s="133"/>
      <c r="C240" s="133"/>
      <c r="D240" s="133"/>
      <c r="E240" s="133"/>
      <c r="F240" s="133"/>
      <c r="G240" s="134"/>
      <c r="H240" s="135"/>
      <c r="I240" s="133"/>
      <c r="J240" s="133"/>
      <c r="K240" s="133"/>
      <c r="L240" s="133"/>
      <c r="M240" s="133"/>
      <c r="N240" s="134"/>
    </row>
    <row r="241" customFormat="false" ht="15" hidden="false" customHeight="false" outlineLevel="0" collapsed="false">
      <c r="A241" s="133"/>
      <c r="B241" s="133"/>
      <c r="C241" s="133"/>
      <c r="D241" s="133"/>
      <c r="E241" s="133"/>
      <c r="F241" s="133"/>
      <c r="G241" s="134"/>
      <c r="H241" s="135"/>
      <c r="I241" s="133"/>
      <c r="J241" s="133"/>
      <c r="K241" s="133"/>
      <c r="L241" s="133"/>
      <c r="M241" s="133"/>
      <c r="N241" s="134"/>
    </row>
    <row r="242" customFormat="false" ht="15" hidden="false" customHeight="false" outlineLevel="0" collapsed="false">
      <c r="A242" s="133"/>
      <c r="B242" s="133"/>
      <c r="C242" s="133"/>
      <c r="D242" s="133"/>
      <c r="E242" s="133"/>
      <c r="F242" s="133"/>
      <c r="G242" s="134"/>
      <c r="H242" s="135"/>
      <c r="I242" s="133"/>
      <c r="J242" s="133"/>
      <c r="K242" s="133"/>
      <c r="L242" s="133"/>
      <c r="M242" s="133"/>
      <c r="N242" s="134"/>
    </row>
    <row r="243" customFormat="false" ht="15" hidden="false" customHeight="false" outlineLevel="0" collapsed="false">
      <c r="A243" s="133"/>
      <c r="B243" s="133"/>
      <c r="C243" s="133"/>
      <c r="D243" s="133"/>
      <c r="E243" s="133"/>
      <c r="F243" s="133"/>
      <c r="G243" s="134"/>
      <c r="H243" s="135"/>
      <c r="I243" s="133"/>
      <c r="J243" s="133"/>
      <c r="K243" s="133"/>
      <c r="L243" s="133"/>
      <c r="M243" s="133"/>
      <c r="N243" s="134"/>
    </row>
    <row r="244" customFormat="false" ht="15" hidden="false" customHeight="false" outlineLevel="0" collapsed="false">
      <c r="A244" s="133"/>
      <c r="B244" s="133"/>
      <c r="C244" s="133"/>
      <c r="D244" s="133"/>
      <c r="E244" s="133"/>
      <c r="F244" s="133"/>
      <c r="G244" s="134"/>
      <c r="H244" s="135"/>
      <c r="I244" s="133"/>
      <c r="J244" s="133"/>
      <c r="K244" s="133"/>
      <c r="L244" s="133"/>
      <c r="M244" s="133"/>
      <c r="N244" s="134"/>
    </row>
    <row r="245" customFormat="false" ht="15" hidden="false" customHeight="false" outlineLevel="0" collapsed="false">
      <c r="A245" s="133"/>
      <c r="B245" s="133"/>
      <c r="C245" s="133"/>
      <c r="D245" s="133"/>
      <c r="E245" s="133"/>
      <c r="F245" s="133"/>
      <c r="G245" s="134"/>
      <c r="H245" s="135"/>
      <c r="I245" s="133"/>
      <c r="J245" s="133"/>
      <c r="K245" s="133"/>
      <c r="L245" s="133"/>
      <c r="M245" s="133"/>
      <c r="N245" s="134"/>
    </row>
    <row r="246" customFormat="false" ht="15" hidden="false" customHeight="false" outlineLevel="0" collapsed="false">
      <c r="A246" s="133"/>
      <c r="B246" s="133"/>
      <c r="C246" s="133"/>
      <c r="D246" s="133"/>
      <c r="E246" s="133"/>
      <c r="F246" s="133"/>
      <c r="G246" s="134"/>
      <c r="H246" s="135"/>
      <c r="I246" s="133"/>
      <c r="J246" s="133"/>
      <c r="K246" s="133"/>
      <c r="L246" s="133"/>
      <c r="M246" s="133"/>
      <c r="N246" s="134"/>
    </row>
    <row r="247" customFormat="false" ht="15" hidden="false" customHeight="false" outlineLevel="0" collapsed="false">
      <c r="A247" s="133"/>
      <c r="B247" s="133"/>
      <c r="C247" s="133"/>
      <c r="D247" s="133"/>
      <c r="E247" s="133"/>
      <c r="F247" s="133"/>
      <c r="G247" s="134"/>
      <c r="H247" s="135"/>
      <c r="I247" s="133"/>
      <c r="J247" s="133"/>
      <c r="K247" s="133"/>
      <c r="L247" s="133"/>
      <c r="M247" s="133"/>
      <c r="N247" s="134"/>
    </row>
    <row r="248" customFormat="false" ht="15" hidden="false" customHeight="false" outlineLevel="0" collapsed="false">
      <c r="A248" s="133"/>
      <c r="B248" s="133"/>
      <c r="C248" s="133"/>
      <c r="D248" s="133"/>
      <c r="E248" s="133"/>
      <c r="F248" s="133"/>
      <c r="G248" s="134"/>
      <c r="H248" s="135"/>
      <c r="I248" s="133"/>
      <c r="J248" s="133"/>
      <c r="K248" s="133"/>
      <c r="L248" s="133"/>
      <c r="M248" s="133"/>
      <c r="N248" s="134"/>
    </row>
    <row r="249" customFormat="false" ht="15" hidden="false" customHeight="false" outlineLevel="0" collapsed="false">
      <c r="A249" s="133"/>
      <c r="B249" s="133"/>
      <c r="C249" s="133"/>
      <c r="D249" s="133"/>
      <c r="E249" s="133"/>
      <c r="F249" s="133"/>
      <c r="G249" s="134"/>
      <c r="H249" s="135"/>
      <c r="I249" s="133"/>
      <c r="J249" s="133"/>
      <c r="K249" s="133"/>
      <c r="L249" s="133"/>
      <c r="M249" s="133"/>
      <c r="N249" s="134"/>
    </row>
    <row r="250" customFormat="false" ht="15" hidden="false" customHeight="false" outlineLevel="0" collapsed="false">
      <c r="A250" s="133"/>
      <c r="B250" s="133"/>
      <c r="C250" s="133"/>
      <c r="D250" s="133"/>
      <c r="E250" s="133"/>
      <c r="F250" s="133"/>
      <c r="G250" s="134"/>
      <c r="H250" s="135"/>
      <c r="I250" s="133"/>
      <c r="J250" s="133"/>
      <c r="K250" s="133"/>
      <c r="L250" s="133"/>
      <c r="M250" s="133"/>
      <c r="N250" s="134"/>
    </row>
    <row r="251" customFormat="false" ht="15" hidden="false" customHeight="false" outlineLevel="0" collapsed="false">
      <c r="A251" s="133"/>
      <c r="B251" s="133"/>
      <c r="C251" s="133"/>
      <c r="D251" s="133"/>
      <c r="E251" s="133"/>
      <c r="F251" s="133"/>
      <c r="G251" s="134"/>
      <c r="H251" s="135"/>
      <c r="I251" s="133"/>
      <c r="J251" s="133"/>
      <c r="K251" s="133"/>
      <c r="L251" s="133"/>
      <c r="M251" s="133"/>
      <c r="N251" s="134"/>
    </row>
    <row r="252" customFormat="false" ht="15" hidden="false" customHeight="false" outlineLevel="0" collapsed="false">
      <c r="A252" s="133"/>
      <c r="B252" s="133"/>
      <c r="C252" s="133"/>
      <c r="D252" s="133"/>
      <c r="E252" s="133"/>
      <c r="F252" s="133"/>
      <c r="G252" s="134"/>
      <c r="H252" s="135"/>
      <c r="I252" s="133"/>
      <c r="J252" s="133"/>
      <c r="K252" s="133"/>
      <c r="L252" s="133"/>
      <c r="M252" s="133"/>
      <c r="N252" s="134"/>
    </row>
    <row r="253" customFormat="false" ht="15" hidden="false" customHeight="false" outlineLevel="0" collapsed="false">
      <c r="A253" s="133"/>
      <c r="B253" s="133"/>
      <c r="C253" s="133"/>
      <c r="D253" s="133"/>
      <c r="E253" s="133"/>
      <c r="F253" s="133"/>
      <c r="G253" s="134"/>
      <c r="H253" s="135"/>
      <c r="I253" s="133"/>
      <c r="J253" s="133"/>
      <c r="K253" s="133"/>
      <c r="L253" s="133"/>
      <c r="M253" s="133"/>
      <c r="N253" s="134"/>
    </row>
    <row r="254" customFormat="false" ht="15" hidden="false" customHeight="false" outlineLevel="0" collapsed="false">
      <c r="A254" s="133"/>
      <c r="B254" s="133"/>
      <c r="C254" s="133"/>
      <c r="D254" s="133"/>
      <c r="E254" s="133"/>
      <c r="F254" s="133"/>
      <c r="G254" s="134"/>
      <c r="H254" s="135"/>
      <c r="I254" s="133"/>
      <c r="J254" s="133"/>
      <c r="K254" s="133"/>
      <c r="L254" s="133"/>
      <c r="M254" s="133"/>
      <c r="N254" s="134"/>
    </row>
    <row r="255" customFormat="false" ht="15" hidden="false" customHeight="false" outlineLevel="0" collapsed="false">
      <c r="A255" s="133"/>
      <c r="B255" s="133"/>
      <c r="C255" s="133"/>
      <c r="D255" s="133"/>
      <c r="E255" s="133"/>
      <c r="F255" s="133"/>
      <c r="G255" s="134"/>
      <c r="H255" s="135"/>
      <c r="I255" s="133"/>
      <c r="J255" s="133"/>
      <c r="K255" s="133"/>
      <c r="L255" s="133"/>
      <c r="M255" s="133"/>
      <c r="N255" s="134"/>
    </row>
    <row r="256" customFormat="false" ht="15" hidden="false" customHeight="false" outlineLevel="0" collapsed="false">
      <c r="A256" s="133"/>
      <c r="B256" s="133"/>
      <c r="C256" s="133"/>
      <c r="D256" s="133"/>
      <c r="E256" s="133"/>
      <c r="F256" s="133"/>
      <c r="G256" s="134"/>
      <c r="H256" s="135"/>
      <c r="I256" s="133"/>
      <c r="J256" s="133"/>
      <c r="K256" s="133"/>
      <c r="L256" s="133"/>
      <c r="M256" s="133"/>
      <c r="N256" s="134"/>
    </row>
    <row r="257" customFormat="false" ht="15" hidden="false" customHeight="false" outlineLevel="0" collapsed="false">
      <c r="A257" s="133"/>
      <c r="B257" s="133"/>
      <c r="C257" s="133"/>
      <c r="D257" s="133"/>
      <c r="E257" s="133"/>
      <c r="F257" s="133"/>
      <c r="G257" s="134"/>
      <c r="H257" s="135"/>
      <c r="I257" s="133"/>
      <c r="J257" s="133"/>
      <c r="K257" s="133"/>
      <c r="L257" s="133"/>
      <c r="M257" s="133"/>
      <c r="N257" s="134"/>
    </row>
    <row r="258" customFormat="false" ht="15" hidden="false" customHeight="false" outlineLevel="0" collapsed="false">
      <c r="A258" s="133"/>
      <c r="B258" s="133"/>
      <c r="C258" s="133"/>
      <c r="D258" s="133"/>
      <c r="E258" s="133"/>
      <c r="F258" s="133"/>
      <c r="G258" s="134"/>
      <c r="H258" s="135"/>
      <c r="I258" s="133"/>
      <c r="J258" s="133"/>
      <c r="K258" s="133"/>
      <c r="L258" s="133"/>
      <c r="M258" s="133"/>
      <c r="N258" s="134"/>
    </row>
    <row r="259" customFormat="false" ht="15" hidden="false" customHeight="false" outlineLevel="0" collapsed="false">
      <c r="A259" s="133"/>
      <c r="B259" s="133"/>
      <c r="C259" s="133"/>
      <c r="D259" s="133"/>
      <c r="E259" s="133"/>
      <c r="F259" s="133"/>
      <c r="G259" s="134"/>
      <c r="H259" s="135"/>
      <c r="I259" s="133"/>
      <c r="J259" s="133"/>
      <c r="K259" s="133"/>
      <c r="L259" s="133"/>
      <c r="M259" s="133"/>
      <c r="N259" s="134"/>
    </row>
    <row r="260" customFormat="false" ht="15" hidden="false" customHeight="false" outlineLevel="0" collapsed="false">
      <c r="A260" s="133"/>
      <c r="B260" s="133"/>
      <c r="C260" s="133"/>
      <c r="D260" s="133"/>
      <c r="E260" s="133"/>
      <c r="F260" s="133"/>
      <c r="G260" s="134"/>
      <c r="H260" s="135"/>
      <c r="I260" s="133"/>
      <c r="J260" s="133"/>
      <c r="K260" s="133"/>
      <c r="L260" s="133"/>
      <c r="M260" s="133"/>
      <c r="N260" s="134"/>
    </row>
    <row r="261" customFormat="false" ht="15" hidden="false" customHeight="false" outlineLevel="0" collapsed="false">
      <c r="A261" s="133"/>
      <c r="B261" s="133"/>
      <c r="C261" s="133"/>
      <c r="D261" s="133"/>
      <c r="E261" s="133"/>
      <c r="F261" s="133"/>
      <c r="G261" s="134"/>
      <c r="H261" s="135"/>
      <c r="I261" s="133"/>
      <c r="J261" s="133"/>
      <c r="K261" s="133"/>
      <c r="L261" s="133"/>
      <c r="M261" s="133"/>
      <c r="N261" s="134"/>
    </row>
    <row r="262" customFormat="false" ht="15" hidden="false" customHeight="false" outlineLevel="0" collapsed="false">
      <c r="A262" s="133"/>
      <c r="B262" s="133"/>
      <c r="C262" s="133"/>
      <c r="D262" s="133"/>
      <c r="E262" s="133"/>
      <c r="F262" s="133"/>
      <c r="G262" s="134"/>
      <c r="H262" s="135"/>
      <c r="I262" s="133"/>
      <c r="J262" s="133"/>
      <c r="K262" s="133"/>
      <c r="L262" s="133"/>
      <c r="M262" s="133"/>
      <c r="N262" s="134"/>
    </row>
    <row r="263" customFormat="false" ht="15" hidden="false" customHeight="false" outlineLevel="0" collapsed="false">
      <c r="A263" s="133"/>
      <c r="B263" s="133"/>
      <c r="C263" s="133"/>
      <c r="D263" s="133"/>
      <c r="E263" s="133"/>
      <c r="F263" s="133"/>
      <c r="G263" s="134"/>
      <c r="H263" s="135"/>
      <c r="I263" s="133"/>
      <c r="J263" s="133"/>
      <c r="K263" s="133"/>
      <c r="L263" s="133"/>
      <c r="M263" s="133"/>
      <c r="N263" s="134"/>
    </row>
    <row r="264" customFormat="false" ht="15" hidden="false" customHeight="false" outlineLevel="0" collapsed="false">
      <c r="A264" s="133"/>
      <c r="B264" s="133"/>
      <c r="C264" s="133"/>
      <c r="D264" s="133"/>
      <c r="E264" s="133"/>
      <c r="F264" s="133"/>
      <c r="G264" s="134"/>
      <c r="H264" s="135"/>
      <c r="I264" s="133"/>
      <c r="J264" s="133"/>
      <c r="K264" s="133"/>
      <c r="L264" s="133"/>
      <c r="M264" s="133"/>
      <c r="N264" s="134"/>
    </row>
    <row r="265" customFormat="false" ht="15" hidden="false" customHeight="false" outlineLevel="0" collapsed="false">
      <c r="A265" s="133"/>
      <c r="B265" s="133"/>
      <c r="C265" s="133"/>
      <c r="D265" s="133"/>
      <c r="E265" s="133"/>
      <c r="F265" s="133"/>
      <c r="G265" s="134"/>
      <c r="H265" s="135"/>
      <c r="I265" s="133"/>
      <c r="J265" s="133"/>
      <c r="K265" s="133"/>
      <c r="L265" s="133"/>
      <c r="M265" s="133"/>
      <c r="N265" s="134"/>
    </row>
    <row r="266" customFormat="false" ht="15" hidden="false" customHeight="false" outlineLevel="0" collapsed="false">
      <c r="A266" s="133"/>
      <c r="B266" s="133"/>
      <c r="C266" s="133"/>
      <c r="D266" s="133"/>
      <c r="E266" s="133"/>
      <c r="F266" s="133"/>
      <c r="G266" s="134"/>
      <c r="H266" s="135"/>
      <c r="I266" s="133"/>
      <c r="J266" s="133"/>
      <c r="K266" s="133"/>
      <c r="L266" s="133"/>
      <c r="M266" s="133"/>
      <c r="N266" s="134"/>
    </row>
    <row r="267" customFormat="false" ht="15" hidden="false" customHeight="false" outlineLevel="0" collapsed="false">
      <c r="A267" s="133"/>
      <c r="B267" s="133"/>
      <c r="C267" s="133"/>
      <c r="D267" s="133"/>
      <c r="E267" s="133"/>
      <c r="F267" s="133"/>
      <c r="G267" s="134"/>
      <c r="H267" s="135"/>
      <c r="I267" s="133"/>
      <c r="J267" s="133"/>
      <c r="K267" s="133"/>
      <c r="L267" s="133"/>
      <c r="M267" s="133"/>
      <c r="N267" s="134"/>
    </row>
    <row r="268" customFormat="false" ht="15" hidden="false" customHeight="false" outlineLevel="0" collapsed="false">
      <c r="A268" s="133"/>
      <c r="B268" s="133"/>
      <c r="C268" s="133"/>
      <c r="D268" s="133"/>
      <c r="E268" s="133"/>
      <c r="F268" s="133"/>
      <c r="G268" s="134"/>
      <c r="H268" s="135"/>
      <c r="I268" s="133"/>
      <c r="J268" s="133"/>
      <c r="K268" s="133"/>
      <c r="L268" s="133"/>
      <c r="M268" s="133"/>
      <c r="N268" s="134"/>
    </row>
    <row r="269" customFormat="false" ht="15" hidden="false" customHeight="false" outlineLevel="0" collapsed="false">
      <c r="A269" s="133"/>
      <c r="B269" s="133"/>
      <c r="C269" s="133"/>
      <c r="D269" s="133"/>
      <c r="E269" s="133"/>
      <c r="F269" s="133"/>
      <c r="G269" s="134"/>
      <c r="H269" s="135"/>
      <c r="I269" s="133"/>
      <c r="J269" s="133"/>
      <c r="K269" s="133"/>
      <c r="L269" s="133"/>
      <c r="M269" s="133"/>
      <c r="N269" s="134"/>
    </row>
    <row r="270" customFormat="false" ht="15" hidden="false" customHeight="false" outlineLevel="0" collapsed="false">
      <c r="A270" s="133"/>
      <c r="B270" s="133"/>
      <c r="C270" s="133"/>
      <c r="D270" s="133"/>
      <c r="E270" s="133"/>
      <c r="F270" s="133"/>
      <c r="G270" s="134"/>
      <c r="H270" s="135"/>
      <c r="I270" s="133"/>
      <c r="J270" s="133"/>
      <c r="K270" s="133"/>
      <c r="L270" s="133"/>
      <c r="M270" s="133"/>
      <c r="N270" s="134"/>
    </row>
    <row r="271" customFormat="false" ht="15" hidden="false" customHeight="false" outlineLevel="0" collapsed="false">
      <c r="A271" s="133"/>
      <c r="B271" s="133"/>
      <c r="C271" s="133"/>
      <c r="D271" s="133"/>
      <c r="E271" s="133"/>
      <c r="F271" s="133"/>
      <c r="G271" s="134"/>
      <c r="H271" s="135"/>
      <c r="I271" s="133"/>
      <c r="J271" s="133"/>
      <c r="K271" s="133"/>
      <c r="L271" s="133"/>
      <c r="M271" s="133"/>
      <c r="N271" s="134"/>
    </row>
    <row r="272" customFormat="false" ht="15" hidden="false" customHeight="false" outlineLevel="0" collapsed="false">
      <c r="A272" s="133"/>
      <c r="B272" s="133"/>
      <c r="C272" s="133"/>
      <c r="D272" s="133"/>
      <c r="E272" s="133"/>
      <c r="F272" s="133"/>
      <c r="G272" s="134"/>
      <c r="H272" s="135"/>
      <c r="I272" s="133"/>
      <c r="J272" s="133"/>
      <c r="K272" s="133"/>
      <c r="L272" s="133"/>
      <c r="M272" s="133"/>
      <c r="N272" s="134"/>
    </row>
    <row r="273" customFormat="false" ht="15" hidden="false" customHeight="false" outlineLevel="0" collapsed="false">
      <c r="A273" s="133"/>
      <c r="B273" s="133"/>
      <c r="C273" s="133"/>
      <c r="D273" s="133"/>
      <c r="E273" s="133"/>
      <c r="F273" s="133"/>
      <c r="G273" s="134"/>
      <c r="H273" s="135"/>
      <c r="I273" s="133"/>
      <c r="J273" s="133"/>
      <c r="K273" s="133"/>
      <c r="L273" s="133"/>
      <c r="M273" s="133"/>
      <c r="N273" s="134"/>
    </row>
    <row r="274" customFormat="false" ht="15" hidden="false" customHeight="false" outlineLevel="0" collapsed="false">
      <c r="A274" s="133"/>
      <c r="B274" s="133"/>
      <c r="C274" s="133"/>
      <c r="D274" s="133"/>
      <c r="E274" s="133"/>
      <c r="F274" s="133"/>
      <c r="G274" s="134"/>
      <c r="H274" s="135"/>
      <c r="I274" s="133"/>
      <c r="J274" s="133"/>
      <c r="K274" s="133"/>
      <c r="L274" s="133"/>
      <c r="M274" s="133"/>
      <c r="N274" s="134"/>
    </row>
    <row r="275" customFormat="false" ht="15" hidden="false" customHeight="false" outlineLevel="0" collapsed="false">
      <c r="A275" s="133"/>
      <c r="B275" s="133"/>
      <c r="C275" s="133"/>
      <c r="D275" s="133"/>
      <c r="E275" s="133"/>
      <c r="F275" s="133"/>
      <c r="G275" s="134"/>
      <c r="H275" s="135"/>
      <c r="I275" s="133"/>
      <c r="J275" s="133"/>
      <c r="K275" s="133"/>
      <c r="L275" s="133"/>
      <c r="M275" s="133"/>
      <c r="N275" s="134"/>
    </row>
    <row r="276" customFormat="false" ht="15" hidden="false" customHeight="false" outlineLevel="0" collapsed="false">
      <c r="A276" s="133"/>
      <c r="B276" s="133"/>
      <c r="C276" s="133"/>
      <c r="D276" s="133"/>
      <c r="E276" s="133"/>
      <c r="F276" s="133"/>
      <c r="G276" s="134"/>
      <c r="H276" s="135"/>
      <c r="I276" s="133"/>
      <c r="J276" s="133"/>
      <c r="K276" s="133"/>
      <c r="L276" s="133"/>
      <c r="M276" s="133"/>
      <c r="N276" s="134"/>
    </row>
    <row r="277" customFormat="false" ht="15" hidden="false" customHeight="false" outlineLevel="0" collapsed="false">
      <c r="A277" s="133"/>
      <c r="B277" s="133"/>
      <c r="C277" s="133"/>
      <c r="D277" s="133"/>
      <c r="E277" s="133"/>
      <c r="F277" s="133"/>
      <c r="G277" s="134"/>
      <c r="H277" s="135"/>
      <c r="I277" s="133"/>
      <c r="J277" s="133"/>
      <c r="K277" s="133"/>
      <c r="L277" s="133"/>
      <c r="M277" s="133"/>
      <c r="N277" s="134"/>
    </row>
    <row r="278" customFormat="false" ht="15" hidden="false" customHeight="false" outlineLevel="0" collapsed="false">
      <c r="A278" s="133"/>
      <c r="B278" s="133"/>
      <c r="C278" s="133"/>
      <c r="D278" s="133"/>
      <c r="E278" s="133"/>
      <c r="F278" s="133"/>
      <c r="G278" s="134"/>
      <c r="H278" s="135"/>
      <c r="I278" s="133"/>
      <c r="J278" s="133"/>
      <c r="K278" s="133"/>
      <c r="L278" s="133"/>
      <c r="M278" s="133"/>
      <c r="N278" s="134"/>
    </row>
    <row r="279" customFormat="false" ht="15" hidden="false" customHeight="false" outlineLevel="0" collapsed="false">
      <c r="A279" s="133"/>
      <c r="B279" s="133"/>
      <c r="C279" s="133"/>
      <c r="D279" s="133"/>
      <c r="E279" s="133"/>
      <c r="F279" s="133"/>
      <c r="G279" s="134"/>
      <c r="H279" s="135"/>
      <c r="I279" s="133"/>
      <c r="J279" s="133"/>
      <c r="K279" s="133"/>
      <c r="L279" s="133"/>
      <c r="M279" s="133"/>
      <c r="N279" s="134"/>
    </row>
    <row r="280" customFormat="false" ht="15" hidden="false" customHeight="false" outlineLevel="0" collapsed="false">
      <c r="A280" s="133"/>
      <c r="B280" s="133"/>
      <c r="C280" s="133"/>
      <c r="D280" s="133"/>
      <c r="E280" s="133"/>
      <c r="F280" s="133"/>
      <c r="G280" s="134"/>
      <c r="H280" s="135"/>
      <c r="I280" s="133"/>
      <c r="J280" s="133"/>
      <c r="K280" s="133"/>
      <c r="L280" s="133"/>
      <c r="M280" s="133"/>
      <c r="N280" s="134"/>
    </row>
    <row r="281" customFormat="false" ht="15" hidden="false" customHeight="false" outlineLevel="0" collapsed="false">
      <c r="A281" s="133"/>
      <c r="B281" s="133"/>
      <c r="C281" s="133"/>
      <c r="D281" s="133"/>
      <c r="E281" s="133"/>
      <c r="F281" s="133"/>
      <c r="G281" s="134"/>
      <c r="H281" s="135"/>
      <c r="I281" s="133"/>
      <c r="J281" s="133"/>
      <c r="K281" s="133"/>
      <c r="L281" s="133"/>
      <c r="M281" s="133"/>
      <c r="N281" s="134"/>
    </row>
    <row r="282" customFormat="false" ht="15" hidden="false" customHeight="false" outlineLevel="0" collapsed="false">
      <c r="A282" s="133"/>
      <c r="B282" s="133"/>
      <c r="C282" s="133"/>
      <c r="D282" s="133"/>
      <c r="E282" s="133"/>
      <c r="F282" s="133"/>
      <c r="G282" s="134"/>
      <c r="H282" s="135"/>
      <c r="I282" s="133"/>
      <c r="J282" s="133"/>
      <c r="K282" s="133"/>
      <c r="L282" s="133"/>
      <c r="M282" s="133"/>
      <c r="N282" s="134"/>
    </row>
    <row r="283" customFormat="false" ht="15" hidden="false" customHeight="false" outlineLevel="0" collapsed="false">
      <c r="A283" s="133"/>
      <c r="B283" s="133"/>
      <c r="C283" s="133"/>
      <c r="D283" s="133"/>
      <c r="E283" s="133"/>
      <c r="F283" s="133"/>
      <c r="G283" s="134"/>
      <c r="H283" s="135"/>
      <c r="I283" s="133"/>
      <c r="J283" s="133"/>
      <c r="K283" s="133"/>
      <c r="L283" s="133"/>
      <c r="M283" s="133"/>
      <c r="N283" s="134"/>
    </row>
    <row r="284" customFormat="false" ht="15" hidden="false" customHeight="false" outlineLevel="0" collapsed="false">
      <c r="A284" s="133"/>
      <c r="B284" s="133"/>
      <c r="C284" s="133"/>
      <c r="D284" s="133"/>
      <c r="E284" s="133"/>
      <c r="F284" s="133"/>
      <c r="G284" s="134"/>
      <c r="H284" s="135"/>
      <c r="I284" s="133"/>
      <c r="J284" s="133"/>
      <c r="K284" s="133"/>
      <c r="L284" s="133"/>
      <c r="M284" s="133"/>
      <c r="N284" s="134"/>
    </row>
    <row r="285" customFormat="false" ht="15" hidden="false" customHeight="false" outlineLevel="0" collapsed="false">
      <c r="A285" s="133"/>
      <c r="B285" s="133"/>
      <c r="C285" s="133"/>
      <c r="D285" s="133"/>
      <c r="E285" s="133"/>
      <c r="F285" s="133"/>
      <c r="G285" s="134"/>
      <c r="H285" s="135"/>
      <c r="I285" s="133"/>
      <c r="J285" s="133"/>
      <c r="K285" s="133"/>
      <c r="L285" s="133"/>
      <c r="M285" s="133"/>
      <c r="N285" s="134"/>
    </row>
    <row r="286" customFormat="false" ht="15" hidden="false" customHeight="false" outlineLevel="0" collapsed="false">
      <c r="A286" s="133"/>
      <c r="B286" s="133"/>
      <c r="C286" s="133"/>
      <c r="D286" s="133"/>
      <c r="E286" s="133"/>
      <c r="F286" s="133"/>
      <c r="G286" s="134"/>
      <c r="H286" s="135"/>
      <c r="I286" s="133"/>
      <c r="J286" s="133"/>
      <c r="K286" s="133"/>
      <c r="L286" s="133"/>
      <c r="M286" s="133"/>
      <c r="N286" s="134"/>
    </row>
    <row r="287" customFormat="false" ht="15" hidden="false" customHeight="false" outlineLevel="0" collapsed="false">
      <c r="A287" s="133"/>
      <c r="B287" s="133"/>
      <c r="C287" s="133"/>
      <c r="D287" s="133"/>
      <c r="E287" s="133"/>
      <c r="F287" s="133"/>
      <c r="G287" s="134"/>
      <c r="H287" s="135"/>
      <c r="I287" s="133"/>
      <c r="J287" s="133"/>
      <c r="K287" s="133"/>
      <c r="L287" s="133"/>
      <c r="M287" s="133"/>
      <c r="N287" s="134"/>
    </row>
    <row r="288" customFormat="false" ht="15" hidden="false" customHeight="false" outlineLevel="0" collapsed="false">
      <c r="A288" s="133"/>
      <c r="B288" s="133"/>
      <c r="C288" s="133"/>
      <c r="D288" s="133"/>
      <c r="E288" s="133"/>
      <c r="F288" s="133"/>
      <c r="G288" s="134"/>
      <c r="H288" s="135"/>
      <c r="I288" s="133"/>
      <c r="J288" s="133"/>
      <c r="K288" s="133"/>
      <c r="L288" s="133"/>
      <c r="M288" s="133"/>
      <c r="N288" s="134"/>
    </row>
    <row r="289" customFormat="false" ht="15" hidden="false" customHeight="false" outlineLevel="0" collapsed="false">
      <c r="A289" s="133"/>
      <c r="B289" s="133"/>
      <c r="C289" s="133"/>
      <c r="D289" s="133"/>
      <c r="E289" s="133"/>
      <c r="F289" s="133"/>
      <c r="G289" s="134"/>
      <c r="H289" s="135"/>
      <c r="I289" s="133"/>
      <c r="J289" s="133"/>
      <c r="K289" s="133"/>
      <c r="L289" s="133"/>
      <c r="M289" s="133"/>
      <c r="N289" s="134"/>
    </row>
    <row r="290" customFormat="false" ht="15" hidden="false" customHeight="false" outlineLevel="0" collapsed="false">
      <c r="A290" s="133"/>
      <c r="B290" s="133"/>
      <c r="C290" s="133"/>
      <c r="D290" s="133"/>
      <c r="E290" s="133"/>
      <c r="F290" s="133"/>
      <c r="G290" s="134"/>
      <c r="H290" s="135"/>
      <c r="I290" s="133"/>
      <c r="J290" s="133"/>
      <c r="K290" s="133"/>
      <c r="L290" s="133"/>
      <c r="M290" s="133"/>
      <c r="N290" s="134"/>
    </row>
    <row r="291" customFormat="false" ht="15" hidden="false" customHeight="false" outlineLevel="0" collapsed="false">
      <c r="A291" s="133"/>
      <c r="B291" s="133"/>
      <c r="C291" s="133"/>
      <c r="D291" s="133"/>
      <c r="E291" s="133"/>
      <c r="F291" s="133"/>
      <c r="G291" s="134"/>
      <c r="H291" s="135"/>
      <c r="I291" s="133"/>
      <c r="J291" s="133"/>
      <c r="K291" s="133"/>
      <c r="L291" s="133"/>
      <c r="M291" s="133"/>
      <c r="N291" s="134"/>
    </row>
    <row r="292" customFormat="false" ht="15" hidden="false" customHeight="false" outlineLevel="0" collapsed="false">
      <c r="A292" s="133"/>
      <c r="B292" s="133"/>
      <c r="C292" s="133"/>
      <c r="D292" s="133"/>
      <c r="E292" s="133"/>
      <c r="F292" s="133"/>
      <c r="G292" s="134"/>
      <c r="H292" s="135"/>
      <c r="I292" s="133"/>
      <c r="J292" s="133"/>
      <c r="K292" s="133"/>
      <c r="L292" s="133"/>
      <c r="M292" s="133"/>
      <c r="N292" s="134"/>
    </row>
    <row r="293" customFormat="false" ht="15" hidden="false" customHeight="false" outlineLevel="0" collapsed="false">
      <c r="A293" s="133"/>
      <c r="B293" s="133"/>
      <c r="C293" s="133"/>
      <c r="D293" s="133"/>
      <c r="E293" s="133"/>
      <c r="F293" s="133"/>
      <c r="G293" s="134"/>
      <c r="H293" s="135"/>
      <c r="I293" s="133"/>
      <c r="J293" s="133"/>
      <c r="K293" s="133"/>
      <c r="L293" s="133"/>
      <c r="M293" s="133"/>
      <c r="N293" s="134"/>
    </row>
    <row r="294" customFormat="false" ht="15" hidden="false" customHeight="false" outlineLevel="0" collapsed="false">
      <c r="A294" s="133"/>
      <c r="B294" s="133"/>
      <c r="C294" s="133"/>
      <c r="D294" s="133"/>
      <c r="E294" s="133"/>
      <c r="F294" s="133"/>
      <c r="G294" s="134"/>
      <c r="H294" s="135"/>
      <c r="I294" s="133"/>
      <c r="J294" s="133"/>
      <c r="K294" s="133"/>
      <c r="L294" s="133"/>
      <c r="M294" s="133"/>
      <c r="N294" s="134"/>
    </row>
    <row r="295" customFormat="false" ht="15" hidden="false" customHeight="false" outlineLevel="0" collapsed="false">
      <c r="A295" s="133"/>
      <c r="B295" s="133"/>
      <c r="C295" s="133"/>
      <c r="D295" s="133"/>
      <c r="E295" s="133"/>
      <c r="F295" s="133"/>
      <c r="G295" s="134"/>
      <c r="H295" s="135"/>
      <c r="I295" s="133"/>
      <c r="J295" s="133"/>
      <c r="K295" s="133"/>
      <c r="L295" s="133"/>
      <c r="M295" s="133"/>
      <c r="N295" s="134"/>
    </row>
    <row r="296" customFormat="false" ht="15" hidden="false" customHeight="false" outlineLevel="0" collapsed="false">
      <c r="A296" s="133"/>
      <c r="B296" s="133"/>
      <c r="C296" s="133"/>
      <c r="D296" s="133"/>
      <c r="E296" s="133"/>
      <c r="F296" s="133"/>
      <c r="G296" s="134"/>
      <c r="H296" s="135"/>
      <c r="I296" s="133"/>
      <c r="J296" s="133"/>
      <c r="K296" s="133"/>
      <c r="L296" s="133"/>
      <c r="M296" s="133"/>
      <c r="N296" s="134"/>
    </row>
    <row r="297" customFormat="false" ht="15" hidden="false" customHeight="false" outlineLevel="0" collapsed="false">
      <c r="A297" s="133"/>
      <c r="B297" s="133"/>
      <c r="C297" s="133"/>
      <c r="D297" s="133"/>
      <c r="E297" s="133"/>
      <c r="F297" s="133"/>
      <c r="G297" s="134"/>
      <c r="H297" s="135"/>
      <c r="I297" s="133"/>
      <c r="J297" s="133"/>
      <c r="K297" s="133"/>
      <c r="L297" s="133"/>
      <c r="M297" s="133"/>
      <c r="N297" s="134"/>
    </row>
    <row r="298" customFormat="false" ht="15" hidden="false" customHeight="false" outlineLevel="0" collapsed="false">
      <c r="A298" s="133"/>
      <c r="B298" s="133"/>
      <c r="C298" s="133"/>
      <c r="D298" s="133"/>
      <c r="E298" s="133"/>
      <c r="F298" s="133"/>
      <c r="G298" s="134"/>
      <c r="H298" s="135"/>
      <c r="I298" s="133"/>
      <c r="J298" s="133"/>
      <c r="K298" s="133"/>
      <c r="L298" s="133"/>
      <c r="M298" s="133"/>
      <c r="N298" s="134"/>
    </row>
    <row r="299" customFormat="false" ht="15" hidden="false" customHeight="false" outlineLevel="0" collapsed="false">
      <c r="A299" s="133"/>
      <c r="B299" s="133"/>
      <c r="C299" s="133"/>
      <c r="D299" s="133"/>
      <c r="E299" s="133"/>
      <c r="F299" s="133"/>
      <c r="G299" s="134"/>
      <c r="H299" s="135"/>
      <c r="I299" s="133"/>
      <c r="J299" s="133"/>
      <c r="K299" s="133"/>
      <c r="L299" s="133"/>
      <c r="M299" s="133"/>
      <c r="N299" s="134"/>
    </row>
    <row r="300" customFormat="false" ht="15" hidden="false" customHeight="false" outlineLevel="0" collapsed="false">
      <c r="A300" s="133"/>
      <c r="B300" s="133"/>
      <c r="C300" s="133"/>
      <c r="D300" s="133"/>
      <c r="E300" s="133"/>
      <c r="F300" s="133"/>
      <c r="G300" s="134"/>
      <c r="H300" s="135"/>
      <c r="I300" s="133"/>
      <c r="J300" s="133"/>
      <c r="K300" s="133"/>
      <c r="L300" s="133"/>
      <c r="M300" s="133"/>
      <c r="N300" s="134"/>
    </row>
    <row r="301" customFormat="false" ht="15" hidden="false" customHeight="false" outlineLevel="0" collapsed="false">
      <c r="A301" s="133"/>
      <c r="B301" s="133"/>
      <c r="C301" s="133"/>
      <c r="D301" s="133"/>
      <c r="E301" s="133"/>
      <c r="F301" s="133"/>
      <c r="G301" s="134"/>
      <c r="H301" s="135"/>
      <c r="I301" s="133"/>
      <c r="J301" s="133"/>
      <c r="K301" s="133"/>
      <c r="L301" s="133"/>
      <c r="M301" s="133"/>
      <c r="N301" s="134"/>
    </row>
    <row r="302" customFormat="false" ht="15" hidden="false" customHeight="false" outlineLevel="0" collapsed="false">
      <c r="A302" s="133"/>
      <c r="B302" s="133"/>
      <c r="C302" s="133"/>
      <c r="D302" s="133"/>
      <c r="E302" s="133"/>
      <c r="F302" s="133"/>
      <c r="G302" s="134"/>
      <c r="H302" s="135"/>
      <c r="I302" s="133"/>
      <c r="J302" s="133"/>
      <c r="K302" s="133"/>
      <c r="L302" s="133"/>
      <c r="M302" s="133"/>
      <c r="N302" s="134"/>
    </row>
    <row r="303" customFormat="false" ht="15" hidden="false" customHeight="false" outlineLevel="0" collapsed="false">
      <c r="A303" s="133"/>
      <c r="B303" s="133"/>
      <c r="C303" s="133"/>
      <c r="D303" s="133"/>
      <c r="E303" s="133"/>
      <c r="F303" s="133"/>
      <c r="G303" s="134"/>
      <c r="H303" s="135"/>
      <c r="I303" s="133"/>
      <c r="J303" s="133"/>
      <c r="K303" s="133"/>
      <c r="L303" s="133"/>
      <c r="M303" s="133"/>
      <c r="N303" s="134"/>
    </row>
    <row r="304" customFormat="false" ht="15" hidden="false" customHeight="false" outlineLevel="0" collapsed="false">
      <c r="A304" s="133"/>
      <c r="B304" s="133"/>
      <c r="C304" s="133"/>
      <c r="D304" s="133"/>
      <c r="E304" s="133"/>
      <c r="F304" s="133"/>
      <c r="G304" s="134"/>
      <c r="H304" s="135"/>
      <c r="I304" s="133"/>
      <c r="J304" s="133"/>
      <c r="K304" s="133"/>
      <c r="L304" s="133"/>
      <c r="M304" s="133"/>
      <c r="N304" s="134"/>
    </row>
    <row r="305" customFormat="false" ht="15" hidden="false" customHeight="false" outlineLevel="0" collapsed="false">
      <c r="A305" s="133"/>
      <c r="B305" s="133"/>
      <c r="C305" s="133"/>
      <c r="D305" s="133"/>
      <c r="E305" s="133"/>
      <c r="F305" s="133"/>
      <c r="G305" s="134"/>
      <c r="H305" s="135"/>
      <c r="I305" s="133"/>
      <c r="J305" s="133"/>
      <c r="K305" s="133"/>
      <c r="L305" s="133"/>
      <c r="M305" s="133"/>
      <c r="N305" s="134"/>
    </row>
    <row r="306" customFormat="false" ht="15" hidden="false" customHeight="false" outlineLevel="0" collapsed="false">
      <c r="A306" s="133"/>
      <c r="B306" s="133"/>
      <c r="C306" s="133"/>
      <c r="D306" s="133"/>
      <c r="E306" s="133"/>
      <c r="F306" s="133"/>
      <c r="G306" s="134"/>
      <c r="H306" s="135"/>
      <c r="I306" s="133"/>
      <c r="J306" s="133"/>
      <c r="K306" s="133"/>
      <c r="L306" s="133"/>
      <c r="M306" s="133"/>
      <c r="N306" s="134"/>
    </row>
    <row r="307" customFormat="false" ht="15" hidden="false" customHeight="false" outlineLevel="0" collapsed="false">
      <c r="A307" s="133"/>
      <c r="B307" s="133"/>
      <c r="C307" s="133"/>
      <c r="D307" s="133"/>
      <c r="E307" s="133"/>
      <c r="F307" s="133"/>
      <c r="G307" s="134"/>
      <c r="H307" s="135"/>
      <c r="I307" s="133"/>
      <c r="J307" s="133"/>
      <c r="K307" s="133"/>
      <c r="L307" s="133"/>
      <c r="M307" s="133"/>
      <c r="N307" s="134"/>
    </row>
    <row r="308" customFormat="false" ht="15" hidden="false" customHeight="false" outlineLevel="0" collapsed="false">
      <c r="A308" s="133"/>
      <c r="B308" s="133"/>
      <c r="C308" s="133"/>
      <c r="D308" s="133"/>
      <c r="E308" s="133"/>
      <c r="F308" s="133"/>
      <c r="G308" s="134"/>
      <c r="H308" s="135"/>
      <c r="I308" s="133"/>
      <c r="J308" s="133"/>
      <c r="K308" s="133"/>
      <c r="L308" s="133"/>
      <c r="M308" s="133"/>
      <c r="N308" s="134"/>
    </row>
    <row r="309" customFormat="false" ht="15" hidden="false" customHeight="false" outlineLevel="0" collapsed="false">
      <c r="A309" s="133"/>
      <c r="B309" s="133"/>
      <c r="C309" s="133"/>
      <c r="D309" s="133"/>
      <c r="E309" s="133"/>
      <c r="F309" s="133"/>
      <c r="G309" s="134"/>
      <c r="H309" s="135"/>
      <c r="I309" s="133"/>
      <c r="J309" s="133"/>
      <c r="K309" s="133"/>
      <c r="L309" s="133"/>
      <c r="M309" s="133"/>
      <c r="N309" s="134"/>
    </row>
    <row r="310" customFormat="false" ht="15" hidden="false" customHeight="false" outlineLevel="0" collapsed="false">
      <c r="A310" s="133"/>
      <c r="B310" s="133"/>
      <c r="C310" s="133"/>
      <c r="D310" s="133"/>
      <c r="E310" s="133"/>
      <c r="F310" s="133"/>
      <c r="G310" s="134"/>
      <c r="H310" s="135"/>
      <c r="I310" s="133"/>
      <c r="J310" s="133"/>
      <c r="K310" s="133"/>
      <c r="L310" s="133"/>
      <c r="M310" s="133"/>
      <c r="N310" s="134"/>
    </row>
    <row r="311" customFormat="false" ht="15" hidden="false" customHeight="false" outlineLevel="0" collapsed="false">
      <c r="A311" s="133"/>
      <c r="B311" s="133"/>
      <c r="C311" s="133"/>
      <c r="D311" s="133"/>
      <c r="E311" s="133"/>
      <c r="F311" s="133"/>
      <c r="G311" s="134"/>
      <c r="H311" s="135"/>
      <c r="I311" s="133"/>
      <c r="J311" s="133"/>
      <c r="K311" s="133"/>
      <c r="L311" s="133"/>
      <c r="M311" s="133"/>
      <c r="N311" s="134"/>
    </row>
    <row r="312" customFormat="false" ht="15" hidden="false" customHeight="false" outlineLevel="0" collapsed="false">
      <c r="A312" s="133"/>
      <c r="B312" s="133"/>
      <c r="C312" s="133"/>
      <c r="D312" s="133"/>
      <c r="E312" s="133"/>
      <c r="F312" s="133"/>
      <c r="G312" s="134"/>
      <c r="H312" s="135"/>
      <c r="I312" s="133"/>
      <c r="J312" s="133"/>
      <c r="K312" s="133"/>
      <c r="L312" s="133"/>
      <c r="M312" s="133"/>
      <c r="N312" s="134"/>
    </row>
    <row r="313" customFormat="false" ht="15" hidden="false" customHeight="false" outlineLevel="0" collapsed="false">
      <c r="A313" s="133"/>
      <c r="B313" s="133"/>
      <c r="C313" s="133"/>
      <c r="D313" s="133"/>
      <c r="E313" s="133"/>
      <c r="F313" s="133"/>
      <c r="G313" s="134"/>
      <c r="H313" s="135"/>
      <c r="I313" s="133"/>
      <c r="J313" s="133"/>
      <c r="K313" s="133"/>
      <c r="L313" s="133"/>
      <c r="M313" s="133"/>
      <c r="N313" s="134"/>
    </row>
    <row r="314" customFormat="false" ht="15" hidden="false" customHeight="false" outlineLevel="0" collapsed="false">
      <c r="A314" s="133"/>
      <c r="B314" s="133"/>
      <c r="C314" s="133"/>
      <c r="D314" s="133"/>
      <c r="E314" s="133"/>
      <c r="F314" s="133"/>
      <c r="G314" s="134"/>
      <c r="H314" s="135"/>
      <c r="I314" s="133"/>
      <c r="J314" s="133"/>
      <c r="K314" s="133"/>
      <c r="L314" s="133"/>
      <c r="M314" s="133"/>
      <c r="N314" s="134"/>
    </row>
    <row r="315" customFormat="false" ht="15" hidden="false" customHeight="false" outlineLevel="0" collapsed="false">
      <c r="A315" s="133"/>
      <c r="B315" s="133"/>
      <c r="C315" s="133"/>
      <c r="D315" s="133"/>
      <c r="E315" s="133"/>
      <c r="F315" s="133"/>
      <c r="G315" s="134"/>
      <c r="H315" s="135"/>
      <c r="I315" s="133"/>
      <c r="J315" s="133"/>
      <c r="K315" s="133"/>
      <c r="L315" s="133"/>
      <c r="M315" s="133"/>
      <c r="N315" s="134"/>
    </row>
    <row r="316" customFormat="false" ht="15" hidden="false" customHeight="false" outlineLevel="0" collapsed="false">
      <c r="A316" s="133"/>
      <c r="B316" s="133"/>
      <c r="C316" s="133"/>
      <c r="D316" s="133"/>
      <c r="E316" s="133"/>
      <c r="F316" s="133"/>
      <c r="G316" s="134"/>
      <c r="H316" s="135"/>
      <c r="I316" s="133"/>
      <c r="J316" s="133"/>
      <c r="K316" s="133"/>
      <c r="L316" s="133"/>
      <c r="M316" s="133"/>
      <c r="N316" s="134"/>
    </row>
    <row r="317" customFormat="false" ht="15" hidden="false" customHeight="false" outlineLevel="0" collapsed="false">
      <c r="A317" s="133"/>
      <c r="B317" s="133"/>
      <c r="C317" s="133"/>
      <c r="D317" s="133"/>
      <c r="E317" s="133"/>
      <c r="F317" s="133"/>
      <c r="G317" s="134"/>
      <c r="H317" s="135"/>
      <c r="I317" s="133"/>
      <c r="J317" s="133"/>
      <c r="K317" s="133"/>
      <c r="L317" s="133"/>
      <c r="M317" s="133"/>
      <c r="N317" s="134"/>
    </row>
    <row r="318" customFormat="false" ht="15" hidden="false" customHeight="false" outlineLevel="0" collapsed="false">
      <c r="A318" s="133"/>
      <c r="B318" s="133"/>
      <c r="C318" s="133"/>
      <c r="D318" s="133"/>
      <c r="E318" s="133"/>
      <c r="F318" s="133"/>
      <c r="G318" s="134"/>
      <c r="H318" s="135"/>
      <c r="I318" s="133"/>
      <c r="J318" s="133"/>
      <c r="K318" s="133"/>
      <c r="L318" s="133"/>
      <c r="M318" s="133"/>
      <c r="N318" s="134"/>
    </row>
    <row r="319" customFormat="false" ht="15" hidden="false" customHeight="false" outlineLevel="0" collapsed="false">
      <c r="A319" s="133"/>
      <c r="B319" s="133"/>
      <c r="C319" s="133"/>
      <c r="D319" s="133"/>
      <c r="E319" s="133"/>
      <c r="F319" s="133"/>
      <c r="G319" s="134"/>
      <c r="H319" s="135"/>
      <c r="I319" s="133"/>
      <c r="J319" s="133"/>
      <c r="K319" s="133"/>
      <c r="L319" s="133"/>
      <c r="M319" s="133"/>
      <c r="N319" s="134"/>
    </row>
    <row r="320" customFormat="false" ht="15" hidden="false" customHeight="false" outlineLevel="0" collapsed="false">
      <c r="A320" s="133"/>
      <c r="B320" s="133"/>
      <c r="C320" s="133"/>
      <c r="D320" s="133"/>
      <c r="E320" s="133"/>
      <c r="F320" s="133"/>
      <c r="G320" s="134"/>
      <c r="H320" s="135"/>
      <c r="I320" s="133"/>
      <c r="J320" s="133"/>
      <c r="K320" s="133"/>
      <c r="L320" s="133"/>
      <c r="M320" s="133"/>
      <c r="N320" s="134"/>
    </row>
    <row r="321" customFormat="false" ht="15" hidden="false" customHeight="false" outlineLevel="0" collapsed="false">
      <c r="A321" s="133"/>
      <c r="B321" s="133"/>
      <c r="C321" s="133"/>
      <c r="D321" s="133"/>
      <c r="E321" s="133"/>
      <c r="F321" s="133"/>
      <c r="G321" s="134"/>
      <c r="H321" s="135"/>
      <c r="I321" s="133"/>
      <c r="J321" s="133"/>
      <c r="K321" s="133"/>
      <c r="L321" s="133"/>
      <c r="M321" s="133"/>
      <c r="N321" s="134"/>
    </row>
    <row r="322" customFormat="false" ht="15" hidden="false" customHeight="false" outlineLevel="0" collapsed="false">
      <c r="A322" s="133"/>
      <c r="B322" s="133"/>
      <c r="C322" s="133"/>
      <c r="D322" s="133"/>
      <c r="E322" s="133"/>
      <c r="F322" s="133"/>
      <c r="G322" s="134"/>
      <c r="H322" s="135"/>
      <c r="I322" s="133"/>
      <c r="J322" s="133"/>
      <c r="K322" s="133"/>
      <c r="L322" s="133"/>
      <c r="M322" s="133"/>
      <c r="N322" s="134"/>
    </row>
    <row r="323" customFormat="false" ht="15" hidden="false" customHeight="false" outlineLevel="0" collapsed="false">
      <c r="A323" s="133"/>
      <c r="B323" s="133"/>
      <c r="C323" s="133"/>
      <c r="D323" s="133"/>
      <c r="E323" s="133"/>
      <c r="F323" s="133"/>
      <c r="G323" s="134"/>
      <c r="H323" s="135"/>
      <c r="I323" s="133"/>
      <c r="J323" s="133"/>
      <c r="K323" s="133"/>
      <c r="L323" s="133"/>
      <c r="M323" s="133"/>
      <c r="N323" s="134"/>
    </row>
    <row r="324" customFormat="false" ht="15" hidden="false" customHeight="false" outlineLevel="0" collapsed="false">
      <c r="A324" s="133"/>
      <c r="B324" s="133"/>
      <c r="C324" s="133"/>
      <c r="D324" s="133"/>
      <c r="E324" s="133"/>
      <c r="F324" s="133"/>
      <c r="G324" s="134"/>
      <c r="H324" s="135"/>
      <c r="I324" s="133"/>
      <c r="J324" s="133"/>
      <c r="K324" s="133"/>
      <c r="L324" s="133"/>
      <c r="M324" s="133"/>
      <c r="N324" s="134"/>
    </row>
    <row r="325" customFormat="false" ht="15" hidden="false" customHeight="false" outlineLevel="0" collapsed="false">
      <c r="A325" s="133"/>
      <c r="B325" s="133"/>
      <c r="C325" s="133"/>
      <c r="D325" s="133"/>
      <c r="E325" s="133"/>
      <c r="F325" s="133"/>
      <c r="G325" s="134"/>
      <c r="H325" s="135"/>
      <c r="I325" s="133"/>
      <c r="J325" s="133"/>
      <c r="K325" s="133"/>
      <c r="L325" s="133"/>
      <c r="M325" s="133"/>
      <c r="N325" s="134"/>
    </row>
    <row r="326" customFormat="false" ht="15" hidden="false" customHeight="false" outlineLevel="0" collapsed="false">
      <c r="A326" s="133"/>
      <c r="B326" s="133"/>
      <c r="C326" s="133"/>
      <c r="D326" s="133"/>
      <c r="E326" s="133"/>
      <c r="F326" s="133"/>
      <c r="G326" s="134"/>
      <c r="H326" s="135"/>
      <c r="I326" s="133"/>
      <c r="J326" s="133"/>
      <c r="K326" s="133"/>
      <c r="L326" s="133"/>
      <c r="M326" s="133"/>
      <c r="N326" s="134"/>
    </row>
    <row r="327" customFormat="false" ht="15" hidden="false" customHeight="false" outlineLevel="0" collapsed="false">
      <c r="A327" s="133"/>
      <c r="B327" s="133"/>
      <c r="C327" s="133"/>
      <c r="D327" s="133"/>
      <c r="E327" s="133"/>
      <c r="F327" s="133"/>
      <c r="G327" s="134"/>
      <c r="H327" s="135"/>
      <c r="I327" s="133"/>
      <c r="J327" s="133"/>
      <c r="K327" s="133"/>
      <c r="L327" s="133"/>
      <c r="M327" s="133"/>
      <c r="N327" s="134"/>
    </row>
    <row r="328" customFormat="false" ht="15" hidden="false" customHeight="false" outlineLevel="0" collapsed="false">
      <c r="A328" s="133"/>
      <c r="B328" s="133"/>
      <c r="C328" s="133"/>
      <c r="D328" s="133"/>
      <c r="E328" s="133"/>
      <c r="F328" s="133"/>
      <c r="G328" s="134"/>
      <c r="H328" s="135"/>
      <c r="I328" s="133"/>
      <c r="J328" s="133"/>
      <c r="K328" s="133"/>
      <c r="L328" s="133"/>
      <c r="M328" s="133"/>
      <c r="N328" s="134"/>
    </row>
    <row r="329" customFormat="false" ht="15" hidden="false" customHeight="false" outlineLevel="0" collapsed="false">
      <c r="A329" s="133"/>
      <c r="B329" s="133"/>
      <c r="C329" s="133"/>
      <c r="D329" s="133"/>
      <c r="E329" s="133"/>
      <c r="F329" s="133"/>
      <c r="G329" s="134"/>
      <c r="H329" s="135"/>
      <c r="I329" s="133"/>
      <c r="J329" s="133"/>
      <c r="K329" s="133"/>
      <c r="L329" s="133"/>
      <c r="M329" s="133"/>
      <c r="N329" s="134"/>
    </row>
    <row r="330" customFormat="false" ht="15" hidden="false" customHeight="false" outlineLevel="0" collapsed="false">
      <c r="A330" s="133"/>
      <c r="B330" s="133"/>
      <c r="C330" s="133"/>
      <c r="D330" s="133"/>
      <c r="E330" s="133"/>
      <c r="F330" s="133"/>
      <c r="G330" s="134"/>
      <c r="H330" s="135"/>
      <c r="I330" s="133"/>
      <c r="J330" s="133"/>
      <c r="K330" s="133"/>
      <c r="L330" s="133"/>
      <c r="M330" s="133"/>
      <c r="N330" s="134"/>
    </row>
    <row r="331" customFormat="false" ht="15" hidden="false" customHeight="false" outlineLevel="0" collapsed="false">
      <c r="A331" s="133"/>
      <c r="B331" s="133"/>
      <c r="C331" s="133"/>
      <c r="D331" s="133"/>
      <c r="E331" s="133"/>
      <c r="F331" s="133"/>
      <c r="G331" s="134"/>
      <c r="H331" s="135"/>
      <c r="I331" s="133"/>
      <c r="J331" s="133"/>
      <c r="K331" s="133"/>
      <c r="L331" s="133"/>
      <c r="M331" s="133"/>
      <c r="N331" s="134"/>
    </row>
    <row r="332" customFormat="false" ht="15" hidden="false" customHeight="false" outlineLevel="0" collapsed="false">
      <c r="A332" s="133"/>
      <c r="B332" s="133"/>
      <c r="C332" s="133"/>
      <c r="D332" s="133"/>
      <c r="E332" s="133"/>
      <c r="F332" s="133"/>
      <c r="G332" s="134"/>
      <c r="H332" s="135"/>
      <c r="I332" s="133"/>
      <c r="J332" s="133"/>
      <c r="K332" s="133"/>
      <c r="L332" s="133"/>
      <c r="M332" s="133"/>
      <c r="N332" s="134"/>
    </row>
    <row r="333" customFormat="false" ht="15" hidden="false" customHeight="false" outlineLevel="0" collapsed="false">
      <c r="A333" s="133"/>
      <c r="B333" s="133"/>
      <c r="C333" s="133"/>
      <c r="D333" s="133"/>
      <c r="E333" s="133"/>
      <c r="F333" s="133"/>
      <c r="G333" s="134"/>
      <c r="H333" s="135"/>
      <c r="I333" s="133"/>
      <c r="J333" s="133"/>
      <c r="K333" s="133"/>
      <c r="L333" s="133"/>
      <c r="M333" s="133"/>
      <c r="N333" s="134"/>
    </row>
    <row r="334" customFormat="false" ht="15" hidden="false" customHeight="false" outlineLevel="0" collapsed="false">
      <c r="A334" s="133"/>
      <c r="B334" s="133"/>
      <c r="C334" s="133"/>
      <c r="D334" s="133"/>
      <c r="E334" s="133"/>
      <c r="F334" s="133"/>
      <c r="G334" s="134"/>
      <c r="H334" s="135"/>
      <c r="I334" s="133"/>
      <c r="J334" s="133"/>
      <c r="K334" s="133"/>
      <c r="L334" s="133"/>
      <c r="M334" s="133"/>
      <c r="N334" s="134"/>
    </row>
    <row r="335" customFormat="false" ht="15" hidden="false" customHeight="false" outlineLevel="0" collapsed="false">
      <c r="A335" s="133"/>
      <c r="B335" s="133"/>
      <c r="C335" s="133"/>
      <c r="D335" s="133"/>
      <c r="E335" s="133"/>
      <c r="F335" s="133"/>
      <c r="G335" s="134"/>
      <c r="H335" s="135"/>
      <c r="I335" s="133"/>
      <c r="J335" s="133"/>
      <c r="K335" s="133"/>
      <c r="L335" s="133"/>
      <c r="M335" s="133"/>
      <c r="N335" s="134"/>
    </row>
    <row r="336" customFormat="false" ht="15" hidden="false" customHeight="false" outlineLevel="0" collapsed="false">
      <c r="A336" s="133"/>
      <c r="B336" s="133"/>
      <c r="C336" s="133"/>
      <c r="D336" s="133"/>
      <c r="E336" s="133"/>
      <c r="F336" s="133"/>
      <c r="G336" s="134"/>
      <c r="H336" s="135"/>
      <c r="I336" s="133"/>
      <c r="J336" s="133"/>
      <c r="K336" s="133"/>
      <c r="L336" s="133"/>
      <c r="M336" s="133"/>
      <c r="N336" s="134"/>
    </row>
    <row r="337" customFormat="false" ht="15" hidden="false" customHeight="false" outlineLevel="0" collapsed="false">
      <c r="A337" s="133"/>
      <c r="B337" s="133"/>
      <c r="C337" s="133"/>
      <c r="D337" s="133"/>
      <c r="E337" s="133"/>
      <c r="F337" s="133"/>
      <c r="G337" s="134"/>
      <c r="H337" s="135"/>
      <c r="I337" s="133"/>
      <c r="J337" s="133"/>
      <c r="K337" s="133"/>
      <c r="L337" s="133"/>
      <c r="M337" s="133"/>
      <c r="N337" s="134"/>
    </row>
    <row r="338" customFormat="false" ht="15" hidden="false" customHeight="false" outlineLevel="0" collapsed="false">
      <c r="A338" s="133"/>
      <c r="B338" s="133"/>
      <c r="C338" s="133"/>
      <c r="D338" s="133"/>
      <c r="E338" s="133"/>
      <c r="F338" s="133"/>
      <c r="G338" s="134"/>
      <c r="H338" s="135"/>
      <c r="I338" s="133"/>
      <c r="J338" s="133"/>
      <c r="K338" s="133"/>
      <c r="L338" s="133"/>
      <c r="M338" s="133"/>
      <c r="N338" s="134"/>
    </row>
    <row r="339" customFormat="false" ht="15" hidden="false" customHeight="false" outlineLevel="0" collapsed="false">
      <c r="A339" s="133"/>
      <c r="B339" s="133"/>
      <c r="C339" s="133"/>
      <c r="D339" s="133"/>
      <c r="E339" s="133"/>
      <c r="F339" s="133"/>
      <c r="G339" s="134"/>
      <c r="H339" s="135"/>
      <c r="I339" s="133"/>
      <c r="J339" s="133"/>
      <c r="K339" s="133"/>
      <c r="L339" s="133"/>
      <c r="M339" s="133"/>
      <c r="N339" s="134"/>
    </row>
    <row r="340" customFormat="false" ht="15" hidden="false" customHeight="false" outlineLevel="0" collapsed="false">
      <c r="A340" s="133"/>
      <c r="B340" s="133"/>
      <c r="C340" s="133"/>
      <c r="D340" s="133"/>
      <c r="E340" s="133"/>
      <c r="F340" s="133"/>
      <c r="G340" s="134"/>
      <c r="H340" s="135"/>
      <c r="I340" s="133"/>
      <c r="J340" s="133"/>
      <c r="K340" s="133"/>
      <c r="L340" s="133"/>
      <c r="M340" s="133"/>
      <c r="N340" s="134"/>
    </row>
    <row r="341" customFormat="false" ht="15" hidden="false" customHeight="false" outlineLevel="0" collapsed="false">
      <c r="A341" s="133"/>
      <c r="B341" s="133"/>
      <c r="C341" s="133"/>
      <c r="D341" s="133"/>
      <c r="E341" s="133"/>
      <c r="F341" s="133"/>
      <c r="G341" s="134"/>
      <c r="H341" s="135"/>
      <c r="I341" s="133"/>
      <c r="J341" s="133"/>
      <c r="K341" s="133"/>
      <c r="L341" s="133"/>
      <c r="M341" s="133"/>
      <c r="N341" s="134"/>
    </row>
    <row r="342" customFormat="false" ht="15" hidden="false" customHeight="false" outlineLevel="0" collapsed="false">
      <c r="A342" s="133"/>
      <c r="B342" s="133"/>
      <c r="C342" s="133"/>
      <c r="D342" s="133"/>
      <c r="E342" s="133"/>
      <c r="F342" s="133"/>
      <c r="G342" s="134"/>
      <c r="H342" s="135"/>
      <c r="I342" s="133"/>
      <c r="J342" s="133"/>
      <c r="K342" s="133"/>
      <c r="L342" s="133"/>
      <c r="M342" s="133"/>
      <c r="N342" s="134"/>
    </row>
    <row r="343" customFormat="false" ht="15" hidden="false" customHeight="false" outlineLevel="0" collapsed="false">
      <c r="A343" s="133"/>
      <c r="B343" s="133"/>
      <c r="C343" s="133"/>
      <c r="D343" s="133"/>
      <c r="E343" s="133"/>
      <c r="F343" s="133"/>
      <c r="G343" s="134"/>
      <c r="H343" s="135"/>
      <c r="I343" s="133"/>
      <c r="J343" s="133"/>
      <c r="K343" s="133"/>
      <c r="L343" s="133"/>
      <c r="M343" s="133"/>
      <c r="N343" s="134"/>
    </row>
    <row r="344" customFormat="false" ht="15" hidden="false" customHeight="false" outlineLevel="0" collapsed="false">
      <c r="A344" s="133"/>
      <c r="B344" s="133"/>
      <c r="C344" s="133"/>
      <c r="D344" s="133"/>
      <c r="E344" s="133"/>
      <c r="F344" s="133"/>
      <c r="G344" s="134"/>
      <c r="H344" s="135"/>
      <c r="I344" s="133"/>
      <c r="J344" s="133"/>
      <c r="K344" s="133"/>
      <c r="L344" s="133"/>
      <c r="M344" s="133"/>
      <c r="N344" s="134"/>
    </row>
    <row r="345" customFormat="false" ht="15" hidden="false" customHeight="false" outlineLevel="0" collapsed="false">
      <c r="A345" s="133"/>
      <c r="B345" s="133"/>
      <c r="C345" s="133"/>
      <c r="D345" s="133"/>
      <c r="E345" s="133"/>
      <c r="F345" s="133"/>
      <c r="G345" s="134"/>
      <c r="H345" s="135"/>
      <c r="I345" s="133"/>
      <c r="J345" s="133"/>
      <c r="K345" s="133"/>
      <c r="L345" s="133"/>
      <c r="M345" s="133"/>
      <c r="N345" s="134"/>
    </row>
    <row r="346" customFormat="false" ht="15" hidden="false" customHeight="false" outlineLevel="0" collapsed="false">
      <c r="A346" s="133"/>
      <c r="B346" s="133"/>
      <c r="C346" s="133"/>
      <c r="D346" s="133"/>
      <c r="E346" s="133"/>
      <c r="F346" s="133"/>
      <c r="G346" s="134"/>
      <c r="H346" s="135"/>
      <c r="I346" s="133"/>
      <c r="J346" s="133"/>
      <c r="K346" s="133"/>
      <c r="L346" s="133"/>
      <c r="M346" s="133"/>
      <c r="N346" s="134"/>
    </row>
    <row r="347" customFormat="false" ht="15" hidden="false" customHeight="false" outlineLevel="0" collapsed="false">
      <c r="A347" s="133"/>
      <c r="B347" s="133"/>
      <c r="C347" s="133"/>
      <c r="D347" s="133"/>
      <c r="E347" s="133"/>
      <c r="F347" s="133"/>
      <c r="G347" s="134"/>
      <c r="H347" s="135"/>
      <c r="I347" s="133"/>
      <c r="J347" s="133"/>
      <c r="K347" s="133"/>
      <c r="L347" s="133"/>
      <c r="M347" s="133"/>
      <c r="N347" s="134"/>
    </row>
    <row r="348" customFormat="false" ht="15" hidden="false" customHeight="false" outlineLevel="0" collapsed="false">
      <c r="A348" s="133"/>
      <c r="B348" s="133"/>
      <c r="C348" s="133"/>
      <c r="D348" s="133"/>
      <c r="E348" s="133"/>
      <c r="F348" s="133"/>
      <c r="G348" s="134"/>
      <c r="H348" s="135"/>
      <c r="I348" s="133"/>
      <c r="J348" s="133"/>
      <c r="K348" s="133"/>
      <c r="L348" s="133"/>
      <c r="M348" s="133"/>
      <c r="N348" s="134"/>
    </row>
    <row r="349" customFormat="false" ht="15" hidden="false" customHeight="false" outlineLevel="0" collapsed="false">
      <c r="A349" s="133"/>
      <c r="B349" s="133"/>
      <c r="C349" s="133"/>
      <c r="D349" s="133"/>
      <c r="E349" s="133"/>
      <c r="F349" s="133"/>
      <c r="G349" s="134"/>
      <c r="H349" s="135"/>
      <c r="I349" s="133"/>
      <c r="J349" s="133"/>
      <c r="K349" s="133"/>
      <c r="L349" s="133"/>
      <c r="M349" s="133"/>
      <c r="N349" s="134"/>
    </row>
    <row r="350" customFormat="false" ht="15" hidden="false" customHeight="false" outlineLevel="0" collapsed="false">
      <c r="A350" s="133"/>
      <c r="B350" s="133"/>
      <c r="C350" s="133"/>
      <c r="D350" s="133"/>
      <c r="E350" s="133"/>
      <c r="F350" s="133"/>
      <c r="G350" s="134"/>
      <c r="H350" s="135"/>
      <c r="I350" s="133"/>
      <c r="J350" s="133"/>
      <c r="K350" s="133"/>
      <c r="L350" s="133"/>
      <c r="M350" s="133"/>
      <c r="N350" s="134"/>
    </row>
    <row r="351" customFormat="false" ht="15" hidden="false" customHeight="false" outlineLevel="0" collapsed="false">
      <c r="A351" s="133"/>
      <c r="B351" s="133"/>
      <c r="C351" s="133"/>
      <c r="D351" s="133"/>
      <c r="E351" s="133"/>
      <c r="F351" s="133"/>
      <c r="G351" s="134"/>
      <c r="H351" s="135"/>
      <c r="I351" s="133"/>
      <c r="J351" s="133"/>
      <c r="K351" s="133"/>
      <c r="L351" s="133"/>
      <c r="M351" s="133"/>
      <c r="N351" s="134"/>
    </row>
    <row r="352" customFormat="false" ht="15" hidden="false" customHeight="false" outlineLevel="0" collapsed="false">
      <c r="A352" s="133"/>
      <c r="B352" s="133"/>
      <c r="C352" s="133"/>
      <c r="D352" s="133"/>
      <c r="E352" s="133"/>
      <c r="F352" s="133"/>
      <c r="G352" s="134"/>
      <c r="H352" s="135"/>
      <c r="I352" s="133"/>
      <c r="J352" s="133"/>
      <c r="K352" s="133"/>
      <c r="L352" s="133"/>
      <c r="M352" s="133"/>
      <c r="N352" s="134"/>
    </row>
    <row r="353" customFormat="false" ht="15" hidden="false" customHeight="false" outlineLevel="0" collapsed="false">
      <c r="A353" s="133"/>
      <c r="B353" s="133"/>
      <c r="C353" s="133"/>
      <c r="D353" s="133"/>
      <c r="E353" s="133"/>
      <c r="F353" s="133"/>
      <c r="G353" s="134"/>
      <c r="H353" s="135"/>
      <c r="I353" s="133"/>
      <c r="J353" s="133"/>
      <c r="K353" s="133"/>
      <c r="L353" s="133"/>
      <c r="M353" s="133"/>
      <c r="N353" s="134"/>
    </row>
    <row r="354" customFormat="false" ht="15" hidden="false" customHeight="false" outlineLevel="0" collapsed="false">
      <c r="A354" s="133"/>
      <c r="B354" s="133"/>
      <c r="C354" s="133"/>
      <c r="D354" s="133"/>
      <c r="E354" s="133"/>
      <c r="F354" s="133"/>
      <c r="G354" s="134"/>
      <c r="H354" s="135"/>
      <c r="I354" s="133"/>
      <c r="J354" s="133"/>
      <c r="K354" s="133"/>
      <c r="L354" s="133"/>
      <c r="M354" s="133"/>
      <c r="N354" s="134"/>
    </row>
    <row r="355" customFormat="false" ht="15" hidden="false" customHeight="false" outlineLevel="0" collapsed="false">
      <c r="A355" s="133"/>
      <c r="B355" s="133"/>
      <c r="C355" s="133"/>
      <c r="D355" s="133"/>
      <c r="E355" s="133"/>
      <c r="F355" s="133"/>
      <c r="G355" s="134"/>
      <c r="H355" s="135"/>
      <c r="I355" s="133"/>
      <c r="J355" s="133"/>
      <c r="K355" s="133"/>
      <c r="L355" s="133"/>
      <c r="M355" s="133"/>
      <c r="N355" s="134"/>
    </row>
    <row r="356" customFormat="false" ht="15" hidden="false" customHeight="false" outlineLevel="0" collapsed="false">
      <c r="A356" s="133"/>
      <c r="B356" s="133"/>
      <c r="C356" s="133"/>
      <c r="D356" s="133"/>
      <c r="E356" s="133"/>
      <c r="F356" s="133"/>
      <c r="G356" s="134"/>
      <c r="H356" s="135"/>
      <c r="I356" s="133"/>
      <c r="J356" s="133"/>
      <c r="K356" s="133"/>
      <c r="L356" s="133"/>
      <c r="M356" s="133"/>
      <c r="N356" s="134"/>
    </row>
    <row r="357" customFormat="false" ht="15" hidden="false" customHeight="false" outlineLevel="0" collapsed="false">
      <c r="A357" s="133"/>
      <c r="B357" s="133"/>
      <c r="C357" s="133"/>
      <c r="D357" s="133"/>
      <c r="E357" s="133"/>
      <c r="F357" s="133"/>
      <c r="G357" s="134"/>
      <c r="H357" s="135"/>
      <c r="I357" s="133"/>
      <c r="J357" s="133"/>
      <c r="K357" s="133"/>
      <c r="L357" s="133"/>
      <c r="M357" s="133"/>
      <c r="N357" s="134"/>
    </row>
    <row r="358" customFormat="false" ht="15" hidden="false" customHeight="false" outlineLevel="0" collapsed="false">
      <c r="A358" s="133"/>
      <c r="B358" s="133"/>
      <c r="C358" s="133"/>
      <c r="D358" s="133"/>
      <c r="E358" s="133"/>
      <c r="F358" s="133"/>
      <c r="G358" s="134"/>
      <c r="H358" s="135"/>
      <c r="I358" s="133"/>
      <c r="J358" s="133"/>
      <c r="K358" s="133"/>
      <c r="L358" s="133"/>
      <c r="M358" s="133"/>
      <c r="N358" s="134"/>
    </row>
    <row r="359" customFormat="false" ht="15" hidden="false" customHeight="false" outlineLevel="0" collapsed="false">
      <c r="A359" s="133"/>
      <c r="B359" s="133"/>
      <c r="C359" s="133"/>
      <c r="D359" s="133"/>
      <c r="E359" s="133"/>
      <c r="F359" s="133"/>
      <c r="G359" s="134"/>
      <c r="H359" s="135"/>
      <c r="I359" s="133"/>
      <c r="J359" s="133"/>
      <c r="K359" s="133"/>
      <c r="L359" s="133"/>
      <c r="M359" s="133"/>
      <c r="N359" s="134"/>
    </row>
    <row r="360" customFormat="false" ht="15" hidden="false" customHeight="false" outlineLevel="0" collapsed="false">
      <c r="A360" s="133"/>
      <c r="B360" s="133"/>
      <c r="C360" s="133"/>
      <c r="D360" s="133"/>
      <c r="E360" s="133"/>
      <c r="F360" s="133"/>
      <c r="G360" s="134"/>
      <c r="H360" s="135"/>
      <c r="I360" s="133"/>
      <c r="J360" s="133"/>
      <c r="K360" s="133"/>
      <c r="L360" s="133"/>
      <c r="M360" s="133"/>
      <c r="N360" s="134"/>
    </row>
    <row r="361" customFormat="false" ht="15" hidden="false" customHeight="false" outlineLevel="0" collapsed="false">
      <c r="A361" s="133"/>
      <c r="B361" s="133"/>
      <c r="C361" s="133"/>
      <c r="D361" s="133"/>
      <c r="E361" s="133"/>
      <c r="F361" s="133"/>
      <c r="G361" s="134"/>
      <c r="H361" s="135"/>
      <c r="I361" s="133"/>
      <c r="J361" s="133"/>
      <c r="K361" s="133"/>
      <c r="L361" s="133"/>
      <c r="M361" s="133"/>
      <c r="N361" s="134"/>
    </row>
    <row r="362" customFormat="false" ht="15" hidden="false" customHeight="false" outlineLevel="0" collapsed="false">
      <c r="A362" s="133"/>
      <c r="B362" s="133"/>
      <c r="C362" s="133"/>
      <c r="D362" s="133"/>
      <c r="E362" s="133"/>
      <c r="F362" s="133"/>
      <c r="G362" s="134"/>
      <c r="H362" s="135"/>
      <c r="I362" s="133"/>
      <c r="J362" s="133"/>
      <c r="K362" s="133"/>
      <c r="L362" s="133"/>
      <c r="M362" s="133"/>
      <c r="N362" s="134"/>
    </row>
    <row r="363" customFormat="false" ht="15" hidden="false" customHeight="false" outlineLevel="0" collapsed="false">
      <c r="A363" s="133"/>
      <c r="B363" s="133"/>
      <c r="C363" s="133"/>
      <c r="D363" s="133"/>
      <c r="E363" s="133"/>
      <c r="F363" s="133"/>
      <c r="G363" s="134"/>
      <c r="H363" s="135"/>
      <c r="I363" s="133"/>
      <c r="J363" s="133"/>
      <c r="K363" s="133"/>
      <c r="L363" s="133"/>
      <c r="M363" s="133"/>
      <c r="N363" s="134"/>
    </row>
    <row r="364" customFormat="false" ht="15" hidden="false" customHeight="false" outlineLevel="0" collapsed="false">
      <c r="A364" s="133"/>
      <c r="B364" s="133"/>
      <c r="C364" s="133"/>
      <c r="D364" s="133"/>
      <c r="E364" s="133"/>
      <c r="F364" s="133"/>
      <c r="G364" s="134"/>
      <c r="H364" s="135"/>
      <c r="I364" s="133"/>
      <c r="J364" s="133"/>
      <c r="K364" s="133"/>
      <c r="L364" s="133"/>
      <c r="M364" s="133"/>
      <c r="N364" s="134"/>
    </row>
    <row r="365" customFormat="false" ht="15" hidden="false" customHeight="false" outlineLevel="0" collapsed="false">
      <c r="A365" s="133"/>
      <c r="B365" s="133"/>
      <c r="C365" s="133"/>
      <c r="D365" s="133"/>
      <c r="E365" s="133"/>
      <c r="F365" s="133"/>
      <c r="G365" s="134"/>
      <c r="H365" s="135"/>
      <c r="I365" s="133"/>
      <c r="J365" s="133"/>
      <c r="K365" s="133"/>
      <c r="L365" s="133"/>
      <c r="M365" s="133"/>
      <c r="N365" s="134"/>
    </row>
    <row r="366" customFormat="false" ht="15" hidden="false" customHeight="false" outlineLevel="0" collapsed="false">
      <c r="A366" s="133"/>
      <c r="B366" s="133"/>
      <c r="C366" s="133"/>
      <c r="D366" s="133"/>
      <c r="E366" s="133"/>
      <c r="F366" s="133"/>
      <c r="G366" s="134"/>
      <c r="H366" s="135"/>
      <c r="I366" s="133"/>
      <c r="J366" s="133"/>
      <c r="K366" s="133"/>
      <c r="L366" s="133"/>
      <c r="M366" s="133"/>
      <c r="N366" s="134"/>
    </row>
    <row r="367" customFormat="false" ht="15" hidden="false" customHeight="false" outlineLevel="0" collapsed="false">
      <c r="A367" s="133"/>
      <c r="B367" s="133"/>
      <c r="C367" s="133"/>
      <c r="D367" s="133"/>
      <c r="E367" s="133"/>
      <c r="F367" s="133"/>
      <c r="G367" s="134"/>
      <c r="H367" s="135"/>
      <c r="I367" s="133"/>
      <c r="J367" s="133"/>
      <c r="K367" s="133"/>
      <c r="L367" s="133"/>
      <c r="M367" s="133"/>
      <c r="N367" s="134"/>
    </row>
    <row r="368" customFormat="false" ht="15" hidden="false" customHeight="false" outlineLevel="0" collapsed="false">
      <c r="A368" s="133"/>
      <c r="B368" s="133"/>
      <c r="C368" s="133"/>
      <c r="D368" s="133"/>
      <c r="E368" s="133"/>
      <c r="F368" s="133"/>
      <c r="G368" s="134"/>
      <c r="H368" s="135"/>
      <c r="I368" s="133"/>
      <c r="J368" s="133"/>
      <c r="K368" s="133"/>
      <c r="L368" s="133"/>
      <c r="M368" s="133"/>
      <c r="N368" s="134"/>
    </row>
    <row r="369" customFormat="false" ht="15" hidden="false" customHeight="false" outlineLevel="0" collapsed="false">
      <c r="A369" s="133"/>
      <c r="B369" s="133"/>
      <c r="C369" s="133"/>
      <c r="D369" s="133"/>
      <c r="E369" s="133"/>
      <c r="F369" s="133"/>
      <c r="G369" s="134"/>
      <c r="H369" s="135"/>
      <c r="I369" s="133"/>
      <c r="J369" s="133"/>
      <c r="K369" s="133"/>
      <c r="L369" s="133"/>
      <c r="M369" s="133"/>
      <c r="N369" s="134"/>
    </row>
    <row r="370" customFormat="false" ht="15" hidden="false" customHeight="false" outlineLevel="0" collapsed="false">
      <c r="A370" s="133"/>
      <c r="B370" s="133"/>
      <c r="C370" s="133"/>
      <c r="D370" s="133"/>
      <c r="E370" s="133"/>
      <c r="F370" s="133"/>
      <c r="G370" s="134"/>
      <c r="H370" s="135"/>
      <c r="I370" s="133"/>
      <c r="J370" s="133"/>
      <c r="K370" s="133"/>
      <c r="L370" s="133"/>
      <c r="M370" s="133"/>
      <c r="N370" s="134"/>
    </row>
    <row r="371" customFormat="false" ht="15" hidden="false" customHeight="false" outlineLevel="0" collapsed="false">
      <c r="A371" s="133"/>
      <c r="B371" s="133"/>
      <c r="C371" s="133"/>
      <c r="D371" s="133"/>
      <c r="E371" s="133"/>
      <c r="F371" s="133"/>
      <c r="G371" s="134"/>
      <c r="H371" s="135"/>
      <c r="I371" s="133"/>
      <c r="J371" s="133"/>
      <c r="K371" s="133"/>
      <c r="L371" s="133"/>
      <c r="M371" s="133"/>
      <c r="N371" s="134"/>
    </row>
    <row r="372" customFormat="false" ht="15" hidden="false" customHeight="false" outlineLevel="0" collapsed="false">
      <c r="A372" s="133"/>
      <c r="B372" s="133"/>
      <c r="C372" s="133"/>
      <c r="D372" s="133"/>
      <c r="E372" s="133"/>
      <c r="F372" s="133"/>
      <c r="G372" s="134"/>
      <c r="H372" s="135"/>
      <c r="I372" s="133"/>
      <c r="J372" s="133"/>
      <c r="K372" s="133"/>
      <c r="L372" s="133"/>
      <c r="M372" s="133"/>
      <c r="N372" s="134"/>
    </row>
    <row r="373" customFormat="false" ht="15" hidden="false" customHeight="false" outlineLevel="0" collapsed="false">
      <c r="A373" s="133"/>
      <c r="B373" s="133"/>
      <c r="C373" s="133"/>
      <c r="D373" s="133"/>
      <c r="E373" s="133"/>
      <c r="F373" s="133"/>
      <c r="G373" s="134"/>
      <c r="H373" s="135"/>
      <c r="I373" s="133"/>
      <c r="J373" s="133"/>
      <c r="K373" s="133"/>
      <c r="L373" s="133"/>
      <c r="M373" s="133"/>
      <c r="N373" s="134"/>
    </row>
    <row r="374" customFormat="false" ht="15" hidden="false" customHeight="false" outlineLevel="0" collapsed="false">
      <c r="A374" s="133"/>
      <c r="B374" s="133"/>
      <c r="C374" s="133"/>
      <c r="D374" s="133"/>
      <c r="E374" s="133"/>
      <c r="F374" s="133"/>
      <c r="G374" s="134"/>
      <c r="H374" s="135"/>
      <c r="I374" s="133"/>
      <c r="J374" s="133"/>
      <c r="K374" s="133"/>
      <c r="L374" s="133"/>
      <c r="M374" s="133"/>
      <c r="N374" s="134"/>
    </row>
    <row r="375" customFormat="false" ht="15" hidden="false" customHeight="false" outlineLevel="0" collapsed="false">
      <c r="A375" s="133"/>
      <c r="B375" s="133"/>
      <c r="C375" s="133"/>
      <c r="D375" s="133"/>
      <c r="E375" s="133"/>
      <c r="F375" s="133"/>
      <c r="G375" s="134"/>
      <c r="H375" s="135"/>
      <c r="I375" s="133"/>
      <c r="J375" s="133"/>
      <c r="K375" s="133"/>
      <c r="L375" s="133"/>
      <c r="M375" s="133"/>
      <c r="N375" s="134"/>
    </row>
    <row r="376" customFormat="false" ht="15" hidden="false" customHeight="false" outlineLevel="0" collapsed="false">
      <c r="A376" s="133"/>
      <c r="B376" s="133"/>
      <c r="C376" s="133"/>
      <c r="D376" s="133"/>
      <c r="E376" s="133"/>
      <c r="F376" s="133"/>
      <c r="G376" s="134"/>
      <c r="H376" s="135"/>
      <c r="I376" s="133"/>
      <c r="J376" s="133"/>
      <c r="K376" s="133"/>
      <c r="L376" s="133"/>
      <c r="M376" s="133"/>
      <c r="N376" s="134"/>
    </row>
    <row r="377" customFormat="false" ht="15" hidden="false" customHeight="false" outlineLevel="0" collapsed="false">
      <c r="A377" s="133"/>
      <c r="B377" s="133"/>
      <c r="C377" s="133"/>
      <c r="D377" s="133"/>
      <c r="E377" s="133"/>
      <c r="F377" s="133"/>
      <c r="G377" s="134"/>
      <c r="H377" s="135"/>
      <c r="I377" s="133"/>
      <c r="J377" s="133"/>
      <c r="K377" s="133"/>
      <c r="L377" s="133"/>
      <c r="M377" s="133"/>
      <c r="N377" s="134"/>
    </row>
    <row r="378" customFormat="false" ht="15" hidden="false" customHeight="false" outlineLevel="0" collapsed="false">
      <c r="A378" s="133"/>
      <c r="B378" s="133"/>
      <c r="C378" s="133"/>
      <c r="D378" s="133"/>
      <c r="E378" s="133"/>
      <c r="F378" s="133"/>
      <c r="G378" s="134"/>
      <c r="H378" s="135"/>
      <c r="I378" s="133"/>
      <c r="J378" s="133"/>
      <c r="K378" s="133"/>
      <c r="L378" s="133"/>
      <c r="M378" s="133"/>
      <c r="N378" s="134"/>
    </row>
    <row r="379" customFormat="false" ht="15" hidden="false" customHeight="false" outlineLevel="0" collapsed="false">
      <c r="A379" s="133"/>
      <c r="B379" s="133"/>
      <c r="C379" s="133"/>
      <c r="D379" s="133"/>
      <c r="E379" s="133"/>
      <c r="F379" s="133"/>
      <c r="G379" s="134"/>
      <c r="H379" s="135"/>
      <c r="I379" s="133"/>
      <c r="J379" s="133"/>
      <c r="K379" s="133"/>
      <c r="L379" s="133"/>
      <c r="M379" s="133"/>
      <c r="N379" s="134"/>
    </row>
    <row r="380" customFormat="false" ht="15" hidden="false" customHeight="false" outlineLevel="0" collapsed="false">
      <c r="A380" s="133"/>
      <c r="B380" s="133"/>
      <c r="C380" s="133"/>
      <c r="D380" s="133"/>
      <c r="E380" s="133"/>
      <c r="F380" s="133"/>
      <c r="G380" s="134"/>
      <c r="H380" s="135"/>
      <c r="I380" s="133"/>
      <c r="J380" s="133"/>
      <c r="K380" s="133"/>
      <c r="L380" s="133"/>
      <c r="M380" s="133"/>
      <c r="N380" s="134"/>
    </row>
    <row r="381" customFormat="false" ht="15" hidden="false" customHeight="false" outlineLevel="0" collapsed="false">
      <c r="A381" s="133"/>
      <c r="B381" s="133"/>
      <c r="C381" s="133"/>
      <c r="D381" s="133"/>
      <c r="E381" s="133"/>
      <c r="F381" s="133"/>
      <c r="G381" s="134"/>
      <c r="H381" s="135"/>
      <c r="I381" s="133"/>
      <c r="J381" s="133"/>
      <c r="K381" s="133"/>
      <c r="L381" s="133"/>
      <c r="M381" s="133"/>
      <c r="N381" s="134"/>
    </row>
    <row r="382" customFormat="false" ht="15" hidden="false" customHeight="false" outlineLevel="0" collapsed="false">
      <c r="A382" s="133"/>
      <c r="B382" s="133"/>
      <c r="C382" s="133"/>
      <c r="D382" s="133"/>
      <c r="E382" s="133"/>
      <c r="F382" s="133"/>
      <c r="G382" s="134"/>
      <c r="H382" s="135"/>
      <c r="I382" s="133"/>
      <c r="J382" s="133"/>
      <c r="K382" s="133"/>
      <c r="L382" s="133"/>
      <c r="M382" s="133"/>
      <c r="N382" s="134"/>
    </row>
    <row r="383" customFormat="false" ht="15" hidden="false" customHeight="false" outlineLevel="0" collapsed="false">
      <c r="A383" s="133"/>
      <c r="B383" s="133"/>
      <c r="C383" s="133"/>
      <c r="D383" s="133"/>
      <c r="E383" s="133"/>
      <c r="F383" s="133"/>
      <c r="G383" s="134"/>
      <c r="H383" s="135"/>
      <c r="I383" s="133"/>
      <c r="J383" s="133"/>
      <c r="K383" s="133"/>
      <c r="L383" s="133"/>
      <c r="M383" s="133"/>
      <c r="N383" s="134"/>
    </row>
    <row r="384" customFormat="false" ht="15" hidden="false" customHeight="false" outlineLevel="0" collapsed="false">
      <c r="A384" s="133"/>
      <c r="B384" s="133"/>
      <c r="C384" s="133"/>
      <c r="D384" s="133"/>
      <c r="E384" s="133"/>
      <c r="F384" s="133"/>
      <c r="G384" s="134"/>
      <c r="H384" s="135"/>
      <c r="I384" s="133"/>
      <c r="J384" s="133"/>
      <c r="K384" s="133"/>
      <c r="L384" s="133"/>
      <c r="M384" s="133"/>
      <c r="N384" s="134"/>
    </row>
    <row r="385" customFormat="false" ht="15" hidden="false" customHeight="false" outlineLevel="0" collapsed="false">
      <c r="A385" s="133"/>
      <c r="B385" s="133"/>
      <c r="C385" s="133"/>
      <c r="D385" s="133"/>
      <c r="E385" s="133"/>
      <c r="F385" s="133"/>
      <c r="G385" s="134"/>
      <c r="H385" s="135"/>
      <c r="I385" s="133"/>
      <c r="J385" s="133"/>
      <c r="K385" s="133"/>
      <c r="L385" s="133"/>
      <c r="M385" s="133"/>
      <c r="N385" s="134"/>
    </row>
    <row r="386" customFormat="false" ht="15" hidden="false" customHeight="false" outlineLevel="0" collapsed="false">
      <c r="A386" s="133"/>
      <c r="B386" s="133"/>
      <c r="C386" s="133"/>
      <c r="D386" s="133"/>
      <c r="E386" s="133"/>
      <c r="F386" s="133"/>
      <c r="G386" s="134"/>
      <c r="H386" s="135"/>
      <c r="I386" s="133"/>
      <c r="J386" s="133"/>
      <c r="K386" s="133"/>
      <c r="L386" s="133"/>
      <c r="M386" s="133"/>
      <c r="N386" s="134"/>
    </row>
    <row r="387" customFormat="false" ht="15" hidden="false" customHeight="false" outlineLevel="0" collapsed="false">
      <c r="A387" s="133"/>
      <c r="B387" s="133"/>
      <c r="C387" s="133"/>
      <c r="D387" s="133"/>
      <c r="E387" s="133"/>
      <c r="F387" s="133"/>
      <c r="G387" s="134"/>
      <c r="H387" s="135"/>
      <c r="I387" s="133"/>
      <c r="J387" s="133"/>
      <c r="K387" s="133"/>
      <c r="L387" s="133"/>
      <c r="M387" s="133"/>
      <c r="N387" s="134"/>
    </row>
    <row r="388" customFormat="false" ht="15" hidden="false" customHeight="false" outlineLevel="0" collapsed="false">
      <c r="A388" s="133"/>
      <c r="B388" s="133"/>
      <c r="C388" s="133"/>
      <c r="D388" s="133"/>
      <c r="E388" s="133"/>
      <c r="F388" s="133"/>
      <c r="G388" s="134"/>
      <c r="H388" s="135"/>
      <c r="I388" s="133"/>
      <c r="J388" s="133"/>
      <c r="K388" s="133"/>
      <c r="L388" s="133"/>
      <c r="M388" s="133"/>
      <c r="N388" s="134"/>
    </row>
    <row r="389" customFormat="false" ht="15" hidden="false" customHeight="false" outlineLevel="0" collapsed="false">
      <c r="A389" s="133"/>
      <c r="B389" s="133"/>
      <c r="C389" s="133"/>
      <c r="D389" s="133"/>
      <c r="E389" s="133"/>
      <c r="F389" s="133"/>
      <c r="G389" s="134"/>
      <c r="H389" s="135"/>
      <c r="I389" s="133"/>
      <c r="J389" s="133"/>
      <c r="K389" s="133"/>
      <c r="L389" s="133"/>
      <c r="M389" s="133"/>
      <c r="N389" s="134"/>
    </row>
    <row r="390" customFormat="false" ht="15" hidden="false" customHeight="false" outlineLevel="0" collapsed="false">
      <c r="A390" s="133"/>
      <c r="B390" s="133"/>
      <c r="C390" s="133"/>
      <c r="D390" s="133"/>
      <c r="E390" s="133"/>
      <c r="F390" s="133"/>
      <c r="G390" s="134"/>
      <c r="H390" s="135"/>
      <c r="I390" s="133"/>
      <c r="J390" s="133"/>
      <c r="K390" s="133"/>
      <c r="L390" s="133"/>
      <c r="M390" s="133"/>
      <c r="N390" s="134"/>
    </row>
    <row r="391" customFormat="false" ht="15" hidden="false" customHeight="false" outlineLevel="0" collapsed="false">
      <c r="A391" s="133"/>
      <c r="B391" s="133"/>
      <c r="C391" s="133"/>
      <c r="D391" s="133"/>
      <c r="E391" s="133"/>
      <c r="F391" s="133"/>
      <c r="G391" s="134"/>
      <c r="H391" s="135"/>
      <c r="I391" s="133"/>
      <c r="J391" s="133"/>
      <c r="K391" s="133"/>
      <c r="L391" s="133"/>
      <c r="M391" s="133"/>
      <c r="N391" s="134"/>
    </row>
    <row r="392" customFormat="false" ht="15" hidden="false" customHeight="false" outlineLevel="0" collapsed="false">
      <c r="A392" s="133"/>
      <c r="B392" s="133"/>
      <c r="C392" s="133"/>
      <c r="D392" s="133"/>
      <c r="E392" s="133"/>
      <c r="F392" s="133"/>
      <c r="G392" s="134"/>
      <c r="H392" s="135"/>
      <c r="I392" s="133"/>
      <c r="J392" s="133"/>
      <c r="K392" s="133"/>
      <c r="L392" s="133"/>
      <c r="M392" s="133"/>
      <c r="N392" s="134"/>
    </row>
    <row r="393" customFormat="false" ht="15" hidden="false" customHeight="false" outlineLevel="0" collapsed="false">
      <c r="A393" s="133"/>
      <c r="B393" s="133"/>
      <c r="C393" s="133"/>
      <c r="D393" s="133"/>
      <c r="E393" s="133"/>
      <c r="F393" s="133"/>
      <c r="G393" s="134"/>
      <c r="H393" s="135"/>
      <c r="I393" s="133"/>
      <c r="J393" s="133"/>
      <c r="K393" s="133"/>
      <c r="L393" s="133"/>
      <c r="M393" s="133"/>
      <c r="N393" s="134"/>
    </row>
    <row r="394" customFormat="false" ht="15" hidden="false" customHeight="false" outlineLevel="0" collapsed="false">
      <c r="A394" s="133"/>
      <c r="B394" s="133"/>
      <c r="C394" s="133"/>
      <c r="D394" s="133"/>
      <c r="E394" s="133"/>
      <c r="F394" s="133"/>
      <c r="G394" s="134"/>
      <c r="H394" s="135"/>
      <c r="I394" s="133"/>
      <c r="J394" s="133"/>
      <c r="K394" s="133"/>
      <c r="L394" s="133"/>
      <c r="M394" s="133"/>
      <c r="N394" s="134"/>
    </row>
    <row r="395" customFormat="false" ht="15" hidden="false" customHeight="false" outlineLevel="0" collapsed="false">
      <c r="A395" s="133"/>
      <c r="B395" s="133"/>
      <c r="C395" s="133"/>
      <c r="D395" s="133"/>
      <c r="E395" s="133"/>
      <c r="F395" s="133"/>
      <c r="G395" s="134"/>
      <c r="H395" s="135"/>
      <c r="I395" s="133"/>
      <c r="J395" s="133"/>
      <c r="K395" s="133"/>
      <c r="L395" s="133"/>
      <c r="M395" s="133"/>
      <c r="N395" s="134"/>
    </row>
    <row r="396" customFormat="false" ht="15" hidden="false" customHeight="false" outlineLevel="0" collapsed="false">
      <c r="A396" s="133"/>
      <c r="B396" s="133"/>
      <c r="C396" s="133"/>
      <c r="D396" s="133"/>
      <c r="E396" s="133"/>
      <c r="F396" s="133"/>
      <c r="G396" s="134"/>
      <c r="H396" s="135"/>
      <c r="I396" s="133"/>
      <c r="J396" s="133"/>
      <c r="K396" s="133"/>
      <c r="L396" s="133"/>
      <c r="M396" s="133"/>
      <c r="N396" s="134"/>
    </row>
    <row r="397" customFormat="false" ht="15" hidden="false" customHeight="false" outlineLevel="0" collapsed="false">
      <c r="A397" s="133"/>
      <c r="B397" s="133"/>
      <c r="C397" s="133"/>
      <c r="D397" s="133"/>
      <c r="E397" s="133"/>
      <c r="F397" s="133"/>
      <c r="G397" s="134"/>
      <c r="H397" s="135"/>
      <c r="I397" s="133"/>
      <c r="J397" s="133"/>
      <c r="K397" s="133"/>
      <c r="L397" s="133"/>
      <c r="M397" s="133"/>
      <c r="N397" s="134"/>
    </row>
    <row r="398" customFormat="false" ht="15" hidden="false" customHeight="false" outlineLevel="0" collapsed="false">
      <c r="A398" s="133"/>
      <c r="B398" s="133"/>
      <c r="C398" s="133"/>
      <c r="D398" s="133"/>
      <c r="E398" s="133"/>
      <c r="F398" s="133"/>
      <c r="G398" s="134"/>
      <c r="H398" s="135"/>
      <c r="I398" s="133"/>
      <c r="J398" s="133"/>
      <c r="K398" s="133"/>
      <c r="L398" s="133"/>
      <c r="M398" s="133"/>
      <c r="N398" s="134"/>
    </row>
    <row r="399" customFormat="false" ht="15" hidden="false" customHeight="false" outlineLevel="0" collapsed="false">
      <c r="A399" s="133"/>
      <c r="B399" s="133"/>
      <c r="C399" s="133"/>
      <c r="D399" s="133"/>
      <c r="E399" s="133"/>
      <c r="F399" s="133"/>
      <c r="G399" s="134"/>
      <c r="H399" s="135"/>
      <c r="I399" s="133"/>
      <c r="J399" s="133"/>
      <c r="K399" s="133"/>
      <c r="L399" s="133"/>
      <c r="M399" s="133"/>
      <c r="N399" s="134"/>
    </row>
    <row r="400" customFormat="false" ht="15" hidden="false" customHeight="false" outlineLevel="0" collapsed="false">
      <c r="A400" s="133"/>
      <c r="B400" s="133"/>
      <c r="C400" s="133"/>
      <c r="D400" s="133"/>
      <c r="E400" s="133"/>
      <c r="F400" s="133"/>
      <c r="G400" s="134"/>
      <c r="H400" s="135"/>
      <c r="I400" s="133"/>
      <c r="J400" s="133"/>
      <c r="K400" s="133"/>
      <c r="L400" s="133"/>
      <c r="M400" s="133"/>
      <c r="N400" s="134"/>
    </row>
  </sheetData>
  <sheetProtection sheet="true" formatCells="false" formatColumns="false" formatRows="false" sort="false" autoFilter="false"/>
  <autoFilter ref="A1:N4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10" min="7" style="0" width="16"/>
    <col collapsed="false" customWidth="true" hidden="false" outlineLevel="0" max="11" min="11" style="0" width="30"/>
    <col collapsed="false" customWidth="true" hidden="false" outlineLevel="0" max="13" min="12" style="0" width="16"/>
  </cols>
  <sheetData>
    <row r="1" customFormat="false" ht="31.5" hidden="false" customHeight="true" outlineLevel="0" collapsed="false">
      <c r="A1" s="28" t="s">
        <v>576</v>
      </c>
      <c r="B1" s="28" t="s">
        <v>78</v>
      </c>
      <c r="C1" s="28" t="s">
        <v>97</v>
      </c>
      <c r="D1" s="28" t="s">
        <v>105</v>
      </c>
      <c r="E1" s="28" t="s">
        <v>80</v>
      </c>
      <c r="F1" s="28" t="s">
        <v>807</v>
      </c>
      <c r="G1" s="28" t="s">
        <v>808</v>
      </c>
      <c r="H1" s="28" t="s">
        <v>110</v>
      </c>
      <c r="I1" s="28" t="s">
        <v>809</v>
      </c>
      <c r="J1" s="28" t="s">
        <v>121</v>
      </c>
      <c r="K1" s="28" t="s">
        <v>151</v>
      </c>
      <c r="L1" s="28" t="s">
        <v>581</v>
      </c>
      <c r="M1" s="28" t="s">
        <v>582</v>
      </c>
    </row>
    <row r="2" customFormat="false" ht="15" hidden="false" customHeight="false" outlineLevel="0" collapsed="false">
      <c r="A2" s="133" t="s">
        <v>810</v>
      </c>
      <c r="B2" s="133" t="s">
        <v>152</v>
      </c>
      <c r="C2" s="133" t="s">
        <v>155</v>
      </c>
      <c r="D2" s="133" t="s">
        <v>163</v>
      </c>
      <c r="E2" s="133" t="s">
        <v>161</v>
      </c>
      <c r="F2" s="134" t="n">
        <v>46175</v>
      </c>
      <c r="G2" s="135" t="n">
        <v>2.35</v>
      </c>
      <c r="H2" s="133" t="s">
        <v>165</v>
      </c>
      <c r="I2" s="135" t="n">
        <v>35</v>
      </c>
      <c r="J2" s="133" t="s">
        <v>181</v>
      </c>
      <c r="K2" s="133"/>
      <c r="L2" s="133" t="s">
        <v>585</v>
      </c>
      <c r="M2" s="134"/>
    </row>
    <row r="3" customFormat="false" ht="15" hidden="false" customHeight="false" outlineLevel="0" collapsed="false">
      <c r="A3" s="133" t="s">
        <v>811</v>
      </c>
      <c r="B3" s="133" t="s">
        <v>152</v>
      </c>
      <c r="C3" s="133" t="s">
        <v>155</v>
      </c>
      <c r="D3" s="133" t="s">
        <v>163</v>
      </c>
      <c r="E3" s="133" t="s">
        <v>277</v>
      </c>
      <c r="F3" s="134" t="n">
        <v>46175</v>
      </c>
      <c r="G3" s="135" t="n">
        <v>2.47</v>
      </c>
      <c r="H3" s="133" t="s">
        <v>165</v>
      </c>
      <c r="I3" s="135" t="n">
        <v>45</v>
      </c>
      <c r="J3" s="133" t="s">
        <v>506</v>
      </c>
      <c r="K3" s="133"/>
      <c r="L3" s="133" t="s">
        <v>585</v>
      </c>
      <c r="M3" s="134"/>
    </row>
    <row r="4" customFormat="false" ht="15" hidden="false" customHeight="false" outlineLevel="0" collapsed="false">
      <c r="A4" s="133" t="s">
        <v>812</v>
      </c>
      <c r="B4" s="133" t="s">
        <v>152</v>
      </c>
      <c r="C4" s="133" t="s">
        <v>155</v>
      </c>
      <c r="D4" s="133" t="s">
        <v>163</v>
      </c>
      <c r="E4" s="133" t="s">
        <v>312</v>
      </c>
      <c r="F4" s="134" t="n">
        <v>46175</v>
      </c>
      <c r="G4" s="135" t="n">
        <v>2.76</v>
      </c>
      <c r="H4" s="133" t="s">
        <v>165</v>
      </c>
      <c r="I4" s="135" t="n">
        <v>46</v>
      </c>
      <c r="J4" s="133" t="s">
        <v>174</v>
      </c>
      <c r="K4" s="133"/>
      <c r="L4" s="133" t="s">
        <v>585</v>
      </c>
      <c r="M4" s="134"/>
    </row>
    <row r="5" customFormat="false" ht="15" hidden="false" customHeight="false" outlineLevel="0" collapsed="false">
      <c r="A5" s="133" t="s">
        <v>813</v>
      </c>
      <c r="B5" s="133" t="s">
        <v>168</v>
      </c>
      <c r="C5" s="133" t="s">
        <v>169</v>
      </c>
      <c r="D5" s="133" t="s">
        <v>173</v>
      </c>
      <c r="E5" s="133" t="s">
        <v>161</v>
      </c>
      <c r="F5" s="134" t="n">
        <v>46179</v>
      </c>
      <c r="G5" s="135" t="n">
        <v>1.76</v>
      </c>
      <c r="H5" s="133" t="s">
        <v>165</v>
      </c>
      <c r="I5" s="135" t="n">
        <v>48</v>
      </c>
      <c r="J5" s="133" t="s">
        <v>181</v>
      </c>
      <c r="K5" s="133"/>
      <c r="L5" s="133" t="s">
        <v>585</v>
      </c>
      <c r="M5" s="134"/>
    </row>
    <row r="6" customFormat="false" ht="15" hidden="false" customHeight="false" outlineLevel="0" collapsed="false">
      <c r="A6" s="133" t="s">
        <v>814</v>
      </c>
      <c r="B6" s="133" t="s">
        <v>168</v>
      </c>
      <c r="C6" s="133" t="s">
        <v>169</v>
      </c>
      <c r="D6" s="133" t="s">
        <v>173</v>
      </c>
      <c r="E6" s="133" t="s">
        <v>201</v>
      </c>
      <c r="F6" s="134" t="n">
        <v>46180</v>
      </c>
      <c r="G6" s="135" t="n">
        <v>1.92</v>
      </c>
      <c r="H6" s="133" t="s">
        <v>165</v>
      </c>
      <c r="I6" s="135" t="n">
        <v>60</v>
      </c>
      <c r="J6" s="133" t="s">
        <v>174</v>
      </c>
      <c r="K6" s="133"/>
      <c r="L6" s="133" t="s">
        <v>585</v>
      </c>
      <c r="M6" s="134"/>
    </row>
    <row r="7" customFormat="false" ht="15" hidden="false" customHeight="false" outlineLevel="0" collapsed="false">
      <c r="A7" s="133" t="s">
        <v>815</v>
      </c>
      <c r="B7" s="133" t="s">
        <v>168</v>
      </c>
      <c r="C7" s="133" t="s">
        <v>169</v>
      </c>
      <c r="D7" s="133" t="s">
        <v>173</v>
      </c>
      <c r="E7" s="133" t="s">
        <v>312</v>
      </c>
      <c r="F7" s="134" t="n">
        <v>46179</v>
      </c>
      <c r="G7" s="135" t="n">
        <v>2</v>
      </c>
      <c r="H7" s="133" t="s">
        <v>165</v>
      </c>
      <c r="I7" s="135" t="n">
        <v>55</v>
      </c>
      <c r="J7" s="133" t="s">
        <v>166</v>
      </c>
      <c r="K7" s="133"/>
      <c r="L7" s="133" t="s">
        <v>585</v>
      </c>
      <c r="M7" s="134"/>
    </row>
    <row r="8" customFormat="false" ht="15" hidden="false" customHeight="false" outlineLevel="0" collapsed="false">
      <c r="A8" s="133" t="s">
        <v>816</v>
      </c>
      <c r="B8" s="133" t="s">
        <v>175</v>
      </c>
      <c r="C8" s="133" t="s">
        <v>176</v>
      </c>
      <c r="D8" s="133" t="s">
        <v>179</v>
      </c>
      <c r="E8" s="133" t="s">
        <v>161</v>
      </c>
      <c r="F8" s="134" t="n">
        <v>46182</v>
      </c>
      <c r="G8" s="135" t="n">
        <v>97</v>
      </c>
      <c r="H8" s="133" t="s">
        <v>180</v>
      </c>
      <c r="I8" s="135" t="n">
        <v>33</v>
      </c>
      <c r="J8" s="133" t="s">
        <v>174</v>
      </c>
      <c r="K8" s="133"/>
      <c r="L8" s="133" t="s">
        <v>585</v>
      </c>
      <c r="M8" s="134"/>
    </row>
    <row r="9" customFormat="false" ht="15" hidden="false" customHeight="false" outlineLevel="0" collapsed="false">
      <c r="A9" s="133" t="s">
        <v>817</v>
      </c>
      <c r="B9" s="133" t="s">
        <v>175</v>
      </c>
      <c r="C9" s="133" t="s">
        <v>176</v>
      </c>
      <c r="D9" s="133" t="s">
        <v>179</v>
      </c>
      <c r="E9" s="133" t="s">
        <v>241</v>
      </c>
      <c r="F9" s="134" t="n">
        <v>46181</v>
      </c>
      <c r="G9" s="135" t="n">
        <v>108.15</v>
      </c>
      <c r="H9" s="133" t="s">
        <v>180</v>
      </c>
      <c r="I9" s="135" t="n">
        <v>56</v>
      </c>
      <c r="J9" s="133" t="s">
        <v>315</v>
      </c>
      <c r="K9" s="133"/>
      <c r="L9" s="133" t="s">
        <v>585</v>
      </c>
      <c r="M9" s="134"/>
    </row>
    <row r="10" customFormat="false" ht="15" hidden="false" customHeight="false" outlineLevel="0" collapsed="false">
      <c r="A10" s="133" t="s">
        <v>818</v>
      </c>
      <c r="B10" s="133" t="s">
        <v>175</v>
      </c>
      <c r="C10" s="133" t="s">
        <v>176</v>
      </c>
      <c r="D10" s="133" t="s">
        <v>179</v>
      </c>
      <c r="E10" s="133" t="s">
        <v>277</v>
      </c>
      <c r="F10" s="134" t="n">
        <v>46181</v>
      </c>
      <c r="G10" s="135" t="n">
        <v>103.84</v>
      </c>
      <c r="H10" s="133" t="s">
        <v>180</v>
      </c>
      <c r="I10" s="135" t="n">
        <v>26</v>
      </c>
      <c r="J10" s="133" t="s">
        <v>181</v>
      </c>
      <c r="K10" s="133"/>
      <c r="L10" s="133" t="s">
        <v>585</v>
      </c>
      <c r="M10" s="134"/>
    </row>
    <row r="11" customFormat="false" ht="15" hidden="false" customHeight="false" outlineLevel="0" collapsed="false">
      <c r="A11" s="133" t="s">
        <v>819</v>
      </c>
      <c r="B11" s="133" t="s">
        <v>183</v>
      </c>
      <c r="C11" s="133" t="s">
        <v>184</v>
      </c>
      <c r="D11" s="133" t="s">
        <v>190</v>
      </c>
      <c r="E11" s="133" t="s">
        <v>241</v>
      </c>
      <c r="F11" s="134" t="n">
        <v>46185</v>
      </c>
      <c r="G11" s="135" t="n">
        <v>3.54</v>
      </c>
      <c r="H11" s="133" t="s">
        <v>165</v>
      </c>
      <c r="I11" s="135" t="n">
        <v>33</v>
      </c>
      <c r="J11" s="133" t="s">
        <v>315</v>
      </c>
      <c r="K11" s="133"/>
      <c r="L11" s="133" t="s">
        <v>585</v>
      </c>
      <c r="M11" s="134"/>
    </row>
    <row r="12" customFormat="false" ht="15" hidden="false" customHeight="false" outlineLevel="0" collapsed="false">
      <c r="A12" s="133" t="s">
        <v>820</v>
      </c>
      <c r="B12" s="133" t="s">
        <v>183</v>
      </c>
      <c r="C12" s="133" t="s">
        <v>184</v>
      </c>
      <c r="D12" s="133" t="s">
        <v>190</v>
      </c>
      <c r="E12" s="133" t="s">
        <v>312</v>
      </c>
      <c r="F12" s="134" t="n">
        <v>46187</v>
      </c>
      <c r="G12" s="135" t="n">
        <v>3.38</v>
      </c>
      <c r="H12" s="133" t="s">
        <v>165</v>
      </c>
      <c r="I12" s="135" t="n">
        <v>33</v>
      </c>
      <c r="J12" s="133" t="s">
        <v>166</v>
      </c>
      <c r="K12" s="133"/>
      <c r="L12" s="133" t="s">
        <v>585</v>
      </c>
      <c r="M12" s="134"/>
    </row>
    <row r="13" customFormat="false" ht="15" hidden="false" customHeight="false" outlineLevel="0" collapsed="false">
      <c r="A13" s="133" t="s">
        <v>821</v>
      </c>
      <c r="B13" s="133" t="s">
        <v>183</v>
      </c>
      <c r="C13" s="133" t="s">
        <v>184</v>
      </c>
      <c r="D13" s="133" t="s">
        <v>190</v>
      </c>
      <c r="E13" s="133" t="s">
        <v>225</v>
      </c>
      <c r="F13" s="134" t="n">
        <v>46188</v>
      </c>
      <c r="G13" s="135" t="n">
        <v>3.2</v>
      </c>
      <c r="H13" s="133" t="s">
        <v>165</v>
      </c>
      <c r="I13" s="135" t="n">
        <v>26</v>
      </c>
      <c r="J13" s="133" t="s">
        <v>174</v>
      </c>
      <c r="K13" s="133"/>
      <c r="L13" s="133" t="s">
        <v>585</v>
      </c>
      <c r="M13" s="134"/>
    </row>
    <row r="14" customFormat="false" ht="15" hidden="false" customHeight="false" outlineLevel="0" collapsed="false">
      <c r="A14" s="133" t="s">
        <v>822</v>
      </c>
      <c r="B14" s="133" t="s">
        <v>194</v>
      </c>
      <c r="C14" s="133" t="s">
        <v>197</v>
      </c>
      <c r="D14" s="133" t="s">
        <v>202</v>
      </c>
      <c r="E14" s="133" t="s">
        <v>201</v>
      </c>
      <c r="F14" s="134" t="n">
        <v>46188</v>
      </c>
      <c r="G14" s="135" t="n">
        <v>186</v>
      </c>
      <c r="H14" s="133" t="s">
        <v>180</v>
      </c>
      <c r="I14" s="135" t="n">
        <v>30</v>
      </c>
      <c r="J14" s="133" t="s">
        <v>192</v>
      </c>
      <c r="K14" s="133"/>
      <c r="L14" s="133" t="s">
        <v>585</v>
      </c>
      <c r="M14" s="134"/>
    </row>
    <row r="15" customFormat="false" ht="15" hidden="false" customHeight="false" outlineLevel="0" collapsed="false">
      <c r="A15" s="133" t="s">
        <v>823</v>
      </c>
      <c r="B15" s="133" t="s">
        <v>194</v>
      </c>
      <c r="C15" s="133" t="s">
        <v>197</v>
      </c>
      <c r="D15" s="133" t="s">
        <v>202</v>
      </c>
      <c r="E15" s="133" t="s">
        <v>225</v>
      </c>
      <c r="F15" s="134" t="n">
        <v>46188</v>
      </c>
      <c r="G15" s="135" t="n">
        <v>177</v>
      </c>
      <c r="H15" s="133" t="s">
        <v>180</v>
      </c>
      <c r="I15" s="135" t="n">
        <v>60</v>
      </c>
      <c r="J15" s="133" t="s">
        <v>192</v>
      </c>
      <c r="K15" s="133"/>
      <c r="L15" s="133" t="s">
        <v>585</v>
      </c>
      <c r="M15" s="134"/>
    </row>
    <row r="16" customFormat="false" ht="15" hidden="false" customHeight="false" outlineLevel="0" collapsed="false">
      <c r="A16" s="133" t="s">
        <v>824</v>
      </c>
      <c r="B16" s="133" t="s">
        <v>194</v>
      </c>
      <c r="C16" s="133" t="s">
        <v>197</v>
      </c>
      <c r="D16" s="133" t="s">
        <v>202</v>
      </c>
      <c r="E16" s="133" t="s">
        <v>277</v>
      </c>
      <c r="F16" s="134" t="n">
        <v>46188</v>
      </c>
      <c r="G16" s="135" t="n">
        <v>195</v>
      </c>
      <c r="H16" s="133" t="s">
        <v>180</v>
      </c>
      <c r="I16" s="135" t="n">
        <v>18</v>
      </c>
      <c r="J16" s="133" t="s">
        <v>315</v>
      </c>
      <c r="K16" s="133"/>
      <c r="L16" s="133" t="s">
        <v>585</v>
      </c>
      <c r="M16" s="134"/>
    </row>
    <row r="17" customFormat="false" ht="15" hidden="false" customHeight="false" outlineLevel="0" collapsed="false">
      <c r="A17" s="133" t="s">
        <v>825</v>
      </c>
      <c r="B17" s="133" t="s">
        <v>194</v>
      </c>
      <c r="C17" s="133" t="s">
        <v>197</v>
      </c>
      <c r="D17" s="133" t="s">
        <v>202</v>
      </c>
      <c r="E17" s="133" t="s">
        <v>312</v>
      </c>
      <c r="F17" s="134" t="n">
        <v>46187</v>
      </c>
      <c r="G17" s="135" t="n">
        <v>196</v>
      </c>
      <c r="H17" s="133" t="s">
        <v>180</v>
      </c>
      <c r="I17" s="135" t="n">
        <v>59</v>
      </c>
      <c r="J17" s="133" t="s">
        <v>192</v>
      </c>
      <c r="K17" s="133"/>
      <c r="L17" s="133" t="s">
        <v>585</v>
      </c>
      <c r="M17" s="134"/>
    </row>
    <row r="18" customFormat="false" ht="15" hidden="false" customHeight="false" outlineLevel="0" collapsed="false">
      <c r="A18" s="133" t="s">
        <v>826</v>
      </c>
      <c r="B18" s="133" t="s">
        <v>206</v>
      </c>
      <c r="C18" s="133" t="s">
        <v>207</v>
      </c>
      <c r="D18" s="133" t="s">
        <v>210</v>
      </c>
      <c r="E18" s="133" t="s">
        <v>201</v>
      </c>
      <c r="F18" s="134" t="n">
        <v>46194</v>
      </c>
      <c r="G18" s="135" t="n">
        <v>125</v>
      </c>
      <c r="H18" s="133" t="s">
        <v>180</v>
      </c>
      <c r="I18" s="135" t="n">
        <v>38</v>
      </c>
      <c r="J18" s="133" t="s">
        <v>181</v>
      </c>
      <c r="K18" s="133"/>
      <c r="L18" s="133" t="s">
        <v>585</v>
      </c>
      <c r="M18" s="134"/>
    </row>
    <row r="19" customFormat="false" ht="15" hidden="false" customHeight="false" outlineLevel="0" collapsed="false">
      <c r="A19" s="133" t="s">
        <v>827</v>
      </c>
      <c r="B19" s="133" t="s">
        <v>206</v>
      </c>
      <c r="C19" s="133" t="s">
        <v>207</v>
      </c>
      <c r="D19" s="133" t="s">
        <v>210</v>
      </c>
      <c r="E19" s="133" t="s">
        <v>294</v>
      </c>
      <c r="F19" s="134" t="n">
        <v>46190</v>
      </c>
      <c r="G19" s="135" t="n">
        <v>139</v>
      </c>
      <c r="H19" s="133" t="s">
        <v>180</v>
      </c>
      <c r="I19" s="135" t="n">
        <v>15</v>
      </c>
      <c r="J19" s="133" t="s">
        <v>166</v>
      </c>
      <c r="K19" s="133"/>
      <c r="L19" s="133" t="s">
        <v>585</v>
      </c>
      <c r="M19" s="134"/>
    </row>
    <row r="20" customFormat="false" ht="15" hidden="false" customHeight="false" outlineLevel="0" collapsed="false">
      <c r="A20" s="133" t="s">
        <v>828</v>
      </c>
      <c r="B20" s="133" t="s">
        <v>206</v>
      </c>
      <c r="C20" s="133" t="s">
        <v>207</v>
      </c>
      <c r="D20" s="133" t="s">
        <v>210</v>
      </c>
      <c r="E20" s="133" t="s">
        <v>188</v>
      </c>
      <c r="F20" s="134" t="n">
        <v>46194</v>
      </c>
      <c r="G20" s="135" t="n">
        <v>138</v>
      </c>
      <c r="H20" s="133" t="s">
        <v>180</v>
      </c>
      <c r="I20" s="135" t="n">
        <v>46</v>
      </c>
      <c r="J20" s="133" t="s">
        <v>174</v>
      </c>
      <c r="K20" s="133"/>
      <c r="L20" s="133" t="s">
        <v>585</v>
      </c>
      <c r="M20" s="134"/>
    </row>
    <row r="21" customFormat="false" ht="15" hidden="false" customHeight="false" outlineLevel="0" collapsed="false">
      <c r="A21" s="133" t="s">
        <v>829</v>
      </c>
      <c r="B21" s="133" t="s">
        <v>212</v>
      </c>
      <c r="C21" s="133" t="s">
        <v>213</v>
      </c>
      <c r="D21" s="133" t="s">
        <v>216</v>
      </c>
      <c r="E21" s="133" t="s">
        <v>188</v>
      </c>
      <c r="F21" s="134" t="n">
        <v>46196</v>
      </c>
      <c r="G21" s="135" t="n">
        <v>10.1</v>
      </c>
      <c r="H21" s="133" t="s">
        <v>218</v>
      </c>
      <c r="I21" s="135" t="n">
        <v>40</v>
      </c>
      <c r="J21" s="133" t="s">
        <v>192</v>
      </c>
      <c r="K21" s="133"/>
      <c r="L21" s="133" t="s">
        <v>585</v>
      </c>
      <c r="M21" s="134"/>
    </row>
    <row r="22" customFormat="false" ht="15" hidden="false" customHeight="false" outlineLevel="0" collapsed="false">
      <c r="A22" s="133" t="s">
        <v>830</v>
      </c>
      <c r="B22" s="133" t="s">
        <v>212</v>
      </c>
      <c r="C22" s="133" t="s">
        <v>213</v>
      </c>
      <c r="D22" s="133" t="s">
        <v>216</v>
      </c>
      <c r="E22" s="133" t="s">
        <v>241</v>
      </c>
      <c r="F22" s="134" t="n">
        <v>46194</v>
      </c>
      <c r="G22" s="135" t="n">
        <v>9.88</v>
      </c>
      <c r="H22" s="133" t="s">
        <v>218</v>
      </c>
      <c r="I22" s="135" t="n">
        <v>30</v>
      </c>
      <c r="J22" s="133" t="s">
        <v>166</v>
      </c>
      <c r="K22" s="133"/>
      <c r="L22" s="133" t="s">
        <v>585</v>
      </c>
      <c r="M22" s="134"/>
    </row>
    <row r="23" customFormat="false" ht="15" hidden="false" customHeight="false" outlineLevel="0" collapsed="false">
      <c r="A23" s="133" t="s">
        <v>831</v>
      </c>
      <c r="B23" s="133" t="s">
        <v>212</v>
      </c>
      <c r="C23" s="133" t="s">
        <v>213</v>
      </c>
      <c r="D23" s="133" t="s">
        <v>216</v>
      </c>
      <c r="E23" s="133" t="s">
        <v>312</v>
      </c>
      <c r="F23" s="134" t="n">
        <v>46196</v>
      </c>
      <c r="G23" s="135" t="n">
        <v>11.75</v>
      </c>
      <c r="H23" s="133" t="s">
        <v>218</v>
      </c>
      <c r="I23" s="135" t="n">
        <v>49</v>
      </c>
      <c r="J23" s="133" t="s">
        <v>315</v>
      </c>
      <c r="K23" s="133"/>
      <c r="L23" s="133" t="s">
        <v>585</v>
      </c>
      <c r="M23" s="134"/>
    </row>
    <row r="24" customFormat="false" ht="15" hidden="false" customHeight="false" outlineLevel="0" collapsed="false">
      <c r="A24" s="133" t="s">
        <v>832</v>
      </c>
      <c r="B24" s="133" t="s">
        <v>220</v>
      </c>
      <c r="C24" s="133" t="s">
        <v>221</v>
      </c>
      <c r="D24" s="133" t="s">
        <v>226</v>
      </c>
      <c r="E24" s="133" t="s">
        <v>225</v>
      </c>
      <c r="F24" s="134" t="n">
        <v>46200</v>
      </c>
      <c r="G24" s="135" t="n">
        <v>431</v>
      </c>
      <c r="H24" s="133" t="s">
        <v>180</v>
      </c>
      <c r="I24" s="135" t="n">
        <v>30</v>
      </c>
      <c r="J24" s="133" t="s">
        <v>315</v>
      </c>
      <c r="K24" s="133"/>
      <c r="L24" s="133" t="s">
        <v>585</v>
      </c>
      <c r="M24" s="134"/>
    </row>
    <row r="25" customFormat="false" ht="15" hidden="false" customHeight="false" outlineLevel="0" collapsed="false">
      <c r="A25" s="133" t="s">
        <v>833</v>
      </c>
      <c r="B25" s="133" t="s">
        <v>220</v>
      </c>
      <c r="C25" s="133" t="s">
        <v>221</v>
      </c>
      <c r="D25" s="133" t="s">
        <v>226</v>
      </c>
      <c r="E25" s="133" t="s">
        <v>338</v>
      </c>
      <c r="F25" s="134" t="n">
        <v>46197</v>
      </c>
      <c r="G25" s="135" t="n">
        <v>402</v>
      </c>
      <c r="H25" s="133" t="s">
        <v>180</v>
      </c>
      <c r="I25" s="135" t="n">
        <v>57</v>
      </c>
      <c r="J25" s="133" t="s">
        <v>181</v>
      </c>
      <c r="K25" s="133"/>
      <c r="L25" s="133" t="s">
        <v>585</v>
      </c>
      <c r="M25" s="134"/>
    </row>
    <row r="26" customFormat="false" ht="15" hidden="false" customHeight="false" outlineLevel="0" collapsed="false">
      <c r="A26" s="133" t="s">
        <v>834</v>
      </c>
      <c r="B26" s="133" t="s">
        <v>228</v>
      </c>
      <c r="C26" s="133" t="s">
        <v>229</v>
      </c>
      <c r="D26" s="133" t="s">
        <v>232</v>
      </c>
      <c r="E26" s="133" t="s">
        <v>225</v>
      </c>
      <c r="F26" s="134" t="n">
        <v>46200</v>
      </c>
      <c r="G26" s="135" t="n">
        <v>566</v>
      </c>
      <c r="H26" s="133" t="s">
        <v>180</v>
      </c>
      <c r="I26" s="135" t="n">
        <v>23</v>
      </c>
      <c r="J26" s="133" t="s">
        <v>506</v>
      </c>
      <c r="K26" s="133"/>
      <c r="L26" s="133" t="s">
        <v>585</v>
      </c>
      <c r="M26" s="134"/>
    </row>
    <row r="27" customFormat="false" ht="15" hidden="false" customHeight="false" outlineLevel="0" collapsed="false">
      <c r="A27" s="133" t="s">
        <v>835</v>
      </c>
      <c r="B27" s="133" t="s">
        <v>234</v>
      </c>
      <c r="C27" s="133" t="s">
        <v>237</v>
      </c>
      <c r="D27" s="133" t="s">
        <v>242</v>
      </c>
      <c r="E27" s="133" t="s">
        <v>241</v>
      </c>
      <c r="F27" s="134" t="n">
        <v>46202</v>
      </c>
      <c r="G27" s="135" t="n">
        <v>292</v>
      </c>
      <c r="H27" s="133" t="s">
        <v>180</v>
      </c>
      <c r="I27" s="135" t="n">
        <v>38</v>
      </c>
      <c r="J27" s="133" t="s">
        <v>192</v>
      </c>
      <c r="K27" s="133"/>
      <c r="L27" s="133" t="s">
        <v>585</v>
      </c>
      <c r="M27" s="134"/>
    </row>
    <row r="28" customFormat="false" ht="15" hidden="false" customHeight="false" outlineLevel="0" collapsed="false">
      <c r="A28" s="133" t="s">
        <v>836</v>
      </c>
      <c r="B28" s="133" t="s">
        <v>234</v>
      </c>
      <c r="C28" s="133" t="s">
        <v>237</v>
      </c>
      <c r="D28" s="133" t="s">
        <v>242</v>
      </c>
      <c r="E28" s="133" t="s">
        <v>201</v>
      </c>
      <c r="F28" s="134" t="n">
        <v>46205</v>
      </c>
      <c r="G28" s="135" t="n">
        <v>330</v>
      </c>
      <c r="H28" s="133" t="s">
        <v>180</v>
      </c>
      <c r="I28" s="135" t="n">
        <v>23</v>
      </c>
      <c r="J28" s="133" t="s">
        <v>174</v>
      </c>
      <c r="K28" s="133"/>
      <c r="L28" s="133" t="s">
        <v>585</v>
      </c>
      <c r="M28" s="134"/>
    </row>
    <row r="29" customFormat="false" ht="15" hidden="false" customHeight="false" outlineLevel="0" collapsed="false">
      <c r="A29" s="133" t="s">
        <v>837</v>
      </c>
      <c r="B29" s="133" t="s">
        <v>234</v>
      </c>
      <c r="C29" s="133" t="s">
        <v>237</v>
      </c>
      <c r="D29" s="133" t="s">
        <v>242</v>
      </c>
      <c r="E29" s="133" t="s">
        <v>312</v>
      </c>
      <c r="F29" s="134" t="n">
        <v>46203</v>
      </c>
      <c r="G29" s="135" t="n">
        <v>317</v>
      </c>
      <c r="H29" s="133" t="s">
        <v>180</v>
      </c>
      <c r="I29" s="135" t="n">
        <v>50</v>
      </c>
      <c r="J29" s="133" t="s">
        <v>192</v>
      </c>
      <c r="K29" s="133"/>
      <c r="L29" s="133" t="s">
        <v>585</v>
      </c>
      <c r="M29" s="134"/>
    </row>
    <row r="30" customFormat="false" ht="15" hidden="false" customHeight="false" outlineLevel="0" collapsed="false">
      <c r="A30" s="133" t="s">
        <v>838</v>
      </c>
      <c r="B30" s="133" t="s">
        <v>234</v>
      </c>
      <c r="C30" s="133" t="s">
        <v>237</v>
      </c>
      <c r="D30" s="133" t="s">
        <v>242</v>
      </c>
      <c r="E30" s="133" t="s">
        <v>188</v>
      </c>
      <c r="F30" s="134" t="n">
        <v>46203</v>
      </c>
      <c r="G30" s="135" t="n">
        <v>310</v>
      </c>
      <c r="H30" s="133" t="s">
        <v>180</v>
      </c>
      <c r="I30" s="135" t="n">
        <v>55</v>
      </c>
      <c r="J30" s="133" t="s">
        <v>181</v>
      </c>
      <c r="K30" s="133"/>
      <c r="L30" s="133" t="s">
        <v>585</v>
      </c>
      <c r="M30" s="134"/>
    </row>
    <row r="31" customFormat="false" ht="15" hidden="false" customHeight="false" outlineLevel="0" collapsed="false">
      <c r="A31" s="133" t="s">
        <v>839</v>
      </c>
      <c r="B31" s="133" t="s">
        <v>245</v>
      </c>
      <c r="C31" s="133" t="s">
        <v>246</v>
      </c>
      <c r="D31" s="133" t="s">
        <v>249</v>
      </c>
      <c r="E31" s="133" t="s">
        <v>241</v>
      </c>
      <c r="F31" s="134" t="n">
        <v>46207</v>
      </c>
      <c r="G31" s="135" t="n">
        <v>230</v>
      </c>
      <c r="H31" s="133" t="s">
        <v>180</v>
      </c>
      <c r="I31" s="135" t="n">
        <v>20</v>
      </c>
      <c r="J31" s="133" t="s">
        <v>506</v>
      </c>
      <c r="K31" s="133"/>
      <c r="L31" s="133" t="s">
        <v>585</v>
      </c>
      <c r="M31" s="134"/>
    </row>
    <row r="32" customFormat="false" ht="15" hidden="false" customHeight="false" outlineLevel="0" collapsed="false">
      <c r="A32" s="133" t="s">
        <v>840</v>
      </c>
      <c r="B32" s="133" t="s">
        <v>245</v>
      </c>
      <c r="C32" s="133" t="s">
        <v>246</v>
      </c>
      <c r="D32" s="133" t="s">
        <v>249</v>
      </c>
      <c r="E32" s="133" t="s">
        <v>201</v>
      </c>
      <c r="F32" s="134" t="n">
        <v>46209</v>
      </c>
      <c r="G32" s="135" t="n">
        <v>250</v>
      </c>
      <c r="H32" s="133" t="s">
        <v>180</v>
      </c>
      <c r="I32" s="135" t="n">
        <v>38</v>
      </c>
      <c r="J32" s="133" t="s">
        <v>315</v>
      </c>
      <c r="K32" s="133"/>
      <c r="L32" s="133" t="s">
        <v>585</v>
      </c>
      <c r="M32" s="134"/>
    </row>
    <row r="33" customFormat="false" ht="15" hidden="false" customHeight="false" outlineLevel="0" collapsed="false">
      <c r="A33" s="133" t="s">
        <v>841</v>
      </c>
      <c r="B33" s="133" t="s">
        <v>245</v>
      </c>
      <c r="C33" s="133" t="s">
        <v>246</v>
      </c>
      <c r="D33" s="133" t="s">
        <v>249</v>
      </c>
      <c r="E33" s="133" t="s">
        <v>277</v>
      </c>
      <c r="F33" s="134" t="n">
        <v>46209</v>
      </c>
      <c r="G33" s="135" t="n">
        <v>248</v>
      </c>
      <c r="H33" s="133" t="s">
        <v>180</v>
      </c>
      <c r="I33" s="135" t="n">
        <v>35</v>
      </c>
      <c r="J33" s="133" t="s">
        <v>181</v>
      </c>
      <c r="K33" s="133"/>
      <c r="L33" s="133" t="s">
        <v>585</v>
      </c>
      <c r="M33" s="134"/>
    </row>
    <row r="34" customFormat="false" ht="15" hidden="false" customHeight="false" outlineLevel="0" collapsed="false">
      <c r="A34" s="133" t="s">
        <v>842</v>
      </c>
      <c r="B34" s="133" t="s">
        <v>252</v>
      </c>
      <c r="C34" s="133" t="s">
        <v>253</v>
      </c>
      <c r="D34" s="133" t="s">
        <v>256</v>
      </c>
      <c r="E34" s="133" t="s">
        <v>241</v>
      </c>
      <c r="F34" s="134" t="n">
        <v>46210</v>
      </c>
      <c r="G34" s="135" t="n">
        <v>15.15</v>
      </c>
      <c r="H34" s="133" t="s">
        <v>180</v>
      </c>
      <c r="I34" s="135" t="n">
        <v>36</v>
      </c>
      <c r="J34" s="133" t="s">
        <v>166</v>
      </c>
      <c r="K34" s="133"/>
      <c r="L34" s="133" t="s">
        <v>585</v>
      </c>
      <c r="M34" s="134"/>
    </row>
    <row r="35" customFormat="false" ht="15" hidden="false" customHeight="false" outlineLevel="0" collapsed="false">
      <c r="A35" s="133" t="s">
        <v>843</v>
      </c>
      <c r="B35" s="133" t="s">
        <v>257</v>
      </c>
      <c r="C35" s="133" t="s">
        <v>258</v>
      </c>
      <c r="D35" s="133" t="s">
        <v>262</v>
      </c>
      <c r="E35" s="133" t="s">
        <v>261</v>
      </c>
      <c r="F35" s="134" t="n">
        <v>46214</v>
      </c>
      <c r="G35" s="135" t="n">
        <v>336</v>
      </c>
      <c r="H35" s="133" t="s">
        <v>180</v>
      </c>
      <c r="I35" s="135" t="n">
        <v>23</v>
      </c>
      <c r="J35" s="133" t="s">
        <v>166</v>
      </c>
      <c r="K35" s="133"/>
      <c r="L35" s="133" t="s">
        <v>585</v>
      </c>
      <c r="M35" s="134"/>
    </row>
    <row r="36" customFormat="false" ht="15" hidden="false" customHeight="false" outlineLevel="0" collapsed="false">
      <c r="A36" s="133" t="s">
        <v>844</v>
      </c>
      <c r="B36" s="133" t="s">
        <v>257</v>
      </c>
      <c r="C36" s="133" t="s">
        <v>258</v>
      </c>
      <c r="D36" s="133" t="s">
        <v>262</v>
      </c>
      <c r="E36" s="133" t="s">
        <v>338</v>
      </c>
      <c r="F36" s="134" t="n">
        <v>46214</v>
      </c>
      <c r="G36" s="135" t="n">
        <v>382</v>
      </c>
      <c r="H36" s="133" t="s">
        <v>180</v>
      </c>
      <c r="I36" s="135" t="n">
        <v>41</v>
      </c>
      <c r="J36" s="133" t="s">
        <v>315</v>
      </c>
      <c r="K36" s="133"/>
      <c r="L36" s="133" t="s">
        <v>585</v>
      </c>
      <c r="M36" s="134"/>
    </row>
    <row r="37" customFormat="false" ht="15" hidden="false" customHeight="false" outlineLevel="0" collapsed="false">
      <c r="A37" s="133" t="s">
        <v>845</v>
      </c>
      <c r="B37" s="133" t="s">
        <v>257</v>
      </c>
      <c r="C37" s="133" t="s">
        <v>258</v>
      </c>
      <c r="D37" s="133" t="s">
        <v>262</v>
      </c>
      <c r="E37" s="133" t="s">
        <v>277</v>
      </c>
      <c r="F37" s="134" t="n">
        <v>46212</v>
      </c>
      <c r="G37" s="135" t="n">
        <v>348</v>
      </c>
      <c r="H37" s="133" t="s">
        <v>180</v>
      </c>
      <c r="I37" s="135" t="n">
        <v>24</v>
      </c>
      <c r="J37" s="133" t="s">
        <v>181</v>
      </c>
      <c r="K37" s="133"/>
      <c r="L37" s="133" t="s">
        <v>585</v>
      </c>
      <c r="M37" s="134"/>
    </row>
    <row r="38" customFormat="false" ht="15" hidden="false" customHeight="false" outlineLevel="0" collapsed="false">
      <c r="A38" s="133" t="s">
        <v>846</v>
      </c>
      <c r="B38" s="133" t="s">
        <v>264</v>
      </c>
      <c r="C38" s="133" t="s">
        <v>265</v>
      </c>
      <c r="D38" s="133" t="s">
        <v>268</v>
      </c>
      <c r="E38" s="133" t="s">
        <v>188</v>
      </c>
      <c r="F38" s="134" t="n">
        <v>46213</v>
      </c>
      <c r="G38" s="135" t="n">
        <v>3.35</v>
      </c>
      <c r="H38" s="133" t="s">
        <v>165</v>
      </c>
      <c r="I38" s="135" t="n">
        <v>31</v>
      </c>
      <c r="J38" s="133" t="s">
        <v>192</v>
      </c>
      <c r="K38" s="133"/>
      <c r="L38" s="133" t="s">
        <v>585</v>
      </c>
      <c r="M38" s="134"/>
    </row>
    <row r="39" customFormat="false" ht="15" hidden="false" customHeight="false" outlineLevel="0" collapsed="false">
      <c r="A39" s="133" t="s">
        <v>847</v>
      </c>
      <c r="B39" s="133" t="s">
        <v>264</v>
      </c>
      <c r="C39" s="133" t="s">
        <v>265</v>
      </c>
      <c r="D39" s="133" t="s">
        <v>268</v>
      </c>
      <c r="E39" s="133" t="s">
        <v>161</v>
      </c>
      <c r="F39" s="134" t="n">
        <v>46214</v>
      </c>
      <c r="G39" s="135" t="n">
        <v>3.74</v>
      </c>
      <c r="H39" s="133" t="s">
        <v>165</v>
      </c>
      <c r="I39" s="135" t="n">
        <v>36</v>
      </c>
      <c r="J39" s="133" t="s">
        <v>181</v>
      </c>
      <c r="K39" s="133"/>
      <c r="L39" s="133" t="s">
        <v>585</v>
      </c>
      <c r="M39" s="134"/>
    </row>
    <row r="40" customFormat="false" ht="15" hidden="false" customHeight="false" outlineLevel="0" collapsed="false">
      <c r="A40" s="133" t="s">
        <v>848</v>
      </c>
      <c r="B40" s="133" t="s">
        <v>264</v>
      </c>
      <c r="C40" s="133" t="s">
        <v>265</v>
      </c>
      <c r="D40" s="133" t="s">
        <v>268</v>
      </c>
      <c r="E40" s="133" t="s">
        <v>225</v>
      </c>
      <c r="F40" s="134" t="n">
        <v>46213</v>
      </c>
      <c r="G40" s="135" t="n">
        <v>3.78</v>
      </c>
      <c r="H40" s="133" t="s">
        <v>165</v>
      </c>
      <c r="I40" s="135" t="n">
        <v>13</v>
      </c>
      <c r="J40" s="133" t="s">
        <v>315</v>
      </c>
      <c r="K40" s="133"/>
      <c r="L40" s="133" t="s">
        <v>585</v>
      </c>
      <c r="M40" s="134"/>
    </row>
    <row r="41" customFormat="false" ht="15" hidden="false" customHeight="false" outlineLevel="0" collapsed="false">
      <c r="A41" s="133" t="s">
        <v>849</v>
      </c>
      <c r="B41" s="133" t="s">
        <v>264</v>
      </c>
      <c r="C41" s="133" t="s">
        <v>265</v>
      </c>
      <c r="D41" s="133" t="s">
        <v>268</v>
      </c>
      <c r="E41" s="133" t="s">
        <v>241</v>
      </c>
      <c r="F41" s="134" t="n">
        <v>46213</v>
      </c>
      <c r="G41" s="135" t="n">
        <v>3.89</v>
      </c>
      <c r="H41" s="133" t="s">
        <v>165</v>
      </c>
      <c r="I41" s="135" t="n">
        <v>20</v>
      </c>
      <c r="J41" s="133" t="s">
        <v>166</v>
      </c>
      <c r="K41" s="133"/>
      <c r="L41" s="133" t="s">
        <v>585</v>
      </c>
      <c r="M41" s="134"/>
    </row>
    <row r="42" customFormat="false" ht="15" hidden="false" customHeight="false" outlineLevel="0" collapsed="false">
      <c r="A42" s="133" t="s">
        <v>850</v>
      </c>
      <c r="B42" s="133" t="s">
        <v>270</v>
      </c>
      <c r="C42" s="133" t="s">
        <v>273</v>
      </c>
      <c r="D42" s="133" t="s">
        <v>278</v>
      </c>
      <c r="E42" s="133" t="s">
        <v>277</v>
      </c>
      <c r="F42" s="134" t="n">
        <v>46217</v>
      </c>
      <c r="G42" s="135" t="n">
        <v>39.22</v>
      </c>
      <c r="H42" s="133" t="s">
        <v>180</v>
      </c>
      <c r="I42" s="135" t="n">
        <v>18</v>
      </c>
      <c r="J42" s="133" t="s">
        <v>192</v>
      </c>
      <c r="K42" s="133"/>
      <c r="L42" s="133" t="s">
        <v>585</v>
      </c>
      <c r="M42" s="134"/>
    </row>
    <row r="43" customFormat="false" ht="15" hidden="false" customHeight="false" outlineLevel="0" collapsed="false">
      <c r="A43" s="133" t="s">
        <v>851</v>
      </c>
      <c r="B43" s="133" t="s">
        <v>270</v>
      </c>
      <c r="C43" s="133" t="s">
        <v>273</v>
      </c>
      <c r="D43" s="133" t="s">
        <v>278</v>
      </c>
      <c r="E43" s="133" t="s">
        <v>201</v>
      </c>
      <c r="F43" s="134" t="n">
        <v>46217</v>
      </c>
      <c r="G43" s="135" t="n">
        <v>42.37</v>
      </c>
      <c r="H43" s="133" t="s">
        <v>180</v>
      </c>
      <c r="I43" s="135" t="n">
        <v>37</v>
      </c>
      <c r="J43" s="133" t="s">
        <v>166</v>
      </c>
      <c r="K43" s="133"/>
      <c r="L43" s="133" t="s">
        <v>585</v>
      </c>
      <c r="M43" s="134"/>
    </row>
    <row r="44" customFormat="false" ht="15" hidden="false" customHeight="false" outlineLevel="0" collapsed="false">
      <c r="A44" s="133" t="s">
        <v>852</v>
      </c>
      <c r="B44" s="133" t="s">
        <v>270</v>
      </c>
      <c r="C44" s="133" t="s">
        <v>273</v>
      </c>
      <c r="D44" s="133" t="s">
        <v>278</v>
      </c>
      <c r="E44" s="133" t="s">
        <v>188</v>
      </c>
      <c r="F44" s="134" t="n">
        <v>46219</v>
      </c>
      <c r="G44" s="135" t="n">
        <v>46.28</v>
      </c>
      <c r="H44" s="133" t="s">
        <v>180</v>
      </c>
      <c r="I44" s="135" t="n">
        <v>40</v>
      </c>
      <c r="J44" s="133" t="s">
        <v>315</v>
      </c>
      <c r="K44" s="133"/>
      <c r="L44" s="133" t="s">
        <v>585</v>
      </c>
      <c r="M44" s="134"/>
    </row>
    <row r="45" customFormat="false" ht="15" hidden="false" customHeight="false" outlineLevel="0" collapsed="false">
      <c r="A45" s="133" t="s">
        <v>853</v>
      </c>
      <c r="B45" s="133" t="s">
        <v>281</v>
      </c>
      <c r="C45" s="133" t="s">
        <v>282</v>
      </c>
      <c r="D45" s="133" t="s">
        <v>285</v>
      </c>
      <c r="E45" s="133" t="s">
        <v>277</v>
      </c>
      <c r="F45" s="134" t="n">
        <v>46221</v>
      </c>
      <c r="G45" s="135" t="n">
        <v>141</v>
      </c>
      <c r="H45" s="133" t="s">
        <v>180</v>
      </c>
      <c r="I45" s="135" t="n">
        <v>33</v>
      </c>
      <c r="J45" s="133" t="s">
        <v>192</v>
      </c>
      <c r="K45" s="133"/>
      <c r="L45" s="133" t="s">
        <v>585</v>
      </c>
      <c r="M45" s="134"/>
    </row>
    <row r="46" customFormat="false" ht="15" hidden="false" customHeight="false" outlineLevel="0" collapsed="false">
      <c r="A46" s="133" t="s">
        <v>854</v>
      </c>
      <c r="B46" s="133" t="s">
        <v>287</v>
      </c>
      <c r="C46" s="133" t="s">
        <v>290</v>
      </c>
      <c r="D46" s="133" t="s">
        <v>295</v>
      </c>
      <c r="E46" s="133" t="s">
        <v>294</v>
      </c>
      <c r="F46" s="134" t="n">
        <v>46224</v>
      </c>
      <c r="G46" s="135" t="n">
        <v>1872</v>
      </c>
      <c r="H46" s="133" t="s">
        <v>180</v>
      </c>
      <c r="I46" s="135" t="n">
        <v>41</v>
      </c>
      <c r="J46" s="133" t="s">
        <v>506</v>
      </c>
      <c r="K46" s="133"/>
      <c r="L46" s="133" t="s">
        <v>585</v>
      </c>
      <c r="M46" s="134"/>
    </row>
    <row r="47" customFormat="false" ht="15" hidden="false" customHeight="false" outlineLevel="0" collapsed="false">
      <c r="A47" s="133" t="s">
        <v>855</v>
      </c>
      <c r="B47" s="133" t="s">
        <v>297</v>
      </c>
      <c r="C47" s="133" t="s">
        <v>300</v>
      </c>
      <c r="D47" s="133" t="s">
        <v>304</v>
      </c>
      <c r="E47" s="133" t="s">
        <v>294</v>
      </c>
      <c r="F47" s="134" t="n">
        <v>46226</v>
      </c>
      <c r="G47" s="135" t="n">
        <v>999</v>
      </c>
      <c r="H47" s="133" t="s">
        <v>180</v>
      </c>
      <c r="I47" s="135" t="n">
        <v>21</v>
      </c>
      <c r="J47" s="133" t="s">
        <v>174</v>
      </c>
      <c r="K47" s="133"/>
      <c r="L47" s="133" t="s">
        <v>585</v>
      </c>
      <c r="M47" s="134"/>
    </row>
    <row r="48" customFormat="false" ht="15" hidden="false" customHeight="false" outlineLevel="0" collapsed="false">
      <c r="A48" s="133" t="s">
        <v>856</v>
      </c>
      <c r="B48" s="133" t="s">
        <v>297</v>
      </c>
      <c r="C48" s="133" t="s">
        <v>300</v>
      </c>
      <c r="D48" s="133" t="s">
        <v>304</v>
      </c>
      <c r="E48" s="133" t="s">
        <v>338</v>
      </c>
      <c r="F48" s="134" t="n">
        <v>46227</v>
      </c>
      <c r="G48" s="135" t="n">
        <v>963</v>
      </c>
      <c r="H48" s="133" t="s">
        <v>180</v>
      </c>
      <c r="I48" s="135" t="n">
        <v>53</v>
      </c>
      <c r="J48" s="133" t="s">
        <v>181</v>
      </c>
      <c r="K48" s="133"/>
      <c r="L48" s="133" t="s">
        <v>585</v>
      </c>
      <c r="M48" s="134"/>
    </row>
    <row r="49" customFormat="false" ht="15" hidden="false" customHeight="false" outlineLevel="0" collapsed="false">
      <c r="A49" s="133" t="s">
        <v>857</v>
      </c>
      <c r="B49" s="133" t="s">
        <v>297</v>
      </c>
      <c r="C49" s="133" t="s">
        <v>300</v>
      </c>
      <c r="D49" s="133" t="s">
        <v>304</v>
      </c>
      <c r="E49" s="133" t="s">
        <v>188</v>
      </c>
      <c r="F49" s="134" t="n">
        <v>46227</v>
      </c>
      <c r="G49" s="135" t="n">
        <v>1066</v>
      </c>
      <c r="H49" s="133" t="s">
        <v>180</v>
      </c>
      <c r="I49" s="135" t="n">
        <v>13</v>
      </c>
      <c r="J49" s="133" t="s">
        <v>506</v>
      </c>
      <c r="K49" s="133"/>
      <c r="L49" s="133" t="s">
        <v>585</v>
      </c>
      <c r="M49" s="134"/>
    </row>
    <row r="50" customFormat="false" ht="15" hidden="false" customHeight="false" outlineLevel="0" collapsed="false">
      <c r="A50" s="133" t="s">
        <v>858</v>
      </c>
      <c r="B50" s="133" t="s">
        <v>306</v>
      </c>
      <c r="C50" s="133" t="s">
        <v>307</v>
      </c>
      <c r="D50" s="133" t="s">
        <v>313</v>
      </c>
      <c r="E50" s="133" t="s">
        <v>312</v>
      </c>
      <c r="F50" s="134" t="n">
        <v>46234</v>
      </c>
      <c r="G50" s="135" t="n">
        <v>2543.07</v>
      </c>
      <c r="H50" s="133" t="s">
        <v>165</v>
      </c>
      <c r="I50" s="135" t="n">
        <v>47</v>
      </c>
      <c r="J50" s="133" t="s">
        <v>166</v>
      </c>
      <c r="K50" s="133"/>
      <c r="L50" s="133" t="s">
        <v>585</v>
      </c>
      <c r="M50" s="134"/>
    </row>
    <row r="51" customFormat="false" ht="15" hidden="false" customHeight="false" outlineLevel="0" collapsed="false">
      <c r="A51" s="133" t="s">
        <v>859</v>
      </c>
      <c r="B51" s="133" t="s">
        <v>306</v>
      </c>
      <c r="C51" s="133" t="s">
        <v>307</v>
      </c>
      <c r="D51" s="133" t="s">
        <v>313</v>
      </c>
      <c r="E51" s="133" t="s">
        <v>241</v>
      </c>
      <c r="F51" s="134" t="n">
        <v>46234</v>
      </c>
      <c r="G51" s="135" t="n">
        <v>2821</v>
      </c>
      <c r="H51" s="133" t="s">
        <v>165</v>
      </c>
      <c r="I51" s="135" t="n">
        <v>46</v>
      </c>
      <c r="J51" s="133" t="s">
        <v>192</v>
      </c>
      <c r="K51" s="133"/>
      <c r="L51" s="133" t="s">
        <v>585</v>
      </c>
      <c r="M51" s="134"/>
    </row>
    <row r="52" customFormat="false" ht="15" hidden="false" customHeight="false" outlineLevel="0" collapsed="false">
      <c r="A52" s="133" t="s">
        <v>860</v>
      </c>
      <c r="B52" s="133" t="s">
        <v>316</v>
      </c>
      <c r="C52" s="133" t="s">
        <v>317</v>
      </c>
      <c r="D52" s="133" t="s">
        <v>320</v>
      </c>
      <c r="E52" s="133" t="s">
        <v>312</v>
      </c>
      <c r="F52" s="134" t="n">
        <v>46238</v>
      </c>
      <c r="G52" s="135" t="n">
        <v>3837.39</v>
      </c>
      <c r="H52" s="133" t="s">
        <v>165</v>
      </c>
      <c r="I52" s="135" t="n">
        <v>41</v>
      </c>
      <c r="J52" s="133" t="s">
        <v>315</v>
      </c>
      <c r="K52" s="133"/>
      <c r="L52" s="133" t="s">
        <v>585</v>
      </c>
      <c r="M52" s="134"/>
    </row>
    <row r="53" customFormat="false" ht="15" hidden="false" customHeight="false" outlineLevel="0" collapsed="false">
      <c r="A53" s="133" t="s">
        <v>861</v>
      </c>
      <c r="B53" s="133" t="s">
        <v>316</v>
      </c>
      <c r="C53" s="133" t="s">
        <v>317</v>
      </c>
      <c r="D53" s="133" t="s">
        <v>320</v>
      </c>
      <c r="E53" s="133" t="s">
        <v>338</v>
      </c>
      <c r="F53" s="134" t="n">
        <v>46238</v>
      </c>
      <c r="G53" s="135" t="n">
        <v>3593</v>
      </c>
      <c r="H53" s="133" t="s">
        <v>165</v>
      </c>
      <c r="I53" s="135" t="n">
        <v>47</v>
      </c>
      <c r="J53" s="133" t="s">
        <v>315</v>
      </c>
      <c r="K53" s="133"/>
      <c r="L53" s="133" t="s">
        <v>585</v>
      </c>
      <c r="M53" s="134"/>
    </row>
    <row r="54" customFormat="false" ht="15" hidden="false" customHeight="false" outlineLevel="0" collapsed="false">
      <c r="A54" s="133" t="s">
        <v>862</v>
      </c>
      <c r="B54" s="133" t="s">
        <v>316</v>
      </c>
      <c r="C54" s="133" t="s">
        <v>317</v>
      </c>
      <c r="D54" s="133" t="s">
        <v>320</v>
      </c>
      <c r="E54" s="133" t="s">
        <v>225</v>
      </c>
      <c r="F54" s="134" t="n">
        <v>46233</v>
      </c>
      <c r="G54" s="135" t="n">
        <v>4412</v>
      </c>
      <c r="H54" s="133" t="s">
        <v>165</v>
      </c>
      <c r="I54" s="135" t="n">
        <v>19</v>
      </c>
      <c r="J54" s="133" t="s">
        <v>192</v>
      </c>
      <c r="K54" s="133"/>
      <c r="L54" s="133" t="s">
        <v>585</v>
      </c>
      <c r="M54" s="134"/>
    </row>
    <row r="55" customFormat="false" ht="15" hidden="false" customHeight="false" outlineLevel="0" collapsed="false">
      <c r="A55" s="133" t="s">
        <v>863</v>
      </c>
      <c r="B55" s="133" t="s">
        <v>316</v>
      </c>
      <c r="C55" s="133" t="s">
        <v>317</v>
      </c>
      <c r="D55" s="133" t="s">
        <v>320</v>
      </c>
      <c r="E55" s="133" t="s">
        <v>241</v>
      </c>
      <c r="F55" s="134" t="n">
        <v>46237</v>
      </c>
      <c r="G55" s="135" t="n">
        <v>4345</v>
      </c>
      <c r="H55" s="133" t="s">
        <v>165</v>
      </c>
      <c r="I55" s="135" t="n">
        <v>14</v>
      </c>
      <c r="J55" s="133" t="s">
        <v>315</v>
      </c>
      <c r="K55" s="133"/>
      <c r="L55" s="133" t="s">
        <v>585</v>
      </c>
      <c r="M55" s="134"/>
    </row>
    <row r="56" customFormat="false" ht="15" hidden="false" customHeight="false" outlineLevel="0" collapsed="false">
      <c r="A56" s="133" t="s">
        <v>864</v>
      </c>
      <c r="B56" s="133" t="s">
        <v>321</v>
      </c>
      <c r="C56" s="133" t="s">
        <v>322</v>
      </c>
      <c r="D56" s="133" t="s">
        <v>325</v>
      </c>
      <c r="E56" s="133" t="s">
        <v>312</v>
      </c>
      <c r="F56" s="134" t="n">
        <v>46237</v>
      </c>
      <c r="G56" s="135" t="n">
        <v>53430.12</v>
      </c>
      <c r="H56" s="133" t="s">
        <v>218</v>
      </c>
      <c r="I56" s="135" t="n">
        <v>50</v>
      </c>
      <c r="J56" s="133" t="s">
        <v>506</v>
      </c>
      <c r="K56" s="133"/>
      <c r="L56" s="133" t="s">
        <v>585</v>
      </c>
      <c r="M56" s="134"/>
    </row>
    <row r="57" customFormat="false" ht="15" hidden="false" customHeight="false" outlineLevel="0" collapsed="false">
      <c r="A57" s="133" t="s">
        <v>865</v>
      </c>
      <c r="B57" s="133" t="s">
        <v>321</v>
      </c>
      <c r="C57" s="133" t="s">
        <v>322</v>
      </c>
      <c r="D57" s="133" t="s">
        <v>325</v>
      </c>
      <c r="E57" s="133" t="s">
        <v>241</v>
      </c>
      <c r="F57" s="134" t="n">
        <v>46236</v>
      </c>
      <c r="G57" s="135" t="n">
        <v>55655</v>
      </c>
      <c r="H57" s="133" t="s">
        <v>218</v>
      </c>
      <c r="I57" s="135" t="n">
        <v>27</v>
      </c>
      <c r="J57" s="133" t="s">
        <v>506</v>
      </c>
      <c r="K57" s="133"/>
      <c r="L57" s="133" t="s">
        <v>585</v>
      </c>
      <c r="M57" s="134"/>
    </row>
    <row r="58" customFormat="false" ht="15" hidden="false" customHeight="false" outlineLevel="0" collapsed="false">
      <c r="A58" s="133" t="s">
        <v>866</v>
      </c>
      <c r="B58" s="133" t="s">
        <v>321</v>
      </c>
      <c r="C58" s="133" t="s">
        <v>322</v>
      </c>
      <c r="D58" s="133" t="s">
        <v>325</v>
      </c>
      <c r="E58" s="133" t="s">
        <v>161</v>
      </c>
      <c r="F58" s="134" t="n">
        <v>46243</v>
      </c>
      <c r="G58" s="135" t="n">
        <v>58775</v>
      </c>
      <c r="H58" s="133" t="s">
        <v>218</v>
      </c>
      <c r="I58" s="135" t="n">
        <v>29</v>
      </c>
      <c r="J58" s="133" t="s">
        <v>506</v>
      </c>
      <c r="K58" s="133"/>
      <c r="L58" s="133" t="s">
        <v>585</v>
      </c>
      <c r="M58" s="134"/>
    </row>
    <row r="59" customFormat="false" ht="15" hidden="false" customHeight="false" outlineLevel="0" collapsed="false">
      <c r="A59" s="133" t="s">
        <v>867</v>
      </c>
      <c r="B59" s="133" t="s">
        <v>326</v>
      </c>
      <c r="C59" s="133" t="s">
        <v>327</v>
      </c>
      <c r="D59" s="133" t="s">
        <v>330</v>
      </c>
      <c r="E59" s="133" t="s">
        <v>294</v>
      </c>
      <c r="F59" s="134" t="n">
        <v>46239</v>
      </c>
      <c r="G59" s="135" t="n">
        <v>1495361</v>
      </c>
      <c r="H59" s="133" t="s">
        <v>180</v>
      </c>
      <c r="I59" s="135" t="n">
        <v>39</v>
      </c>
      <c r="J59" s="133" t="s">
        <v>192</v>
      </c>
      <c r="K59" s="133"/>
      <c r="L59" s="133" t="s">
        <v>585</v>
      </c>
      <c r="M59" s="134"/>
    </row>
    <row r="60" customFormat="false" ht="15" hidden="false" customHeight="false" outlineLevel="0" collapsed="false">
      <c r="A60" s="133" t="s">
        <v>868</v>
      </c>
      <c r="B60" s="133" t="s">
        <v>326</v>
      </c>
      <c r="C60" s="133" t="s">
        <v>327</v>
      </c>
      <c r="D60" s="133" t="s">
        <v>330</v>
      </c>
      <c r="E60" s="133" t="s">
        <v>277</v>
      </c>
      <c r="F60" s="134" t="n">
        <v>46244</v>
      </c>
      <c r="G60" s="135" t="n">
        <v>1760641</v>
      </c>
      <c r="H60" s="133" t="s">
        <v>180</v>
      </c>
      <c r="I60" s="135" t="n">
        <v>55</v>
      </c>
      <c r="J60" s="133" t="s">
        <v>181</v>
      </c>
      <c r="K60" s="133"/>
      <c r="L60" s="133" t="s">
        <v>585</v>
      </c>
      <c r="M60" s="134"/>
    </row>
    <row r="61" customFormat="false" ht="15" hidden="false" customHeight="false" outlineLevel="0" collapsed="false">
      <c r="A61" s="133" t="s">
        <v>869</v>
      </c>
      <c r="B61" s="133" t="s">
        <v>326</v>
      </c>
      <c r="C61" s="133" t="s">
        <v>327</v>
      </c>
      <c r="D61" s="133" t="s">
        <v>330</v>
      </c>
      <c r="E61" s="133" t="s">
        <v>312</v>
      </c>
      <c r="F61" s="134" t="n">
        <v>46238</v>
      </c>
      <c r="G61" s="135" t="n">
        <v>1602918</v>
      </c>
      <c r="H61" s="133" t="s">
        <v>180</v>
      </c>
      <c r="I61" s="135" t="n">
        <v>54</v>
      </c>
      <c r="J61" s="133" t="s">
        <v>315</v>
      </c>
      <c r="K61" s="133"/>
      <c r="L61" s="133" t="s">
        <v>585</v>
      </c>
      <c r="M61" s="134"/>
    </row>
    <row r="62" customFormat="false" ht="15" hidden="false" customHeight="false" outlineLevel="0" collapsed="false">
      <c r="A62" s="133" t="s">
        <v>870</v>
      </c>
      <c r="B62" s="133" t="s">
        <v>331</v>
      </c>
      <c r="C62" s="133" t="s">
        <v>334</v>
      </c>
      <c r="D62" s="133" t="s">
        <v>339</v>
      </c>
      <c r="E62" s="133" t="s">
        <v>338</v>
      </c>
      <c r="F62" s="134" t="n">
        <v>46243</v>
      </c>
      <c r="G62" s="135" t="n">
        <v>103649</v>
      </c>
      <c r="H62" s="133" t="s">
        <v>180</v>
      </c>
      <c r="I62" s="135" t="n">
        <v>28</v>
      </c>
      <c r="J62" s="133" t="s">
        <v>181</v>
      </c>
      <c r="K62" s="133"/>
      <c r="L62" s="133" t="s">
        <v>585</v>
      </c>
      <c r="M62" s="134"/>
    </row>
    <row r="63" customFormat="false" ht="15" hidden="false" customHeight="false" outlineLevel="0" collapsed="false">
      <c r="A63" s="133" t="s">
        <v>871</v>
      </c>
      <c r="B63" s="133" t="s">
        <v>340</v>
      </c>
      <c r="C63" s="133" t="s">
        <v>176</v>
      </c>
      <c r="D63" s="133" t="s">
        <v>342</v>
      </c>
      <c r="E63" s="133" t="s">
        <v>161</v>
      </c>
      <c r="F63" s="134" t="n">
        <v>46246</v>
      </c>
      <c r="G63" s="135" t="n">
        <v>98.03</v>
      </c>
      <c r="H63" s="133" t="s">
        <v>180</v>
      </c>
      <c r="I63" s="135" t="n">
        <v>48</v>
      </c>
      <c r="J63" s="133" t="s">
        <v>166</v>
      </c>
      <c r="K63" s="133"/>
      <c r="L63" s="133" t="s">
        <v>585</v>
      </c>
      <c r="M63" s="134"/>
    </row>
    <row r="64" customFormat="false" ht="15" hidden="false" customHeight="false" outlineLevel="0" collapsed="false">
      <c r="A64" s="133" t="s">
        <v>872</v>
      </c>
      <c r="B64" s="133" t="s">
        <v>340</v>
      </c>
      <c r="C64" s="133" t="s">
        <v>176</v>
      </c>
      <c r="D64" s="133" t="s">
        <v>342</v>
      </c>
      <c r="E64" s="133" t="s">
        <v>338</v>
      </c>
      <c r="F64" s="134" t="n">
        <v>46246</v>
      </c>
      <c r="G64" s="135" t="n">
        <v>111.28</v>
      </c>
      <c r="H64" s="133" t="s">
        <v>180</v>
      </c>
      <c r="I64" s="135" t="n">
        <v>43</v>
      </c>
      <c r="J64" s="133" t="s">
        <v>174</v>
      </c>
      <c r="K64" s="133"/>
      <c r="L64" s="133" t="s">
        <v>585</v>
      </c>
      <c r="M64" s="134"/>
    </row>
    <row r="65" customFormat="false" ht="15" hidden="false" customHeight="false" outlineLevel="0" collapsed="false">
      <c r="A65" s="133" t="s">
        <v>873</v>
      </c>
      <c r="B65" s="133" t="s">
        <v>340</v>
      </c>
      <c r="C65" s="133" t="s">
        <v>176</v>
      </c>
      <c r="D65" s="133" t="s">
        <v>342</v>
      </c>
      <c r="E65" s="133" t="s">
        <v>201</v>
      </c>
      <c r="F65" s="134" t="n">
        <v>46245</v>
      </c>
      <c r="G65" s="135" t="n">
        <v>102.66</v>
      </c>
      <c r="H65" s="133" t="s">
        <v>180</v>
      </c>
      <c r="I65" s="135" t="n">
        <v>54</v>
      </c>
      <c r="J65" s="133" t="s">
        <v>166</v>
      </c>
      <c r="K65" s="133"/>
      <c r="L65" s="133" t="s">
        <v>585</v>
      </c>
      <c r="M65" s="134"/>
    </row>
    <row r="66" customFormat="false" ht="15" hidden="false" customHeight="false" outlineLevel="0" collapsed="false">
      <c r="A66" s="133" t="s">
        <v>874</v>
      </c>
      <c r="B66" s="133" t="s">
        <v>343</v>
      </c>
      <c r="C66" s="133" t="s">
        <v>300</v>
      </c>
      <c r="D66" s="133" t="s">
        <v>345</v>
      </c>
      <c r="E66" s="133" t="s">
        <v>294</v>
      </c>
      <c r="F66" s="134" t="n">
        <v>46247</v>
      </c>
      <c r="G66" s="135" t="n">
        <v>913</v>
      </c>
      <c r="H66" s="133" t="s">
        <v>180</v>
      </c>
      <c r="I66" s="135" t="n">
        <v>31</v>
      </c>
      <c r="J66" s="133" t="s">
        <v>166</v>
      </c>
      <c r="K66" s="133"/>
      <c r="L66" s="133" t="s">
        <v>585</v>
      </c>
      <c r="M66" s="134"/>
    </row>
    <row r="67" customFormat="false" ht="15" hidden="false" customHeight="false" outlineLevel="0" collapsed="false">
      <c r="A67" s="133" t="s">
        <v>875</v>
      </c>
      <c r="B67" s="133" t="s">
        <v>343</v>
      </c>
      <c r="C67" s="133" t="s">
        <v>300</v>
      </c>
      <c r="D67" s="133" t="s">
        <v>345</v>
      </c>
      <c r="E67" s="133" t="s">
        <v>201</v>
      </c>
      <c r="F67" s="134" t="n">
        <v>46248</v>
      </c>
      <c r="G67" s="135" t="n">
        <v>993</v>
      </c>
      <c r="H67" s="133" t="s">
        <v>180</v>
      </c>
      <c r="I67" s="135" t="n">
        <v>38</v>
      </c>
      <c r="J67" s="133" t="s">
        <v>192</v>
      </c>
      <c r="K67" s="133"/>
      <c r="L67" s="133" t="s">
        <v>585</v>
      </c>
      <c r="M67" s="134"/>
    </row>
    <row r="68" customFormat="false" ht="15" hidden="false" customHeight="false" outlineLevel="0" collapsed="false">
      <c r="A68" s="133" t="s">
        <v>876</v>
      </c>
      <c r="B68" s="133" t="s">
        <v>343</v>
      </c>
      <c r="C68" s="133" t="s">
        <v>300</v>
      </c>
      <c r="D68" s="133" t="s">
        <v>345</v>
      </c>
      <c r="E68" s="133" t="s">
        <v>261</v>
      </c>
      <c r="F68" s="134" t="n">
        <v>46247</v>
      </c>
      <c r="G68" s="135" t="n">
        <v>1024</v>
      </c>
      <c r="H68" s="133" t="s">
        <v>180</v>
      </c>
      <c r="I68" s="135" t="n">
        <v>34</v>
      </c>
      <c r="J68" s="133" t="s">
        <v>506</v>
      </c>
      <c r="K68" s="133"/>
      <c r="L68" s="133" t="s">
        <v>585</v>
      </c>
      <c r="M68" s="134"/>
    </row>
    <row r="69" customFormat="false" ht="15" hidden="false" customHeight="false" outlineLevel="0" collapsed="false">
      <c r="A69" s="133" t="s">
        <v>877</v>
      </c>
      <c r="B69" s="133" t="s">
        <v>346</v>
      </c>
      <c r="C69" s="133" t="s">
        <v>253</v>
      </c>
      <c r="D69" s="133" t="s">
        <v>348</v>
      </c>
      <c r="E69" s="133" t="s">
        <v>241</v>
      </c>
      <c r="F69" s="134" t="n">
        <v>46250</v>
      </c>
      <c r="G69" s="135" t="n">
        <v>15.01</v>
      </c>
      <c r="H69" s="133" t="s">
        <v>180</v>
      </c>
      <c r="I69" s="135" t="n">
        <v>44</v>
      </c>
      <c r="J69" s="133" t="s">
        <v>174</v>
      </c>
      <c r="K69" s="133"/>
      <c r="L69" s="133" t="s">
        <v>585</v>
      </c>
      <c r="M69" s="134"/>
    </row>
    <row r="70" customFormat="false" ht="15" hidden="false" customHeight="false" outlineLevel="0" collapsed="false">
      <c r="A70" s="133" t="s">
        <v>878</v>
      </c>
      <c r="B70" s="133" t="s">
        <v>346</v>
      </c>
      <c r="C70" s="133" t="s">
        <v>253</v>
      </c>
      <c r="D70" s="133" t="s">
        <v>348</v>
      </c>
      <c r="E70" s="133" t="s">
        <v>161</v>
      </c>
      <c r="F70" s="134" t="n">
        <v>46251</v>
      </c>
      <c r="G70" s="135" t="n">
        <v>14.43</v>
      </c>
      <c r="H70" s="133" t="s">
        <v>180</v>
      </c>
      <c r="I70" s="135" t="n">
        <v>55</v>
      </c>
      <c r="J70" s="133" t="s">
        <v>315</v>
      </c>
      <c r="K70" s="133"/>
      <c r="L70" s="133" t="s">
        <v>585</v>
      </c>
      <c r="M70" s="134"/>
    </row>
    <row r="71" customFormat="false" ht="15" hidden="false" customHeight="false" outlineLevel="0" collapsed="false">
      <c r="A71" s="133" t="s">
        <v>879</v>
      </c>
      <c r="B71" s="133" t="s">
        <v>346</v>
      </c>
      <c r="C71" s="133" t="s">
        <v>253</v>
      </c>
      <c r="D71" s="133" t="s">
        <v>348</v>
      </c>
      <c r="E71" s="133" t="s">
        <v>201</v>
      </c>
      <c r="F71" s="134" t="n">
        <v>46251</v>
      </c>
      <c r="G71" s="135" t="n">
        <v>16.34</v>
      </c>
      <c r="H71" s="133" t="s">
        <v>180</v>
      </c>
      <c r="I71" s="135" t="n">
        <v>54</v>
      </c>
      <c r="J71" s="133" t="s">
        <v>506</v>
      </c>
      <c r="K71" s="133"/>
      <c r="L71" s="133" t="s">
        <v>585</v>
      </c>
      <c r="M71" s="134"/>
    </row>
    <row r="72" customFormat="false" ht="15" hidden="false" customHeight="false" outlineLevel="0" collapsed="false">
      <c r="A72" s="133" t="s">
        <v>880</v>
      </c>
      <c r="B72" s="133" t="s">
        <v>350</v>
      </c>
      <c r="C72" s="133" t="s">
        <v>290</v>
      </c>
      <c r="D72" s="133" t="s">
        <v>352</v>
      </c>
      <c r="E72" s="133" t="s">
        <v>294</v>
      </c>
      <c r="F72" s="134" t="n">
        <v>46254</v>
      </c>
      <c r="G72" s="135" t="n">
        <v>1856</v>
      </c>
      <c r="H72" s="133" t="s">
        <v>180</v>
      </c>
      <c r="I72" s="135" t="n">
        <v>45</v>
      </c>
      <c r="J72" s="133" t="s">
        <v>315</v>
      </c>
      <c r="K72" s="133"/>
      <c r="L72" s="133" t="s">
        <v>585</v>
      </c>
      <c r="M72" s="134"/>
    </row>
    <row r="73" customFormat="false" ht="15" hidden="false" customHeight="false" outlineLevel="0" collapsed="false">
      <c r="A73" s="133" t="s">
        <v>881</v>
      </c>
      <c r="B73" s="133" t="s">
        <v>350</v>
      </c>
      <c r="C73" s="133" t="s">
        <v>290</v>
      </c>
      <c r="D73" s="133" t="s">
        <v>352</v>
      </c>
      <c r="E73" s="133" t="s">
        <v>277</v>
      </c>
      <c r="F73" s="134" t="n">
        <v>46255</v>
      </c>
      <c r="G73" s="135" t="n">
        <v>1737</v>
      </c>
      <c r="H73" s="133" t="s">
        <v>180</v>
      </c>
      <c r="I73" s="135" t="n">
        <v>36</v>
      </c>
      <c r="J73" s="133" t="s">
        <v>174</v>
      </c>
      <c r="K73" s="133"/>
      <c r="L73" s="133" t="s">
        <v>585</v>
      </c>
      <c r="M73" s="134"/>
    </row>
    <row r="74" customFormat="false" ht="15" hidden="false" customHeight="false" outlineLevel="0" collapsed="false">
      <c r="A74" s="133" t="s">
        <v>882</v>
      </c>
      <c r="B74" s="133" t="s">
        <v>350</v>
      </c>
      <c r="C74" s="133" t="s">
        <v>290</v>
      </c>
      <c r="D74" s="133" t="s">
        <v>352</v>
      </c>
      <c r="E74" s="133" t="s">
        <v>261</v>
      </c>
      <c r="F74" s="134" t="n">
        <v>46254</v>
      </c>
      <c r="G74" s="135" t="n">
        <v>1968</v>
      </c>
      <c r="H74" s="133" t="s">
        <v>180</v>
      </c>
      <c r="I74" s="135" t="n">
        <v>29</v>
      </c>
      <c r="J74" s="133" t="s">
        <v>192</v>
      </c>
      <c r="K74" s="133"/>
      <c r="L74" s="133" t="s">
        <v>585</v>
      </c>
      <c r="M74" s="134"/>
    </row>
    <row r="75" customFormat="false" ht="15" hidden="false" customHeight="false" outlineLevel="0" collapsed="false">
      <c r="A75" s="133" t="s">
        <v>883</v>
      </c>
      <c r="B75" s="133" t="s">
        <v>353</v>
      </c>
      <c r="C75" s="133" t="s">
        <v>290</v>
      </c>
      <c r="D75" s="133"/>
      <c r="E75" s="133" t="s">
        <v>294</v>
      </c>
      <c r="F75" s="134" t="n">
        <v>46256</v>
      </c>
      <c r="G75" s="135" t="n">
        <v>2012</v>
      </c>
      <c r="H75" s="133" t="s">
        <v>180</v>
      </c>
      <c r="I75" s="135" t="n">
        <v>39</v>
      </c>
      <c r="J75" s="133" t="s">
        <v>181</v>
      </c>
      <c r="K75" s="133"/>
      <c r="L75" s="133" t="s">
        <v>585</v>
      </c>
      <c r="M75" s="134"/>
    </row>
    <row r="76" customFormat="false" ht="15" hidden="false" customHeight="false" outlineLevel="0" collapsed="false">
      <c r="A76" s="133" t="s">
        <v>884</v>
      </c>
      <c r="B76" s="133" t="s">
        <v>353</v>
      </c>
      <c r="C76" s="133" t="s">
        <v>290</v>
      </c>
      <c r="D76" s="133"/>
      <c r="E76" s="133" t="s">
        <v>225</v>
      </c>
      <c r="F76" s="134" t="n">
        <v>46258</v>
      </c>
      <c r="G76" s="135" t="n">
        <v>2309</v>
      </c>
      <c r="H76" s="133" t="s">
        <v>180</v>
      </c>
      <c r="I76" s="135" t="n">
        <v>24</v>
      </c>
      <c r="J76" s="133" t="s">
        <v>181</v>
      </c>
      <c r="K76" s="133"/>
      <c r="L76" s="133" t="s">
        <v>585</v>
      </c>
      <c r="M76" s="134"/>
    </row>
    <row r="77" customFormat="false" ht="15" hidden="false" customHeight="false" outlineLevel="0" collapsed="false">
      <c r="A77" s="133" t="s">
        <v>885</v>
      </c>
      <c r="B77" s="133" t="s">
        <v>355</v>
      </c>
      <c r="C77" s="133" t="s">
        <v>184</v>
      </c>
      <c r="D77" s="133" t="s">
        <v>357</v>
      </c>
      <c r="E77" s="133" t="s">
        <v>188</v>
      </c>
      <c r="F77" s="134" t="n">
        <v>46259</v>
      </c>
      <c r="G77" s="135" t="n">
        <v>3.04</v>
      </c>
      <c r="H77" s="133" t="s">
        <v>165</v>
      </c>
      <c r="I77" s="135" t="n">
        <v>47</v>
      </c>
      <c r="J77" s="133" t="s">
        <v>174</v>
      </c>
      <c r="K77" s="133"/>
      <c r="L77" s="133" t="s">
        <v>585</v>
      </c>
      <c r="M77" s="134"/>
    </row>
    <row r="78" customFormat="false" ht="15" hidden="false" customHeight="false" outlineLevel="0" collapsed="false">
      <c r="A78" s="133" t="s">
        <v>886</v>
      </c>
      <c r="B78" s="133" t="s">
        <v>355</v>
      </c>
      <c r="C78" s="133" t="s">
        <v>184</v>
      </c>
      <c r="D78" s="133" t="s">
        <v>357</v>
      </c>
      <c r="E78" s="133" t="s">
        <v>338</v>
      </c>
      <c r="F78" s="134" t="n">
        <v>46260</v>
      </c>
      <c r="G78" s="135" t="n">
        <v>3.14</v>
      </c>
      <c r="H78" s="133" t="s">
        <v>165</v>
      </c>
      <c r="I78" s="135" t="n">
        <v>34</v>
      </c>
      <c r="J78" s="133" t="s">
        <v>174</v>
      </c>
      <c r="K78" s="133"/>
      <c r="L78" s="133" t="s">
        <v>585</v>
      </c>
      <c r="M78" s="134"/>
    </row>
    <row r="79" customFormat="false" ht="15" hidden="false" customHeight="false" outlineLevel="0" collapsed="false">
      <c r="A79" s="133" t="s">
        <v>887</v>
      </c>
      <c r="B79" s="133" t="s">
        <v>358</v>
      </c>
      <c r="C79" s="133" t="s">
        <v>300</v>
      </c>
      <c r="D79" s="133" t="s">
        <v>360</v>
      </c>
      <c r="E79" s="133" t="s">
        <v>294</v>
      </c>
      <c r="F79" s="134" t="n">
        <v>46266</v>
      </c>
      <c r="G79" s="135" t="n">
        <v>963</v>
      </c>
      <c r="H79" s="133" t="s">
        <v>180</v>
      </c>
      <c r="I79" s="135" t="n">
        <v>37</v>
      </c>
      <c r="J79" s="133" t="s">
        <v>506</v>
      </c>
      <c r="K79" s="133"/>
      <c r="L79" s="133" t="s">
        <v>585</v>
      </c>
      <c r="M79" s="134"/>
    </row>
    <row r="80" customFormat="false" ht="15" hidden="false" customHeight="false" outlineLevel="0" collapsed="false">
      <c r="A80" s="133" t="s">
        <v>888</v>
      </c>
      <c r="B80" s="133" t="s">
        <v>358</v>
      </c>
      <c r="C80" s="133" t="s">
        <v>300</v>
      </c>
      <c r="D80" s="133" t="s">
        <v>360</v>
      </c>
      <c r="E80" s="133" t="s">
        <v>338</v>
      </c>
      <c r="F80" s="134" t="n">
        <v>46266</v>
      </c>
      <c r="G80" s="135" t="n">
        <v>1043</v>
      </c>
      <c r="H80" s="133" t="s">
        <v>180</v>
      </c>
      <c r="I80" s="135" t="n">
        <v>28</v>
      </c>
      <c r="J80" s="133" t="s">
        <v>506</v>
      </c>
      <c r="K80" s="133"/>
      <c r="L80" s="133" t="s">
        <v>585</v>
      </c>
      <c r="M80" s="134"/>
    </row>
    <row r="81" customFormat="false" ht="15" hidden="false" customHeight="false" outlineLevel="0" collapsed="false">
      <c r="A81" s="133" t="s">
        <v>889</v>
      </c>
      <c r="B81" s="133" t="s">
        <v>358</v>
      </c>
      <c r="C81" s="133" t="s">
        <v>300</v>
      </c>
      <c r="D81" s="133" t="s">
        <v>360</v>
      </c>
      <c r="E81" s="133" t="s">
        <v>312</v>
      </c>
      <c r="F81" s="134" t="n">
        <v>46264</v>
      </c>
      <c r="G81" s="135" t="n">
        <v>1099</v>
      </c>
      <c r="H81" s="133" t="s">
        <v>180</v>
      </c>
      <c r="I81" s="135" t="n">
        <v>58</v>
      </c>
      <c r="J81" s="133" t="s">
        <v>174</v>
      </c>
      <c r="K81" s="133"/>
      <c r="L81" s="133" t="s">
        <v>585</v>
      </c>
      <c r="M81" s="134"/>
    </row>
    <row r="82" customFormat="false" ht="15" hidden="false" customHeight="false" outlineLevel="0" collapsed="false">
      <c r="A82" s="133" t="s">
        <v>890</v>
      </c>
      <c r="B82" s="133" t="s">
        <v>361</v>
      </c>
      <c r="C82" s="133" t="s">
        <v>221</v>
      </c>
      <c r="D82" s="133" t="s">
        <v>363</v>
      </c>
      <c r="E82" s="133" t="s">
        <v>225</v>
      </c>
      <c r="F82" s="134" t="n">
        <v>46267</v>
      </c>
      <c r="G82" s="135" t="n">
        <v>438</v>
      </c>
      <c r="H82" s="133" t="s">
        <v>180</v>
      </c>
      <c r="I82" s="135" t="n">
        <v>25</v>
      </c>
      <c r="J82" s="133" t="s">
        <v>192</v>
      </c>
      <c r="K82" s="133"/>
      <c r="L82" s="133" t="s">
        <v>585</v>
      </c>
      <c r="M82" s="134"/>
    </row>
    <row r="83" customFormat="false" ht="15" hidden="false" customHeight="false" outlineLevel="0" collapsed="false">
      <c r="A83" s="133" t="s">
        <v>891</v>
      </c>
      <c r="B83" s="133" t="s">
        <v>361</v>
      </c>
      <c r="C83" s="133" t="s">
        <v>221</v>
      </c>
      <c r="D83" s="133" t="s">
        <v>363</v>
      </c>
      <c r="E83" s="133" t="s">
        <v>261</v>
      </c>
      <c r="F83" s="134" t="n">
        <v>46266</v>
      </c>
      <c r="G83" s="135" t="n">
        <v>424</v>
      </c>
      <c r="H83" s="133" t="s">
        <v>180</v>
      </c>
      <c r="I83" s="135" t="n">
        <v>34</v>
      </c>
      <c r="J83" s="133" t="s">
        <v>315</v>
      </c>
      <c r="K83" s="133"/>
      <c r="L83" s="133" t="s">
        <v>585</v>
      </c>
      <c r="M83" s="134"/>
    </row>
    <row r="84" customFormat="false" ht="15" hidden="false" customHeight="false" outlineLevel="0" collapsed="false">
      <c r="A84" s="133" t="s">
        <v>892</v>
      </c>
      <c r="B84" s="133" t="s">
        <v>361</v>
      </c>
      <c r="C84" s="133" t="s">
        <v>221</v>
      </c>
      <c r="D84" s="133" t="s">
        <v>363</v>
      </c>
      <c r="E84" s="133" t="s">
        <v>201</v>
      </c>
      <c r="F84" s="134" t="n">
        <v>46265</v>
      </c>
      <c r="G84" s="135" t="n">
        <v>475</v>
      </c>
      <c r="H84" s="133" t="s">
        <v>180</v>
      </c>
      <c r="I84" s="135" t="n">
        <v>36</v>
      </c>
      <c r="J84" s="133" t="s">
        <v>181</v>
      </c>
      <c r="K84" s="133"/>
      <c r="L84" s="133" t="s">
        <v>585</v>
      </c>
      <c r="M84" s="134"/>
    </row>
    <row r="85" customFormat="false" ht="15" hidden="false" customHeight="false" outlineLevel="0" collapsed="false">
      <c r="A85" s="133" t="s">
        <v>893</v>
      </c>
      <c r="B85" s="133" t="s">
        <v>361</v>
      </c>
      <c r="C85" s="133" t="s">
        <v>221</v>
      </c>
      <c r="D85" s="133" t="s">
        <v>363</v>
      </c>
      <c r="E85" s="133" t="s">
        <v>161</v>
      </c>
      <c r="F85" s="134" t="n">
        <v>46265</v>
      </c>
      <c r="G85" s="135" t="n">
        <v>456</v>
      </c>
      <c r="H85" s="133" t="s">
        <v>180</v>
      </c>
      <c r="I85" s="135" t="n">
        <v>34</v>
      </c>
      <c r="J85" s="133" t="s">
        <v>192</v>
      </c>
      <c r="K85" s="133"/>
      <c r="L85" s="133" t="s">
        <v>585</v>
      </c>
      <c r="M85" s="134"/>
    </row>
    <row r="86" customFormat="false" ht="15" hidden="false" customHeight="false" outlineLevel="0" collapsed="false">
      <c r="A86" s="133" t="s">
        <v>894</v>
      </c>
      <c r="B86" s="133" t="s">
        <v>365</v>
      </c>
      <c r="C86" s="133" t="s">
        <v>207</v>
      </c>
      <c r="D86" s="133" t="s">
        <v>367</v>
      </c>
      <c r="E86" s="133" t="s">
        <v>201</v>
      </c>
      <c r="F86" s="134" t="n">
        <v>46268</v>
      </c>
      <c r="G86" s="135" t="n">
        <v>124</v>
      </c>
      <c r="H86" s="133" t="s">
        <v>180</v>
      </c>
      <c r="I86" s="135" t="n">
        <v>27</v>
      </c>
      <c r="J86" s="133" t="s">
        <v>315</v>
      </c>
      <c r="K86" s="133"/>
      <c r="L86" s="133" t="s">
        <v>585</v>
      </c>
      <c r="M86" s="134"/>
    </row>
    <row r="87" customFormat="false" ht="15" hidden="false" customHeight="false" outlineLevel="0" collapsed="false">
      <c r="A87" s="133" t="s">
        <v>895</v>
      </c>
      <c r="B87" s="133" t="s">
        <v>365</v>
      </c>
      <c r="C87" s="133" t="s">
        <v>207</v>
      </c>
      <c r="D87" s="133" t="s">
        <v>367</v>
      </c>
      <c r="E87" s="133" t="s">
        <v>161</v>
      </c>
      <c r="F87" s="134" t="n">
        <v>46270</v>
      </c>
      <c r="G87" s="135" t="n">
        <v>136</v>
      </c>
      <c r="H87" s="133" t="s">
        <v>180</v>
      </c>
      <c r="I87" s="135" t="n">
        <v>50</v>
      </c>
      <c r="J87" s="133" t="s">
        <v>181</v>
      </c>
      <c r="K87" s="133"/>
      <c r="L87" s="133" t="s">
        <v>585</v>
      </c>
      <c r="M87" s="134"/>
    </row>
    <row r="88" customFormat="false" ht="15" hidden="false" customHeight="false" outlineLevel="0" collapsed="false">
      <c r="A88" s="133" t="s">
        <v>896</v>
      </c>
      <c r="B88" s="133" t="s">
        <v>365</v>
      </c>
      <c r="C88" s="133" t="s">
        <v>207</v>
      </c>
      <c r="D88" s="133" t="s">
        <v>367</v>
      </c>
      <c r="E88" s="133" t="s">
        <v>261</v>
      </c>
      <c r="F88" s="134" t="n">
        <v>46269</v>
      </c>
      <c r="G88" s="135" t="n">
        <v>136</v>
      </c>
      <c r="H88" s="133" t="s">
        <v>180</v>
      </c>
      <c r="I88" s="135" t="n">
        <v>36</v>
      </c>
      <c r="J88" s="133" t="s">
        <v>181</v>
      </c>
      <c r="K88" s="133"/>
      <c r="L88" s="133" t="s">
        <v>585</v>
      </c>
      <c r="M88" s="134"/>
    </row>
    <row r="89" customFormat="false" ht="15" hidden="false" customHeight="false" outlineLevel="0" collapsed="false">
      <c r="A89" s="133" t="s">
        <v>897</v>
      </c>
      <c r="B89" s="133" t="s">
        <v>369</v>
      </c>
      <c r="C89" s="133" t="s">
        <v>155</v>
      </c>
      <c r="D89" s="133" t="s">
        <v>371</v>
      </c>
      <c r="E89" s="133" t="s">
        <v>161</v>
      </c>
      <c r="F89" s="134" t="n">
        <v>46277</v>
      </c>
      <c r="G89" s="135" t="n">
        <v>2.4</v>
      </c>
      <c r="H89" s="133" t="s">
        <v>165</v>
      </c>
      <c r="I89" s="135" t="n">
        <v>18</v>
      </c>
      <c r="J89" s="133" t="s">
        <v>166</v>
      </c>
      <c r="K89" s="133"/>
      <c r="L89" s="133" t="s">
        <v>585</v>
      </c>
      <c r="M89" s="134"/>
    </row>
    <row r="90" customFormat="false" ht="15" hidden="false" customHeight="false" outlineLevel="0" collapsed="false">
      <c r="A90" s="133" t="s">
        <v>898</v>
      </c>
      <c r="B90" s="133" t="s">
        <v>369</v>
      </c>
      <c r="C90" s="133" t="s">
        <v>155</v>
      </c>
      <c r="D90" s="133" t="s">
        <v>371</v>
      </c>
      <c r="E90" s="133" t="s">
        <v>241</v>
      </c>
      <c r="F90" s="134" t="n">
        <v>46276</v>
      </c>
      <c r="G90" s="135" t="n">
        <v>2.5</v>
      </c>
      <c r="H90" s="133" t="s">
        <v>165</v>
      </c>
      <c r="I90" s="135" t="n">
        <v>25</v>
      </c>
      <c r="J90" s="133" t="s">
        <v>174</v>
      </c>
      <c r="K90" s="133"/>
      <c r="L90" s="133" t="s">
        <v>585</v>
      </c>
      <c r="M90" s="134"/>
    </row>
    <row r="91" customFormat="false" ht="15" hidden="false" customHeight="false" outlineLevel="0" collapsed="false">
      <c r="A91" s="133" t="s">
        <v>899</v>
      </c>
      <c r="B91" s="133" t="s">
        <v>369</v>
      </c>
      <c r="C91" s="133" t="s">
        <v>155</v>
      </c>
      <c r="D91" s="133" t="s">
        <v>371</v>
      </c>
      <c r="E91" s="133" t="s">
        <v>201</v>
      </c>
      <c r="F91" s="134" t="n">
        <v>46273</v>
      </c>
      <c r="G91" s="135" t="n">
        <v>2.55</v>
      </c>
      <c r="H91" s="133" t="s">
        <v>165</v>
      </c>
      <c r="I91" s="135" t="n">
        <v>41</v>
      </c>
      <c r="J91" s="133" t="s">
        <v>166</v>
      </c>
      <c r="K91" s="133"/>
      <c r="L91" s="133" t="s">
        <v>585</v>
      </c>
      <c r="M91" s="134"/>
    </row>
    <row r="92" customFormat="false" ht="15" hidden="false" customHeight="false" outlineLevel="0" collapsed="false">
      <c r="A92" s="133" t="s">
        <v>900</v>
      </c>
      <c r="B92" s="133" t="s">
        <v>373</v>
      </c>
      <c r="C92" s="133" t="s">
        <v>221</v>
      </c>
      <c r="D92" s="133" t="s">
        <v>375</v>
      </c>
      <c r="E92" s="133" t="s">
        <v>225</v>
      </c>
      <c r="F92" s="134" t="n">
        <v>46275</v>
      </c>
      <c r="G92" s="135" t="n">
        <v>437</v>
      </c>
      <c r="H92" s="133" t="s">
        <v>180</v>
      </c>
      <c r="I92" s="135" t="n">
        <v>38</v>
      </c>
      <c r="J92" s="133" t="s">
        <v>192</v>
      </c>
      <c r="K92" s="133"/>
      <c r="L92" s="133" t="s">
        <v>585</v>
      </c>
      <c r="M92" s="134"/>
    </row>
    <row r="93" customFormat="false" ht="15" hidden="false" customHeight="false" outlineLevel="0" collapsed="false">
      <c r="A93" s="133" t="s">
        <v>901</v>
      </c>
      <c r="B93" s="133" t="s">
        <v>373</v>
      </c>
      <c r="C93" s="133" t="s">
        <v>221</v>
      </c>
      <c r="D93" s="133" t="s">
        <v>375</v>
      </c>
      <c r="E93" s="133" t="s">
        <v>312</v>
      </c>
      <c r="F93" s="134" t="n">
        <v>46276</v>
      </c>
      <c r="G93" s="135" t="n">
        <v>472</v>
      </c>
      <c r="H93" s="133" t="s">
        <v>180</v>
      </c>
      <c r="I93" s="135" t="n">
        <v>32</v>
      </c>
      <c r="J93" s="133" t="s">
        <v>181</v>
      </c>
      <c r="K93" s="133"/>
      <c r="L93" s="133" t="s">
        <v>585</v>
      </c>
      <c r="M93" s="134"/>
    </row>
    <row r="94" customFormat="false" ht="15" hidden="false" customHeight="false" outlineLevel="0" collapsed="false">
      <c r="A94" s="133" t="s">
        <v>902</v>
      </c>
      <c r="B94" s="133" t="s">
        <v>373</v>
      </c>
      <c r="C94" s="133" t="s">
        <v>221</v>
      </c>
      <c r="D94" s="133" t="s">
        <v>375</v>
      </c>
      <c r="E94" s="133" t="s">
        <v>241</v>
      </c>
      <c r="F94" s="134" t="n">
        <v>46276</v>
      </c>
      <c r="G94" s="135" t="n">
        <v>472</v>
      </c>
      <c r="H94" s="133" t="s">
        <v>180</v>
      </c>
      <c r="I94" s="135" t="n">
        <v>50</v>
      </c>
      <c r="J94" s="133" t="s">
        <v>166</v>
      </c>
      <c r="K94" s="133"/>
      <c r="L94" s="133" t="s">
        <v>585</v>
      </c>
      <c r="M94" s="134"/>
    </row>
    <row r="95" customFormat="false" ht="15" hidden="false" customHeight="false" outlineLevel="0" collapsed="false">
      <c r="A95" s="133" t="s">
        <v>903</v>
      </c>
      <c r="B95" s="133" t="s">
        <v>376</v>
      </c>
      <c r="C95" s="133" t="s">
        <v>207</v>
      </c>
      <c r="D95" s="133" t="s">
        <v>378</v>
      </c>
      <c r="E95" s="133" t="s">
        <v>201</v>
      </c>
      <c r="F95" s="134" t="n">
        <v>46277</v>
      </c>
      <c r="G95" s="135" t="n">
        <v>125</v>
      </c>
      <c r="H95" s="133" t="s">
        <v>180</v>
      </c>
      <c r="I95" s="135" t="n">
        <v>40</v>
      </c>
      <c r="J95" s="133" t="s">
        <v>181</v>
      </c>
      <c r="K95" s="133"/>
      <c r="L95" s="133" t="s">
        <v>585</v>
      </c>
      <c r="M95" s="134"/>
    </row>
    <row r="96" customFormat="false" ht="15" hidden="false" customHeight="false" outlineLevel="0" collapsed="false">
      <c r="A96" s="133" t="s">
        <v>904</v>
      </c>
      <c r="B96" s="133" t="s">
        <v>376</v>
      </c>
      <c r="C96" s="133" t="s">
        <v>207</v>
      </c>
      <c r="D96" s="133" t="s">
        <v>378</v>
      </c>
      <c r="E96" s="133" t="s">
        <v>261</v>
      </c>
      <c r="F96" s="134" t="n">
        <v>46277</v>
      </c>
      <c r="G96" s="135" t="n">
        <v>142</v>
      </c>
      <c r="H96" s="133" t="s">
        <v>180</v>
      </c>
      <c r="I96" s="135" t="n">
        <v>33</v>
      </c>
      <c r="J96" s="133" t="s">
        <v>506</v>
      </c>
      <c r="K96" s="133"/>
      <c r="L96" s="133" t="s">
        <v>585</v>
      </c>
      <c r="M96" s="134"/>
    </row>
    <row r="97" customFormat="false" ht="15" hidden="false" customHeight="false" outlineLevel="0" collapsed="false">
      <c r="A97" s="133" t="s">
        <v>905</v>
      </c>
      <c r="B97" s="133" t="s">
        <v>380</v>
      </c>
      <c r="C97" s="133" t="s">
        <v>253</v>
      </c>
      <c r="D97" s="133" t="s">
        <v>382</v>
      </c>
      <c r="E97" s="133" t="s">
        <v>241</v>
      </c>
      <c r="F97" s="134" t="n">
        <v>46282</v>
      </c>
      <c r="G97" s="135" t="n">
        <v>13.84</v>
      </c>
      <c r="H97" s="133" t="s">
        <v>180</v>
      </c>
      <c r="I97" s="135" t="n">
        <v>10</v>
      </c>
      <c r="J97" s="133" t="s">
        <v>506</v>
      </c>
      <c r="K97" s="133"/>
      <c r="L97" s="133" t="s">
        <v>585</v>
      </c>
      <c r="M97" s="134"/>
    </row>
    <row r="98" customFormat="false" ht="15" hidden="false" customHeight="false" outlineLevel="0" collapsed="false">
      <c r="A98" s="133" t="s">
        <v>906</v>
      </c>
      <c r="B98" s="133" t="s">
        <v>380</v>
      </c>
      <c r="C98" s="133" t="s">
        <v>253</v>
      </c>
      <c r="D98" s="133" t="s">
        <v>382</v>
      </c>
      <c r="E98" s="133" t="s">
        <v>201</v>
      </c>
      <c r="F98" s="134" t="n">
        <v>46284</v>
      </c>
      <c r="G98" s="135" t="n">
        <v>14.29</v>
      </c>
      <c r="H98" s="133" t="s">
        <v>180</v>
      </c>
      <c r="I98" s="135" t="n">
        <v>58</v>
      </c>
      <c r="J98" s="133" t="s">
        <v>174</v>
      </c>
      <c r="K98" s="133"/>
      <c r="L98" s="133" t="s">
        <v>585</v>
      </c>
      <c r="M98" s="134"/>
    </row>
    <row r="99" customFormat="false" ht="15" hidden="false" customHeight="false" outlineLevel="0" collapsed="false">
      <c r="A99" s="133" t="s">
        <v>907</v>
      </c>
      <c r="B99" s="133" t="s">
        <v>380</v>
      </c>
      <c r="C99" s="133" t="s">
        <v>253</v>
      </c>
      <c r="D99" s="133" t="s">
        <v>382</v>
      </c>
      <c r="E99" s="133" t="s">
        <v>338</v>
      </c>
      <c r="F99" s="134" t="n">
        <v>46282</v>
      </c>
      <c r="G99" s="135" t="n">
        <v>14.9</v>
      </c>
      <c r="H99" s="133" t="s">
        <v>180</v>
      </c>
      <c r="I99" s="135" t="n">
        <v>18</v>
      </c>
      <c r="J99" s="133" t="s">
        <v>181</v>
      </c>
      <c r="K99" s="133"/>
      <c r="L99" s="133" t="s">
        <v>585</v>
      </c>
      <c r="M99" s="134"/>
    </row>
    <row r="100" customFormat="false" ht="15" hidden="false" customHeight="false" outlineLevel="0" collapsed="false">
      <c r="A100" s="133" t="s">
        <v>908</v>
      </c>
      <c r="B100" s="133" t="s">
        <v>384</v>
      </c>
      <c r="C100" s="133" t="s">
        <v>213</v>
      </c>
      <c r="D100" s="133" t="s">
        <v>386</v>
      </c>
      <c r="E100" s="133" t="s">
        <v>188</v>
      </c>
      <c r="F100" s="134" t="n">
        <v>46283</v>
      </c>
      <c r="G100" s="135" t="n">
        <v>10.04</v>
      </c>
      <c r="H100" s="133" t="s">
        <v>218</v>
      </c>
      <c r="I100" s="135" t="n">
        <v>32</v>
      </c>
      <c r="J100" s="133" t="s">
        <v>174</v>
      </c>
      <c r="K100" s="133"/>
      <c r="L100" s="133" t="s">
        <v>585</v>
      </c>
      <c r="M100" s="134"/>
    </row>
    <row r="101" customFormat="false" ht="15" hidden="false" customHeight="false" outlineLevel="0" collapsed="false">
      <c r="A101" s="133" t="s">
        <v>909</v>
      </c>
      <c r="B101" s="133" t="s">
        <v>384</v>
      </c>
      <c r="C101" s="133" t="s">
        <v>213</v>
      </c>
      <c r="D101" s="133" t="s">
        <v>386</v>
      </c>
      <c r="E101" s="133" t="s">
        <v>261</v>
      </c>
      <c r="F101" s="134" t="n">
        <v>46283</v>
      </c>
      <c r="G101" s="135" t="n">
        <v>10.67</v>
      </c>
      <c r="H101" s="133" t="s">
        <v>218</v>
      </c>
      <c r="I101" s="135" t="n">
        <v>58</v>
      </c>
      <c r="J101" s="133" t="s">
        <v>506</v>
      </c>
      <c r="K101" s="133"/>
      <c r="L101" s="133" t="s">
        <v>585</v>
      </c>
      <c r="M101" s="134"/>
    </row>
    <row r="102" customFormat="false" ht="15" hidden="false" customHeight="false" outlineLevel="0" collapsed="false">
      <c r="A102" s="133" t="s">
        <v>910</v>
      </c>
      <c r="B102" s="133" t="s">
        <v>384</v>
      </c>
      <c r="C102" s="133" t="s">
        <v>213</v>
      </c>
      <c r="D102" s="133" t="s">
        <v>386</v>
      </c>
      <c r="E102" s="133" t="s">
        <v>161</v>
      </c>
      <c r="F102" s="134" t="n">
        <v>46284</v>
      </c>
      <c r="G102" s="135" t="n">
        <v>11.81</v>
      </c>
      <c r="H102" s="133" t="s">
        <v>218</v>
      </c>
      <c r="I102" s="135" t="n">
        <v>57</v>
      </c>
      <c r="J102" s="133" t="s">
        <v>174</v>
      </c>
      <c r="K102" s="133"/>
      <c r="L102" s="133" t="s">
        <v>585</v>
      </c>
      <c r="M102" s="134"/>
    </row>
    <row r="103" customFormat="false" ht="15" hidden="false" customHeight="false" outlineLevel="0" collapsed="false">
      <c r="A103" s="133" t="s">
        <v>911</v>
      </c>
      <c r="B103" s="133" t="s">
        <v>387</v>
      </c>
      <c r="C103" s="133" t="s">
        <v>258</v>
      </c>
      <c r="D103" s="133" t="s">
        <v>389</v>
      </c>
      <c r="E103" s="133" t="s">
        <v>261</v>
      </c>
      <c r="F103" s="134" t="n">
        <v>46288</v>
      </c>
      <c r="G103" s="135" t="n">
        <v>335</v>
      </c>
      <c r="H103" s="133" t="s">
        <v>180</v>
      </c>
      <c r="I103" s="135" t="n">
        <v>17</v>
      </c>
      <c r="J103" s="133" t="s">
        <v>506</v>
      </c>
      <c r="K103" s="133"/>
      <c r="L103" s="133" t="s">
        <v>585</v>
      </c>
      <c r="M103" s="134"/>
    </row>
    <row r="104" customFormat="false" ht="15" hidden="false" customHeight="false" outlineLevel="0" collapsed="false">
      <c r="A104" s="133" t="s">
        <v>912</v>
      </c>
      <c r="B104" s="133" t="s">
        <v>391</v>
      </c>
      <c r="C104" s="133" t="s">
        <v>197</v>
      </c>
      <c r="D104" s="133"/>
      <c r="E104" s="133" t="s">
        <v>201</v>
      </c>
      <c r="F104" s="134" t="n">
        <v>46289</v>
      </c>
      <c r="G104" s="135" t="n">
        <v>197</v>
      </c>
      <c r="H104" s="133" t="s">
        <v>180</v>
      </c>
      <c r="I104" s="135" t="n">
        <v>29</v>
      </c>
      <c r="J104" s="133" t="s">
        <v>181</v>
      </c>
      <c r="K104" s="133"/>
      <c r="L104" s="133" t="s">
        <v>585</v>
      </c>
      <c r="M104" s="134"/>
    </row>
    <row r="105" customFormat="false" ht="15" hidden="false" customHeight="false" outlineLevel="0" collapsed="false">
      <c r="A105" s="133" t="s">
        <v>913</v>
      </c>
      <c r="B105" s="133" t="s">
        <v>391</v>
      </c>
      <c r="C105" s="133" t="s">
        <v>197</v>
      </c>
      <c r="D105" s="133"/>
      <c r="E105" s="133" t="s">
        <v>188</v>
      </c>
      <c r="F105" s="134" t="n">
        <v>46289</v>
      </c>
      <c r="G105" s="135" t="n">
        <v>221</v>
      </c>
      <c r="H105" s="133" t="s">
        <v>180</v>
      </c>
      <c r="I105" s="135" t="n">
        <v>37</v>
      </c>
      <c r="J105" s="133" t="s">
        <v>315</v>
      </c>
      <c r="K105" s="133"/>
      <c r="L105" s="133" t="s">
        <v>585</v>
      </c>
      <c r="M105" s="134"/>
    </row>
    <row r="106" customFormat="false" ht="15" hidden="false" customHeight="false" outlineLevel="0" collapsed="false">
      <c r="A106" s="133" t="s">
        <v>914</v>
      </c>
      <c r="B106" s="133" t="s">
        <v>391</v>
      </c>
      <c r="C106" s="133" t="s">
        <v>197</v>
      </c>
      <c r="D106" s="133"/>
      <c r="E106" s="133" t="s">
        <v>277</v>
      </c>
      <c r="F106" s="134" t="n">
        <v>46289</v>
      </c>
      <c r="G106" s="135" t="n">
        <v>217</v>
      </c>
      <c r="H106" s="133" t="s">
        <v>180</v>
      </c>
      <c r="I106" s="135" t="n">
        <v>8</v>
      </c>
      <c r="J106" s="133" t="s">
        <v>166</v>
      </c>
      <c r="K106" s="133"/>
      <c r="L106" s="133" t="s">
        <v>585</v>
      </c>
      <c r="M106" s="134"/>
    </row>
    <row r="107" customFormat="false" ht="15" hidden="false" customHeight="false" outlineLevel="0" collapsed="false">
      <c r="A107" s="133" t="s">
        <v>915</v>
      </c>
      <c r="B107" s="133" t="s">
        <v>393</v>
      </c>
      <c r="C107" s="133" t="s">
        <v>265</v>
      </c>
      <c r="D107" s="133" t="s">
        <v>395</v>
      </c>
      <c r="E107" s="133" t="s">
        <v>188</v>
      </c>
      <c r="F107" s="134" t="n">
        <v>46294</v>
      </c>
      <c r="G107" s="135" t="n">
        <v>3.27</v>
      </c>
      <c r="H107" s="133" t="s">
        <v>165</v>
      </c>
      <c r="I107" s="135" t="n">
        <v>26</v>
      </c>
      <c r="J107" s="133" t="s">
        <v>181</v>
      </c>
      <c r="K107" s="133"/>
      <c r="L107" s="133" t="s">
        <v>585</v>
      </c>
      <c r="M107" s="134"/>
    </row>
    <row r="108" customFormat="false" ht="15" hidden="false" customHeight="false" outlineLevel="0" collapsed="false">
      <c r="A108" s="133" t="s">
        <v>916</v>
      </c>
      <c r="B108" s="133" t="s">
        <v>393</v>
      </c>
      <c r="C108" s="133" t="s">
        <v>265</v>
      </c>
      <c r="D108" s="133" t="s">
        <v>395</v>
      </c>
      <c r="E108" s="133" t="s">
        <v>261</v>
      </c>
      <c r="F108" s="134" t="n">
        <v>46294</v>
      </c>
      <c r="G108" s="135" t="n">
        <v>3.52</v>
      </c>
      <c r="H108" s="133" t="s">
        <v>165</v>
      </c>
      <c r="I108" s="135" t="n">
        <v>42</v>
      </c>
      <c r="J108" s="133" t="s">
        <v>181</v>
      </c>
      <c r="K108" s="133"/>
      <c r="L108" s="133" t="s">
        <v>585</v>
      </c>
      <c r="M108" s="134"/>
    </row>
    <row r="109" customFormat="false" ht="15" hidden="false" customHeight="false" outlineLevel="0" collapsed="false">
      <c r="A109" s="133" t="s">
        <v>917</v>
      </c>
      <c r="B109" s="133" t="s">
        <v>393</v>
      </c>
      <c r="C109" s="133" t="s">
        <v>265</v>
      </c>
      <c r="D109" s="133" t="s">
        <v>395</v>
      </c>
      <c r="E109" s="133" t="s">
        <v>241</v>
      </c>
      <c r="F109" s="134" t="n">
        <v>46294</v>
      </c>
      <c r="G109" s="135" t="n">
        <v>3.86</v>
      </c>
      <c r="H109" s="133" t="s">
        <v>165</v>
      </c>
      <c r="I109" s="135" t="n">
        <v>30</v>
      </c>
      <c r="J109" s="133" t="s">
        <v>174</v>
      </c>
      <c r="K109" s="133"/>
      <c r="L109" s="133" t="s">
        <v>585</v>
      </c>
      <c r="M109" s="134"/>
    </row>
    <row r="110" customFormat="false" ht="15" hidden="false" customHeight="false" outlineLevel="0" collapsed="false">
      <c r="A110" s="133" t="s">
        <v>918</v>
      </c>
      <c r="B110" s="133" t="s">
        <v>396</v>
      </c>
      <c r="C110" s="133" t="s">
        <v>197</v>
      </c>
      <c r="D110" s="133"/>
      <c r="E110" s="133" t="s">
        <v>201</v>
      </c>
      <c r="F110" s="134" t="n">
        <v>46297</v>
      </c>
      <c r="G110" s="135" t="n">
        <v>201</v>
      </c>
      <c r="H110" s="133" t="s">
        <v>180</v>
      </c>
      <c r="I110" s="135" t="n">
        <v>31</v>
      </c>
      <c r="J110" s="133" t="s">
        <v>315</v>
      </c>
      <c r="K110" s="133"/>
      <c r="L110" s="133" t="s">
        <v>585</v>
      </c>
      <c r="M110" s="134"/>
    </row>
    <row r="111" customFormat="false" ht="15" hidden="false" customHeight="false" outlineLevel="0" collapsed="false">
      <c r="A111" s="133" t="s">
        <v>919</v>
      </c>
      <c r="B111" s="133" t="s">
        <v>398</v>
      </c>
      <c r="C111" s="133" t="s">
        <v>155</v>
      </c>
      <c r="D111" s="133" t="s">
        <v>400</v>
      </c>
      <c r="E111" s="133" t="s">
        <v>161</v>
      </c>
      <c r="F111" s="134" t="n">
        <v>46300</v>
      </c>
      <c r="G111" s="135" t="n">
        <v>2.45</v>
      </c>
      <c r="H111" s="133" t="s">
        <v>165</v>
      </c>
      <c r="I111" s="135" t="n">
        <v>25</v>
      </c>
      <c r="J111" s="133" t="s">
        <v>315</v>
      </c>
      <c r="K111" s="133"/>
      <c r="L111" s="133" t="s">
        <v>585</v>
      </c>
      <c r="M111" s="134"/>
    </row>
    <row r="112" customFormat="false" ht="15" hidden="false" customHeight="false" outlineLevel="0" collapsed="false">
      <c r="A112" s="133" t="s">
        <v>920</v>
      </c>
      <c r="B112" s="133" t="s">
        <v>401</v>
      </c>
      <c r="C112" s="133" t="s">
        <v>176</v>
      </c>
      <c r="D112" s="133"/>
      <c r="E112" s="133" t="s">
        <v>161</v>
      </c>
      <c r="F112" s="134" t="n">
        <v>46303</v>
      </c>
      <c r="G112" s="135" t="n">
        <v>90.24</v>
      </c>
      <c r="H112" s="133" t="s">
        <v>180</v>
      </c>
      <c r="I112" s="135" t="n">
        <v>28</v>
      </c>
      <c r="J112" s="133" t="s">
        <v>181</v>
      </c>
      <c r="K112" s="133"/>
      <c r="L112" s="133" t="s">
        <v>585</v>
      </c>
      <c r="M112" s="134"/>
    </row>
    <row r="113" customFormat="false" ht="15" hidden="false" customHeight="false" outlineLevel="0" collapsed="false">
      <c r="A113" s="133" t="s">
        <v>921</v>
      </c>
      <c r="B113" s="133" t="s">
        <v>401</v>
      </c>
      <c r="C113" s="133" t="s">
        <v>176</v>
      </c>
      <c r="D113" s="133"/>
      <c r="E113" s="133" t="s">
        <v>277</v>
      </c>
      <c r="F113" s="134" t="n">
        <v>46306</v>
      </c>
      <c r="G113" s="135" t="n">
        <v>105.74</v>
      </c>
      <c r="H113" s="133" t="s">
        <v>180</v>
      </c>
      <c r="I113" s="135" t="n">
        <v>53</v>
      </c>
      <c r="J113" s="133" t="s">
        <v>315</v>
      </c>
      <c r="K113" s="133"/>
      <c r="L113" s="133" t="s">
        <v>585</v>
      </c>
      <c r="M113" s="134"/>
    </row>
    <row r="114" customFormat="false" ht="15" hidden="false" customHeight="false" outlineLevel="0" collapsed="false">
      <c r="A114" s="133" t="s">
        <v>922</v>
      </c>
      <c r="B114" s="133" t="s">
        <v>403</v>
      </c>
      <c r="C114" s="133" t="s">
        <v>229</v>
      </c>
      <c r="D114" s="133"/>
      <c r="E114" s="133" t="s">
        <v>225</v>
      </c>
      <c r="F114" s="134" t="n">
        <v>46304</v>
      </c>
      <c r="G114" s="135" t="n">
        <v>507</v>
      </c>
      <c r="H114" s="133" t="s">
        <v>180</v>
      </c>
      <c r="I114" s="135" t="n">
        <v>9</v>
      </c>
      <c r="J114" s="133" t="s">
        <v>506</v>
      </c>
      <c r="K114" s="133"/>
      <c r="L114" s="133" t="s">
        <v>585</v>
      </c>
      <c r="M114" s="134"/>
    </row>
    <row r="115" customFormat="false" ht="15" hidden="false" customHeight="false" outlineLevel="0" collapsed="false">
      <c r="A115" s="133" t="s">
        <v>923</v>
      </c>
      <c r="B115" s="133" t="s">
        <v>403</v>
      </c>
      <c r="C115" s="133" t="s">
        <v>229</v>
      </c>
      <c r="D115" s="133"/>
      <c r="E115" s="133" t="s">
        <v>261</v>
      </c>
      <c r="F115" s="134" t="n">
        <v>46304</v>
      </c>
      <c r="G115" s="135" t="n">
        <v>487</v>
      </c>
      <c r="H115" s="133" t="s">
        <v>180</v>
      </c>
      <c r="I115" s="135" t="n">
        <v>13</v>
      </c>
      <c r="J115" s="133" t="s">
        <v>166</v>
      </c>
      <c r="K115" s="133"/>
      <c r="L115" s="133" t="s">
        <v>585</v>
      </c>
      <c r="M115" s="134"/>
    </row>
    <row r="116" customFormat="false" ht="15" hidden="false" customHeight="false" outlineLevel="0" collapsed="false">
      <c r="A116" s="133" t="s">
        <v>924</v>
      </c>
      <c r="B116" s="133" t="s">
        <v>403</v>
      </c>
      <c r="C116" s="133" t="s">
        <v>229</v>
      </c>
      <c r="D116" s="133"/>
      <c r="E116" s="133" t="s">
        <v>277</v>
      </c>
      <c r="F116" s="134" t="n">
        <v>46304</v>
      </c>
      <c r="G116" s="135" t="n">
        <v>525</v>
      </c>
      <c r="H116" s="133" t="s">
        <v>180</v>
      </c>
      <c r="I116" s="135" t="n">
        <v>34</v>
      </c>
      <c r="J116" s="133" t="s">
        <v>506</v>
      </c>
      <c r="K116" s="133"/>
      <c r="L116" s="133" t="s">
        <v>585</v>
      </c>
      <c r="M116" s="134"/>
    </row>
    <row r="117" customFormat="false" ht="15" hidden="false" customHeight="false" outlineLevel="0" collapsed="false">
      <c r="A117" s="133"/>
      <c r="B117" s="133"/>
      <c r="C117" s="133"/>
      <c r="D117" s="133"/>
      <c r="E117" s="133"/>
      <c r="F117" s="134"/>
      <c r="G117" s="135"/>
      <c r="H117" s="133"/>
      <c r="I117" s="135"/>
      <c r="J117" s="133"/>
      <c r="K117" s="133"/>
      <c r="L117" s="133"/>
      <c r="M117" s="134"/>
    </row>
    <row r="118" customFormat="false" ht="15" hidden="false" customHeight="false" outlineLevel="0" collapsed="false">
      <c r="A118" s="133"/>
      <c r="B118" s="133"/>
      <c r="C118" s="133"/>
      <c r="D118" s="133"/>
      <c r="E118" s="133"/>
      <c r="F118" s="134"/>
      <c r="G118" s="135"/>
      <c r="H118" s="133"/>
      <c r="I118" s="135"/>
      <c r="J118" s="133"/>
      <c r="K118" s="133"/>
      <c r="L118" s="133"/>
      <c r="M118" s="134"/>
    </row>
    <row r="119" customFormat="false" ht="15" hidden="false" customHeight="false" outlineLevel="0" collapsed="false">
      <c r="A119" s="133"/>
      <c r="B119" s="133"/>
      <c r="C119" s="133"/>
      <c r="D119" s="133"/>
      <c r="E119" s="133"/>
      <c r="F119" s="134"/>
      <c r="G119" s="135"/>
      <c r="H119" s="133"/>
      <c r="I119" s="135"/>
      <c r="J119" s="133"/>
      <c r="K119" s="133"/>
      <c r="L119" s="133"/>
      <c r="M119" s="134"/>
    </row>
    <row r="120" customFormat="false" ht="15" hidden="false" customHeight="false" outlineLevel="0" collapsed="false">
      <c r="A120" s="133"/>
      <c r="B120" s="133"/>
      <c r="C120" s="133"/>
      <c r="D120" s="133"/>
      <c r="E120" s="133"/>
      <c r="F120" s="134"/>
      <c r="G120" s="135"/>
      <c r="H120" s="133"/>
      <c r="I120" s="135"/>
      <c r="J120" s="133"/>
      <c r="K120" s="133"/>
      <c r="L120" s="133"/>
      <c r="M120" s="134"/>
    </row>
    <row r="121" customFormat="false" ht="15" hidden="false" customHeight="false" outlineLevel="0" collapsed="false">
      <c r="A121" s="133"/>
      <c r="B121" s="133"/>
      <c r="C121" s="133"/>
      <c r="D121" s="133"/>
      <c r="E121" s="133"/>
      <c r="F121" s="134"/>
      <c r="G121" s="135"/>
      <c r="H121" s="133"/>
      <c r="I121" s="135"/>
      <c r="J121" s="133"/>
      <c r="K121" s="133"/>
      <c r="L121" s="133"/>
      <c r="M121" s="134"/>
    </row>
    <row r="122" customFormat="false" ht="15" hidden="false" customHeight="false" outlineLevel="0" collapsed="false">
      <c r="A122" s="133"/>
      <c r="B122" s="133"/>
      <c r="C122" s="133"/>
      <c r="D122" s="133"/>
      <c r="E122" s="133"/>
      <c r="F122" s="134"/>
      <c r="G122" s="135"/>
      <c r="H122" s="133"/>
      <c r="I122" s="135"/>
      <c r="J122" s="133"/>
      <c r="K122" s="133"/>
      <c r="L122" s="133"/>
      <c r="M122" s="134"/>
    </row>
    <row r="123" customFormat="false" ht="15" hidden="false" customHeight="false" outlineLevel="0" collapsed="false">
      <c r="A123" s="133"/>
      <c r="B123" s="133"/>
      <c r="C123" s="133"/>
      <c r="D123" s="133"/>
      <c r="E123" s="133"/>
      <c r="F123" s="134"/>
      <c r="G123" s="135"/>
      <c r="H123" s="133"/>
      <c r="I123" s="135"/>
      <c r="J123" s="133"/>
      <c r="K123" s="133"/>
      <c r="L123" s="133"/>
      <c r="M123" s="134"/>
    </row>
    <row r="124" customFormat="false" ht="15" hidden="false" customHeight="false" outlineLevel="0" collapsed="false">
      <c r="A124" s="133"/>
      <c r="B124" s="133"/>
      <c r="C124" s="133"/>
      <c r="D124" s="133"/>
      <c r="E124" s="133"/>
      <c r="F124" s="134"/>
      <c r="G124" s="135"/>
      <c r="H124" s="133"/>
      <c r="I124" s="135"/>
      <c r="J124" s="133"/>
      <c r="K124" s="133"/>
      <c r="L124" s="133"/>
      <c r="M124" s="134"/>
    </row>
    <row r="125" customFormat="false" ht="15" hidden="false" customHeight="false" outlineLevel="0" collapsed="false">
      <c r="A125" s="133"/>
      <c r="B125" s="133"/>
      <c r="C125" s="133"/>
      <c r="D125" s="133"/>
      <c r="E125" s="133"/>
      <c r="F125" s="134"/>
      <c r="G125" s="135"/>
      <c r="H125" s="133"/>
      <c r="I125" s="135"/>
      <c r="J125" s="133"/>
      <c r="K125" s="133"/>
      <c r="L125" s="133"/>
      <c r="M125" s="134"/>
    </row>
    <row r="126" customFormat="false" ht="15" hidden="false" customHeight="false" outlineLevel="0" collapsed="false">
      <c r="A126" s="133"/>
      <c r="B126" s="133"/>
      <c r="C126" s="133"/>
      <c r="D126" s="133"/>
      <c r="E126" s="133"/>
      <c r="F126" s="134"/>
      <c r="G126" s="135"/>
      <c r="H126" s="133"/>
      <c r="I126" s="135"/>
      <c r="J126" s="133"/>
      <c r="K126" s="133"/>
      <c r="L126" s="133"/>
      <c r="M126" s="134"/>
    </row>
    <row r="127" customFormat="false" ht="15" hidden="false" customHeight="false" outlineLevel="0" collapsed="false">
      <c r="A127" s="133"/>
      <c r="B127" s="133"/>
      <c r="C127" s="133"/>
      <c r="D127" s="133"/>
      <c r="E127" s="133"/>
      <c r="F127" s="134"/>
      <c r="G127" s="135"/>
      <c r="H127" s="133"/>
      <c r="I127" s="135"/>
      <c r="J127" s="133"/>
      <c r="K127" s="133"/>
      <c r="L127" s="133"/>
      <c r="M127" s="134"/>
    </row>
    <row r="128" customFormat="false" ht="15" hidden="false" customHeight="false" outlineLevel="0" collapsed="false">
      <c r="A128" s="133"/>
      <c r="B128" s="133"/>
      <c r="C128" s="133"/>
      <c r="D128" s="133"/>
      <c r="E128" s="133"/>
      <c r="F128" s="134"/>
      <c r="G128" s="135"/>
      <c r="H128" s="133"/>
      <c r="I128" s="135"/>
      <c r="J128" s="133"/>
      <c r="K128" s="133"/>
      <c r="L128" s="133"/>
      <c r="M128" s="134"/>
    </row>
    <row r="129" customFormat="false" ht="15" hidden="false" customHeight="false" outlineLevel="0" collapsed="false">
      <c r="A129" s="133"/>
      <c r="B129" s="133"/>
      <c r="C129" s="133"/>
      <c r="D129" s="133"/>
      <c r="E129" s="133"/>
      <c r="F129" s="134"/>
      <c r="G129" s="135"/>
      <c r="H129" s="133"/>
      <c r="I129" s="135"/>
      <c r="J129" s="133"/>
      <c r="K129" s="133"/>
      <c r="L129" s="133"/>
      <c r="M129" s="134"/>
    </row>
    <row r="130" customFormat="false" ht="15" hidden="false" customHeight="false" outlineLevel="0" collapsed="false">
      <c r="A130" s="133"/>
      <c r="B130" s="133"/>
      <c r="C130" s="133"/>
      <c r="D130" s="133"/>
      <c r="E130" s="133"/>
      <c r="F130" s="134"/>
      <c r="G130" s="135"/>
      <c r="H130" s="133"/>
      <c r="I130" s="135"/>
      <c r="J130" s="133"/>
      <c r="K130" s="133"/>
      <c r="L130" s="133"/>
      <c r="M130" s="134"/>
    </row>
    <row r="131" customFormat="false" ht="15" hidden="false" customHeight="false" outlineLevel="0" collapsed="false">
      <c r="A131" s="133"/>
      <c r="B131" s="133"/>
      <c r="C131" s="133"/>
      <c r="D131" s="133"/>
      <c r="E131" s="133"/>
      <c r="F131" s="134"/>
      <c r="G131" s="135"/>
      <c r="H131" s="133"/>
      <c r="I131" s="135"/>
      <c r="J131" s="133"/>
      <c r="K131" s="133"/>
      <c r="L131" s="133"/>
      <c r="M131" s="134"/>
    </row>
    <row r="132" customFormat="false" ht="15" hidden="false" customHeight="false" outlineLevel="0" collapsed="false">
      <c r="A132" s="133"/>
      <c r="B132" s="133"/>
      <c r="C132" s="133"/>
      <c r="D132" s="133"/>
      <c r="E132" s="133"/>
      <c r="F132" s="134"/>
      <c r="G132" s="135"/>
      <c r="H132" s="133"/>
      <c r="I132" s="135"/>
      <c r="J132" s="133"/>
      <c r="K132" s="133"/>
      <c r="L132" s="133"/>
      <c r="M132" s="134"/>
    </row>
    <row r="133" customFormat="false" ht="15" hidden="false" customHeight="false" outlineLevel="0" collapsed="false">
      <c r="A133" s="133"/>
      <c r="B133" s="133"/>
      <c r="C133" s="133"/>
      <c r="D133" s="133"/>
      <c r="E133" s="133"/>
      <c r="F133" s="134"/>
      <c r="G133" s="135"/>
      <c r="H133" s="133"/>
      <c r="I133" s="135"/>
      <c r="J133" s="133"/>
      <c r="K133" s="133"/>
      <c r="L133" s="133"/>
      <c r="M133" s="134"/>
    </row>
    <row r="134" customFormat="false" ht="15" hidden="false" customHeight="false" outlineLevel="0" collapsed="false">
      <c r="A134" s="133"/>
      <c r="B134" s="133"/>
      <c r="C134" s="133"/>
      <c r="D134" s="133"/>
      <c r="E134" s="133"/>
      <c r="F134" s="134"/>
      <c r="G134" s="135"/>
      <c r="H134" s="133"/>
      <c r="I134" s="135"/>
      <c r="J134" s="133"/>
      <c r="K134" s="133"/>
      <c r="L134" s="133"/>
      <c r="M134" s="134"/>
    </row>
    <row r="135" customFormat="false" ht="15" hidden="false" customHeight="false" outlineLevel="0" collapsed="false">
      <c r="A135" s="133"/>
      <c r="B135" s="133"/>
      <c r="C135" s="133"/>
      <c r="D135" s="133"/>
      <c r="E135" s="133"/>
      <c r="F135" s="134"/>
      <c r="G135" s="135"/>
      <c r="H135" s="133"/>
      <c r="I135" s="135"/>
      <c r="J135" s="133"/>
      <c r="K135" s="133"/>
      <c r="L135" s="133"/>
      <c r="M135" s="134"/>
    </row>
    <row r="136" customFormat="false" ht="15" hidden="false" customHeight="false" outlineLevel="0" collapsed="false">
      <c r="A136" s="133"/>
      <c r="B136" s="133"/>
      <c r="C136" s="133"/>
      <c r="D136" s="133"/>
      <c r="E136" s="133"/>
      <c r="F136" s="134"/>
      <c r="G136" s="135"/>
      <c r="H136" s="133"/>
      <c r="I136" s="135"/>
      <c r="J136" s="133"/>
      <c r="K136" s="133"/>
      <c r="L136" s="133"/>
      <c r="M136" s="134"/>
    </row>
    <row r="137" customFormat="false" ht="15" hidden="false" customHeight="false" outlineLevel="0" collapsed="false">
      <c r="A137" s="133"/>
      <c r="B137" s="133"/>
      <c r="C137" s="133"/>
      <c r="D137" s="133"/>
      <c r="E137" s="133"/>
      <c r="F137" s="134"/>
      <c r="G137" s="135"/>
      <c r="H137" s="133"/>
      <c r="I137" s="135"/>
      <c r="J137" s="133"/>
      <c r="K137" s="133"/>
      <c r="L137" s="133"/>
      <c r="M137" s="134"/>
    </row>
    <row r="138" customFormat="false" ht="15" hidden="false" customHeight="false" outlineLevel="0" collapsed="false">
      <c r="A138" s="133"/>
      <c r="B138" s="133"/>
      <c r="C138" s="133"/>
      <c r="D138" s="133"/>
      <c r="E138" s="133"/>
      <c r="F138" s="134"/>
      <c r="G138" s="135"/>
      <c r="H138" s="133"/>
      <c r="I138" s="135"/>
      <c r="J138" s="133"/>
      <c r="K138" s="133"/>
      <c r="L138" s="133"/>
      <c r="M138" s="134"/>
    </row>
    <row r="139" customFormat="false" ht="15" hidden="false" customHeight="false" outlineLevel="0" collapsed="false">
      <c r="A139" s="133"/>
      <c r="B139" s="133"/>
      <c r="C139" s="133"/>
      <c r="D139" s="133"/>
      <c r="E139" s="133"/>
      <c r="F139" s="134"/>
      <c r="G139" s="135"/>
      <c r="H139" s="133"/>
      <c r="I139" s="135"/>
      <c r="J139" s="133"/>
      <c r="K139" s="133"/>
      <c r="L139" s="133"/>
      <c r="M139" s="134"/>
    </row>
    <row r="140" customFormat="false" ht="15" hidden="false" customHeight="false" outlineLevel="0" collapsed="false">
      <c r="A140" s="133"/>
      <c r="B140" s="133"/>
      <c r="C140" s="133"/>
      <c r="D140" s="133"/>
      <c r="E140" s="133"/>
      <c r="F140" s="134"/>
      <c r="G140" s="135"/>
      <c r="H140" s="133"/>
      <c r="I140" s="135"/>
      <c r="J140" s="133"/>
      <c r="K140" s="133"/>
      <c r="L140" s="133"/>
      <c r="M140" s="134"/>
    </row>
    <row r="141" customFormat="false" ht="15" hidden="false" customHeight="false" outlineLevel="0" collapsed="false">
      <c r="A141" s="133"/>
      <c r="B141" s="133"/>
      <c r="C141" s="133"/>
      <c r="D141" s="133"/>
      <c r="E141" s="133"/>
      <c r="F141" s="134"/>
      <c r="G141" s="135"/>
      <c r="H141" s="133"/>
      <c r="I141" s="135"/>
      <c r="J141" s="133"/>
      <c r="K141" s="133"/>
      <c r="L141" s="133"/>
      <c r="M141" s="134"/>
    </row>
    <row r="142" customFormat="false" ht="15" hidden="false" customHeight="false" outlineLevel="0" collapsed="false">
      <c r="A142" s="133"/>
      <c r="B142" s="133"/>
      <c r="C142" s="133"/>
      <c r="D142" s="133"/>
      <c r="E142" s="133"/>
      <c r="F142" s="134"/>
      <c r="G142" s="135"/>
      <c r="H142" s="133"/>
      <c r="I142" s="135"/>
      <c r="J142" s="133"/>
      <c r="K142" s="133"/>
      <c r="L142" s="133"/>
      <c r="M142" s="134"/>
    </row>
    <row r="143" customFormat="false" ht="15" hidden="false" customHeight="false" outlineLevel="0" collapsed="false">
      <c r="A143" s="133"/>
      <c r="B143" s="133"/>
      <c r="C143" s="133"/>
      <c r="D143" s="133"/>
      <c r="E143" s="133"/>
      <c r="F143" s="134"/>
      <c r="G143" s="135"/>
      <c r="H143" s="133"/>
      <c r="I143" s="135"/>
      <c r="J143" s="133"/>
      <c r="K143" s="133"/>
      <c r="L143" s="133"/>
      <c r="M143" s="134"/>
    </row>
    <row r="144" customFormat="false" ht="15" hidden="false" customHeight="false" outlineLevel="0" collapsed="false">
      <c r="A144" s="133"/>
      <c r="B144" s="133"/>
      <c r="C144" s="133"/>
      <c r="D144" s="133"/>
      <c r="E144" s="133"/>
      <c r="F144" s="134"/>
      <c r="G144" s="135"/>
      <c r="H144" s="133"/>
      <c r="I144" s="135"/>
      <c r="J144" s="133"/>
      <c r="K144" s="133"/>
      <c r="L144" s="133"/>
      <c r="M144" s="134"/>
    </row>
    <row r="145" customFormat="false" ht="15" hidden="false" customHeight="false" outlineLevel="0" collapsed="false">
      <c r="A145" s="133"/>
      <c r="B145" s="133"/>
      <c r="C145" s="133"/>
      <c r="D145" s="133"/>
      <c r="E145" s="133"/>
      <c r="F145" s="134"/>
      <c r="G145" s="135"/>
      <c r="H145" s="133"/>
      <c r="I145" s="135"/>
      <c r="J145" s="133"/>
      <c r="K145" s="133"/>
      <c r="L145" s="133"/>
      <c r="M145" s="134"/>
    </row>
    <row r="146" customFormat="false" ht="15" hidden="false" customHeight="false" outlineLevel="0" collapsed="false">
      <c r="A146" s="133"/>
      <c r="B146" s="133"/>
      <c r="C146" s="133"/>
      <c r="D146" s="133"/>
      <c r="E146" s="133"/>
      <c r="F146" s="134"/>
      <c r="G146" s="135"/>
      <c r="H146" s="133"/>
      <c r="I146" s="135"/>
      <c r="J146" s="133"/>
      <c r="K146" s="133"/>
      <c r="L146" s="133"/>
      <c r="M146" s="134"/>
    </row>
    <row r="147" customFormat="false" ht="15" hidden="false" customHeight="false" outlineLevel="0" collapsed="false">
      <c r="A147" s="133"/>
      <c r="B147" s="133"/>
      <c r="C147" s="133"/>
      <c r="D147" s="133"/>
      <c r="E147" s="133"/>
      <c r="F147" s="134"/>
      <c r="G147" s="135"/>
      <c r="H147" s="133"/>
      <c r="I147" s="135"/>
      <c r="J147" s="133"/>
      <c r="K147" s="133"/>
      <c r="L147" s="133"/>
      <c r="M147" s="134"/>
    </row>
    <row r="148" customFormat="false" ht="15" hidden="false" customHeight="false" outlineLevel="0" collapsed="false">
      <c r="A148" s="133"/>
      <c r="B148" s="133"/>
      <c r="C148" s="133"/>
      <c r="D148" s="133"/>
      <c r="E148" s="133"/>
      <c r="F148" s="134"/>
      <c r="G148" s="135"/>
      <c r="H148" s="133"/>
      <c r="I148" s="135"/>
      <c r="J148" s="133"/>
      <c r="K148" s="133"/>
      <c r="L148" s="133"/>
      <c r="M148" s="134"/>
    </row>
    <row r="149" customFormat="false" ht="15" hidden="false" customHeight="false" outlineLevel="0" collapsed="false">
      <c r="A149" s="133"/>
      <c r="B149" s="133"/>
      <c r="C149" s="133"/>
      <c r="D149" s="133"/>
      <c r="E149" s="133"/>
      <c r="F149" s="134"/>
      <c r="G149" s="135"/>
      <c r="H149" s="133"/>
      <c r="I149" s="135"/>
      <c r="J149" s="133"/>
      <c r="K149" s="133"/>
      <c r="L149" s="133"/>
      <c r="M149" s="134"/>
    </row>
    <row r="150" customFormat="false" ht="15" hidden="false" customHeight="false" outlineLevel="0" collapsed="false">
      <c r="A150" s="133"/>
      <c r="B150" s="133"/>
      <c r="C150" s="133"/>
      <c r="D150" s="133"/>
      <c r="E150" s="133"/>
      <c r="F150" s="134"/>
      <c r="G150" s="135"/>
      <c r="H150" s="133"/>
      <c r="I150" s="135"/>
      <c r="J150" s="133"/>
      <c r="K150" s="133"/>
      <c r="L150" s="133"/>
      <c r="M150" s="134"/>
    </row>
    <row r="151" customFormat="false" ht="15" hidden="false" customHeight="false" outlineLevel="0" collapsed="false">
      <c r="A151" s="133"/>
      <c r="B151" s="133"/>
      <c r="C151" s="133"/>
      <c r="D151" s="133"/>
      <c r="E151" s="133"/>
      <c r="F151" s="134"/>
      <c r="G151" s="135"/>
      <c r="H151" s="133"/>
      <c r="I151" s="135"/>
      <c r="J151" s="133"/>
      <c r="K151" s="133"/>
      <c r="L151" s="133"/>
      <c r="M151" s="134"/>
    </row>
    <row r="152" customFormat="false" ht="15" hidden="false" customHeight="false" outlineLevel="0" collapsed="false">
      <c r="A152" s="133"/>
      <c r="B152" s="133"/>
      <c r="C152" s="133"/>
      <c r="D152" s="133"/>
      <c r="E152" s="133"/>
      <c r="F152" s="134"/>
      <c r="G152" s="135"/>
      <c r="H152" s="133"/>
      <c r="I152" s="135"/>
      <c r="J152" s="133"/>
      <c r="K152" s="133"/>
      <c r="L152" s="133"/>
      <c r="M152" s="134"/>
    </row>
    <row r="153" customFormat="false" ht="15" hidden="false" customHeight="false" outlineLevel="0" collapsed="false">
      <c r="A153" s="133"/>
      <c r="B153" s="133"/>
      <c r="C153" s="133"/>
      <c r="D153" s="133"/>
      <c r="E153" s="133"/>
      <c r="F153" s="134"/>
      <c r="G153" s="135"/>
      <c r="H153" s="133"/>
      <c r="I153" s="135"/>
      <c r="J153" s="133"/>
      <c r="K153" s="133"/>
      <c r="L153" s="133"/>
      <c r="M153" s="134"/>
    </row>
    <row r="154" customFormat="false" ht="15" hidden="false" customHeight="false" outlineLevel="0" collapsed="false">
      <c r="A154" s="133"/>
      <c r="B154" s="133"/>
      <c r="C154" s="133"/>
      <c r="D154" s="133"/>
      <c r="E154" s="133"/>
      <c r="F154" s="134"/>
      <c r="G154" s="135"/>
      <c r="H154" s="133"/>
      <c r="I154" s="135"/>
      <c r="J154" s="133"/>
      <c r="K154" s="133"/>
      <c r="L154" s="133"/>
      <c r="M154" s="134"/>
    </row>
    <row r="155" customFormat="false" ht="15" hidden="false" customHeight="false" outlineLevel="0" collapsed="false">
      <c r="A155" s="133"/>
      <c r="B155" s="133"/>
      <c r="C155" s="133"/>
      <c r="D155" s="133"/>
      <c r="E155" s="133"/>
      <c r="F155" s="134"/>
      <c r="G155" s="135"/>
      <c r="H155" s="133"/>
      <c r="I155" s="135"/>
      <c r="J155" s="133"/>
      <c r="K155" s="133"/>
      <c r="L155" s="133"/>
      <c r="M155" s="134"/>
    </row>
    <row r="156" customFormat="false" ht="15" hidden="false" customHeight="false" outlineLevel="0" collapsed="false">
      <c r="A156" s="133"/>
      <c r="B156" s="133"/>
      <c r="C156" s="133"/>
      <c r="D156" s="133"/>
      <c r="E156" s="133"/>
      <c r="F156" s="134"/>
      <c r="G156" s="135"/>
      <c r="H156" s="133"/>
      <c r="I156" s="135"/>
      <c r="J156" s="133"/>
      <c r="K156" s="133"/>
      <c r="L156" s="133"/>
      <c r="M156" s="134"/>
    </row>
    <row r="157" customFormat="false" ht="15" hidden="false" customHeight="false" outlineLevel="0" collapsed="false">
      <c r="A157" s="133"/>
      <c r="B157" s="133"/>
      <c r="C157" s="133"/>
      <c r="D157" s="133"/>
      <c r="E157" s="133"/>
      <c r="F157" s="134"/>
      <c r="G157" s="135"/>
      <c r="H157" s="133"/>
      <c r="I157" s="135"/>
      <c r="J157" s="133"/>
      <c r="K157" s="133"/>
      <c r="L157" s="133"/>
      <c r="M157" s="134"/>
    </row>
    <row r="158" customFormat="false" ht="15" hidden="false" customHeight="false" outlineLevel="0" collapsed="false">
      <c r="A158" s="133"/>
      <c r="B158" s="133"/>
      <c r="C158" s="133"/>
      <c r="D158" s="133"/>
      <c r="E158" s="133"/>
      <c r="F158" s="134"/>
      <c r="G158" s="135"/>
      <c r="H158" s="133"/>
      <c r="I158" s="135"/>
      <c r="J158" s="133"/>
      <c r="K158" s="133"/>
      <c r="L158" s="133"/>
      <c r="M158" s="134"/>
    </row>
    <row r="159" customFormat="false" ht="15" hidden="false" customHeight="false" outlineLevel="0" collapsed="false">
      <c r="A159" s="133"/>
      <c r="B159" s="133"/>
      <c r="C159" s="133"/>
      <c r="D159" s="133"/>
      <c r="E159" s="133"/>
      <c r="F159" s="134"/>
      <c r="G159" s="135"/>
      <c r="H159" s="133"/>
      <c r="I159" s="135"/>
      <c r="J159" s="133"/>
      <c r="K159" s="133"/>
      <c r="L159" s="133"/>
      <c r="M159" s="134"/>
    </row>
    <row r="160" customFormat="false" ht="15" hidden="false" customHeight="false" outlineLevel="0" collapsed="false">
      <c r="A160" s="133"/>
      <c r="B160" s="133"/>
      <c r="C160" s="133"/>
      <c r="D160" s="133"/>
      <c r="E160" s="133"/>
      <c r="F160" s="134"/>
      <c r="G160" s="135"/>
      <c r="H160" s="133"/>
      <c r="I160" s="135"/>
      <c r="J160" s="133"/>
      <c r="K160" s="133"/>
      <c r="L160" s="133"/>
      <c r="M160" s="134"/>
    </row>
    <row r="161" customFormat="false" ht="15" hidden="false" customHeight="false" outlineLevel="0" collapsed="false">
      <c r="A161" s="133"/>
      <c r="B161" s="133"/>
      <c r="C161" s="133"/>
      <c r="D161" s="133"/>
      <c r="E161" s="133"/>
      <c r="F161" s="134"/>
      <c r="G161" s="135"/>
      <c r="H161" s="133"/>
      <c r="I161" s="135"/>
      <c r="J161" s="133"/>
      <c r="K161" s="133"/>
      <c r="L161" s="133"/>
      <c r="M161" s="134"/>
    </row>
    <row r="162" customFormat="false" ht="15" hidden="false" customHeight="false" outlineLevel="0" collapsed="false">
      <c r="A162" s="133"/>
      <c r="B162" s="133"/>
      <c r="C162" s="133"/>
      <c r="D162" s="133"/>
      <c r="E162" s="133"/>
      <c r="F162" s="134"/>
      <c r="G162" s="135"/>
      <c r="H162" s="133"/>
      <c r="I162" s="135"/>
      <c r="J162" s="133"/>
      <c r="K162" s="133"/>
      <c r="L162" s="133"/>
      <c r="M162" s="134"/>
    </row>
    <row r="163" customFormat="false" ht="15" hidden="false" customHeight="false" outlineLevel="0" collapsed="false">
      <c r="A163" s="133"/>
      <c r="B163" s="133"/>
      <c r="C163" s="133"/>
      <c r="D163" s="133"/>
      <c r="E163" s="133"/>
      <c r="F163" s="134"/>
      <c r="G163" s="135"/>
      <c r="H163" s="133"/>
      <c r="I163" s="135"/>
      <c r="J163" s="133"/>
      <c r="K163" s="133"/>
      <c r="L163" s="133"/>
      <c r="M163" s="134"/>
    </row>
    <row r="164" customFormat="false" ht="15" hidden="false" customHeight="false" outlineLevel="0" collapsed="false">
      <c r="A164" s="133"/>
      <c r="B164" s="133"/>
      <c r="C164" s="133"/>
      <c r="D164" s="133"/>
      <c r="E164" s="133"/>
      <c r="F164" s="134"/>
      <c r="G164" s="135"/>
      <c r="H164" s="133"/>
      <c r="I164" s="135"/>
      <c r="J164" s="133"/>
      <c r="K164" s="133"/>
      <c r="L164" s="133"/>
      <c r="M164" s="134"/>
    </row>
    <row r="165" customFormat="false" ht="15" hidden="false" customHeight="false" outlineLevel="0" collapsed="false">
      <c r="A165" s="133"/>
      <c r="B165" s="133"/>
      <c r="C165" s="133"/>
      <c r="D165" s="133"/>
      <c r="E165" s="133"/>
      <c r="F165" s="134"/>
      <c r="G165" s="135"/>
      <c r="H165" s="133"/>
      <c r="I165" s="135"/>
      <c r="J165" s="133"/>
      <c r="K165" s="133"/>
      <c r="L165" s="133"/>
      <c r="M165" s="134"/>
    </row>
    <row r="166" customFormat="false" ht="15" hidden="false" customHeight="false" outlineLevel="0" collapsed="false">
      <c r="A166" s="133"/>
      <c r="B166" s="133"/>
      <c r="C166" s="133"/>
      <c r="D166" s="133"/>
      <c r="E166" s="133"/>
      <c r="F166" s="134"/>
      <c r="G166" s="135"/>
      <c r="H166" s="133"/>
      <c r="I166" s="135"/>
      <c r="J166" s="133"/>
      <c r="K166" s="133"/>
      <c r="L166" s="133"/>
      <c r="M166" s="134"/>
    </row>
    <row r="167" customFormat="false" ht="15" hidden="false" customHeight="false" outlineLevel="0" collapsed="false">
      <c r="A167" s="133"/>
      <c r="B167" s="133"/>
      <c r="C167" s="133"/>
      <c r="D167" s="133"/>
      <c r="E167" s="133"/>
      <c r="F167" s="134"/>
      <c r="G167" s="135"/>
      <c r="H167" s="133"/>
      <c r="I167" s="135"/>
      <c r="J167" s="133"/>
      <c r="K167" s="133"/>
      <c r="L167" s="133"/>
      <c r="M167" s="134"/>
    </row>
    <row r="168" customFormat="false" ht="15" hidden="false" customHeight="false" outlineLevel="0" collapsed="false">
      <c r="A168" s="133"/>
      <c r="B168" s="133"/>
      <c r="C168" s="133"/>
      <c r="D168" s="133"/>
      <c r="E168" s="133"/>
      <c r="F168" s="134"/>
      <c r="G168" s="135"/>
      <c r="H168" s="133"/>
      <c r="I168" s="135"/>
      <c r="J168" s="133"/>
      <c r="K168" s="133"/>
      <c r="L168" s="133"/>
      <c r="M168" s="134"/>
    </row>
    <row r="169" customFormat="false" ht="15" hidden="false" customHeight="false" outlineLevel="0" collapsed="false">
      <c r="A169" s="133"/>
      <c r="B169" s="133"/>
      <c r="C169" s="133"/>
      <c r="D169" s="133"/>
      <c r="E169" s="133"/>
      <c r="F169" s="134"/>
      <c r="G169" s="135"/>
      <c r="H169" s="133"/>
      <c r="I169" s="135"/>
      <c r="J169" s="133"/>
      <c r="K169" s="133"/>
      <c r="L169" s="133"/>
      <c r="M169" s="134"/>
    </row>
    <row r="170" customFormat="false" ht="15" hidden="false" customHeight="false" outlineLevel="0" collapsed="false">
      <c r="A170" s="133"/>
      <c r="B170" s="133"/>
      <c r="C170" s="133"/>
      <c r="D170" s="133"/>
      <c r="E170" s="133"/>
      <c r="F170" s="134"/>
      <c r="G170" s="135"/>
      <c r="H170" s="133"/>
      <c r="I170" s="135"/>
      <c r="J170" s="133"/>
      <c r="K170" s="133"/>
      <c r="L170" s="133"/>
      <c r="M170" s="134"/>
    </row>
    <row r="171" customFormat="false" ht="15" hidden="false" customHeight="false" outlineLevel="0" collapsed="false">
      <c r="A171" s="133"/>
      <c r="B171" s="133"/>
      <c r="C171" s="133"/>
      <c r="D171" s="133"/>
      <c r="E171" s="133"/>
      <c r="F171" s="134"/>
      <c r="G171" s="135"/>
      <c r="H171" s="133"/>
      <c r="I171" s="135"/>
      <c r="J171" s="133"/>
      <c r="K171" s="133"/>
      <c r="L171" s="133"/>
      <c r="M171" s="134"/>
    </row>
    <row r="172" customFormat="false" ht="15" hidden="false" customHeight="false" outlineLevel="0" collapsed="false">
      <c r="A172" s="133"/>
      <c r="B172" s="133"/>
      <c r="C172" s="133"/>
      <c r="D172" s="133"/>
      <c r="E172" s="133"/>
      <c r="F172" s="134"/>
      <c r="G172" s="135"/>
      <c r="H172" s="133"/>
      <c r="I172" s="135"/>
      <c r="J172" s="133"/>
      <c r="K172" s="133"/>
      <c r="L172" s="133"/>
      <c r="M172" s="134"/>
    </row>
    <row r="173" customFormat="false" ht="15" hidden="false" customHeight="false" outlineLevel="0" collapsed="false">
      <c r="A173" s="133"/>
      <c r="B173" s="133"/>
      <c r="C173" s="133"/>
      <c r="D173" s="133"/>
      <c r="E173" s="133"/>
      <c r="F173" s="134"/>
      <c r="G173" s="135"/>
      <c r="H173" s="133"/>
      <c r="I173" s="135"/>
      <c r="J173" s="133"/>
      <c r="K173" s="133"/>
      <c r="L173" s="133"/>
      <c r="M173" s="134"/>
    </row>
    <row r="174" customFormat="false" ht="15" hidden="false" customHeight="false" outlineLevel="0" collapsed="false">
      <c r="A174" s="133"/>
      <c r="B174" s="133"/>
      <c r="C174" s="133"/>
      <c r="D174" s="133"/>
      <c r="E174" s="133"/>
      <c r="F174" s="134"/>
      <c r="G174" s="135"/>
      <c r="H174" s="133"/>
      <c r="I174" s="135"/>
      <c r="J174" s="133"/>
      <c r="K174" s="133"/>
      <c r="L174" s="133"/>
      <c r="M174" s="134"/>
    </row>
    <row r="175" customFormat="false" ht="15" hidden="false" customHeight="false" outlineLevel="0" collapsed="false">
      <c r="A175" s="133"/>
      <c r="B175" s="133"/>
      <c r="C175" s="133"/>
      <c r="D175" s="133"/>
      <c r="E175" s="133"/>
      <c r="F175" s="134"/>
      <c r="G175" s="135"/>
      <c r="H175" s="133"/>
      <c r="I175" s="135"/>
      <c r="J175" s="133"/>
      <c r="K175" s="133"/>
      <c r="L175" s="133"/>
      <c r="M175" s="134"/>
    </row>
    <row r="176" customFormat="false" ht="15" hidden="false" customHeight="false" outlineLevel="0" collapsed="false">
      <c r="A176" s="133"/>
      <c r="B176" s="133"/>
      <c r="C176" s="133"/>
      <c r="D176" s="133"/>
      <c r="E176" s="133"/>
      <c r="F176" s="134"/>
      <c r="G176" s="135"/>
      <c r="H176" s="133"/>
      <c r="I176" s="135"/>
      <c r="J176" s="133"/>
      <c r="K176" s="133"/>
      <c r="L176" s="133"/>
      <c r="M176" s="134"/>
    </row>
    <row r="177" customFormat="false" ht="15" hidden="false" customHeight="false" outlineLevel="0" collapsed="false">
      <c r="A177" s="133"/>
      <c r="B177" s="133"/>
      <c r="C177" s="133"/>
      <c r="D177" s="133"/>
      <c r="E177" s="133"/>
      <c r="F177" s="134"/>
      <c r="G177" s="135"/>
      <c r="H177" s="133"/>
      <c r="I177" s="135"/>
      <c r="J177" s="133"/>
      <c r="K177" s="133"/>
      <c r="L177" s="133"/>
      <c r="M177" s="134"/>
    </row>
    <row r="178" customFormat="false" ht="15" hidden="false" customHeight="false" outlineLevel="0" collapsed="false">
      <c r="A178" s="133"/>
      <c r="B178" s="133"/>
      <c r="C178" s="133"/>
      <c r="D178" s="133"/>
      <c r="E178" s="133"/>
      <c r="F178" s="134"/>
      <c r="G178" s="135"/>
      <c r="H178" s="133"/>
      <c r="I178" s="135"/>
      <c r="J178" s="133"/>
      <c r="K178" s="133"/>
      <c r="L178" s="133"/>
      <c r="M178" s="134"/>
    </row>
    <row r="179" customFormat="false" ht="15" hidden="false" customHeight="false" outlineLevel="0" collapsed="false">
      <c r="A179" s="133"/>
      <c r="B179" s="133"/>
      <c r="C179" s="133"/>
      <c r="D179" s="133"/>
      <c r="E179" s="133"/>
      <c r="F179" s="134"/>
      <c r="G179" s="135"/>
      <c r="H179" s="133"/>
      <c r="I179" s="135"/>
      <c r="J179" s="133"/>
      <c r="K179" s="133"/>
      <c r="L179" s="133"/>
      <c r="M179" s="134"/>
    </row>
    <row r="180" customFormat="false" ht="15" hidden="false" customHeight="false" outlineLevel="0" collapsed="false">
      <c r="A180" s="133"/>
      <c r="B180" s="133"/>
      <c r="C180" s="133"/>
      <c r="D180" s="133"/>
      <c r="E180" s="133"/>
      <c r="F180" s="134"/>
      <c r="G180" s="135"/>
      <c r="H180" s="133"/>
      <c r="I180" s="135"/>
      <c r="J180" s="133"/>
      <c r="K180" s="133"/>
      <c r="L180" s="133"/>
      <c r="M180" s="134"/>
    </row>
    <row r="181" customFormat="false" ht="15" hidden="false" customHeight="false" outlineLevel="0" collapsed="false">
      <c r="A181" s="133"/>
      <c r="B181" s="133"/>
      <c r="C181" s="133"/>
      <c r="D181" s="133"/>
      <c r="E181" s="133"/>
      <c r="F181" s="134"/>
      <c r="G181" s="135"/>
      <c r="H181" s="133"/>
      <c r="I181" s="135"/>
      <c r="J181" s="133"/>
      <c r="K181" s="133"/>
      <c r="L181" s="133"/>
      <c r="M181" s="134"/>
    </row>
    <row r="182" customFormat="false" ht="15" hidden="false" customHeight="false" outlineLevel="0" collapsed="false">
      <c r="A182" s="133"/>
      <c r="B182" s="133"/>
      <c r="C182" s="133"/>
      <c r="D182" s="133"/>
      <c r="E182" s="133"/>
      <c r="F182" s="134"/>
      <c r="G182" s="135"/>
      <c r="H182" s="133"/>
      <c r="I182" s="135"/>
      <c r="J182" s="133"/>
      <c r="K182" s="133"/>
      <c r="L182" s="133"/>
      <c r="M182" s="134"/>
    </row>
    <row r="183" customFormat="false" ht="15" hidden="false" customHeight="false" outlineLevel="0" collapsed="false">
      <c r="A183" s="133"/>
      <c r="B183" s="133"/>
      <c r="C183" s="133"/>
      <c r="D183" s="133"/>
      <c r="E183" s="133"/>
      <c r="F183" s="134"/>
      <c r="G183" s="135"/>
      <c r="H183" s="133"/>
      <c r="I183" s="135"/>
      <c r="J183" s="133"/>
      <c r="K183" s="133"/>
      <c r="L183" s="133"/>
      <c r="M183" s="134"/>
    </row>
    <row r="184" customFormat="false" ht="15" hidden="false" customHeight="false" outlineLevel="0" collapsed="false">
      <c r="A184" s="133"/>
      <c r="B184" s="133"/>
      <c r="C184" s="133"/>
      <c r="D184" s="133"/>
      <c r="E184" s="133"/>
      <c r="F184" s="134"/>
      <c r="G184" s="135"/>
      <c r="H184" s="133"/>
      <c r="I184" s="135"/>
      <c r="J184" s="133"/>
      <c r="K184" s="133"/>
      <c r="L184" s="133"/>
      <c r="M184" s="134"/>
    </row>
    <row r="185" customFormat="false" ht="15" hidden="false" customHeight="false" outlineLevel="0" collapsed="false">
      <c r="A185" s="133"/>
      <c r="B185" s="133"/>
      <c r="C185" s="133"/>
      <c r="D185" s="133"/>
      <c r="E185" s="133"/>
      <c r="F185" s="134"/>
      <c r="G185" s="135"/>
      <c r="H185" s="133"/>
      <c r="I185" s="135"/>
      <c r="J185" s="133"/>
      <c r="K185" s="133"/>
      <c r="L185" s="133"/>
      <c r="M185" s="134"/>
    </row>
    <row r="186" customFormat="false" ht="15" hidden="false" customHeight="false" outlineLevel="0" collapsed="false">
      <c r="A186" s="133"/>
      <c r="B186" s="133"/>
      <c r="C186" s="133"/>
      <c r="D186" s="133"/>
      <c r="E186" s="133"/>
      <c r="F186" s="134"/>
      <c r="G186" s="135"/>
      <c r="H186" s="133"/>
      <c r="I186" s="135"/>
      <c r="J186" s="133"/>
      <c r="K186" s="133"/>
      <c r="L186" s="133"/>
      <c r="M186" s="134"/>
    </row>
    <row r="187" customFormat="false" ht="15" hidden="false" customHeight="false" outlineLevel="0" collapsed="false">
      <c r="A187" s="133"/>
      <c r="B187" s="133"/>
      <c r="C187" s="133"/>
      <c r="D187" s="133"/>
      <c r="E187" s="133"/>
      <c r="F187" s="134"/>
      <c r="G187" s="135"/>
      <c r="H187" s="133"/>
      <c r="I187" s="135"/>
      <c r="J187" s="133"/>
      <c r="K187" s="133"/>
      <c r="L187" s="133"/>
      <c r="M187" s="134"/>
    </row>
    <row r="188" customFormat="false" ht="15" hidden="false" customHeight="false" outlineLevel="0" collapsed="false">
      <c r="A188" s="133"/>
      <c r="B188" s="133"/>
      <c r="C188" s="133"/>
      <c r="D188" s="133"/>
      <c r="E188" s="133"/>
      <c r="F188" s="134"/>
      <c r="G188" s="135"/>
      <c r="H188" s="133"/>
      <c r="I188" s="135"/>
      <c r="J188" s="133"/>
      <c r="K188" s="133"/>
      <c r="L188" s="133"/>
      <c r="M188" s="134"/>
    </row>
    <row r="189" customFormat="false" ht="15" hidden="false" customHeight="false" outlineLevel="0" collapsed="false">
      <c r="A189" s="133"/>
      <c r="B189" s="133"/>
      <c r="C189" s="133"/>
      <c r="D189" s="133"/>
      <c r="E189" s="133"/>
      <c r="F189" s="134"/>
      <c r="G189" s="135"/>
      <c r="H189" s="133"/>
      <c r="I189" s="135"/>
      <c r="J189" s="133"/>
      <c r="K189" s="133"/>
      <c r="L189" s="133"/>
      <c r="M189" s="134"/>
    </row>
    <row r="190" customFormat="false" ht="15" hidden="false" customHeight="false" outlineLevel="0" collapsed="false">
      <c r="A190" s="133"/>
      <c r="B190" s="133"/>
      <c r="C190" s="133"/>
      <c r="D190" s="133"/>
      <c r="E190" s="133"/>
      <c r="F190" s="134"/>
      <c r="G190" s="135"/>
      <c r="H190" s="133"/>
      <c r="I190" s="135"/>
      <c r="J190" s="133"/>
      <c r="K190" s="133"/>
      <c r="L190" s="133"/>
      <c r="M190" s="134"/>
    </row>
    <row r="191" customFormat="false" ht="15" hidden="false" customHeight="false" outlineLevel="0" collapsed="false">
      <c r="A191" s="133"/>
      <c r="B191" s="133"/>
      <c r="C191" s="133"/>
      <c r="D191" s="133"/>
      <c r="E191" s="133"/>
      <c r="F191" s="134"/>
      <c r="G191" s="135"/>
      <c r="H191" s="133"/>
      <c r="I191" s="135"/>
      <c r="J191" s="133"/>
      <c r="K191" s="133"/>
      <c r="L191" s="133"/>
      <c r="M191" s="134"/>
    </row>
    <row r="192" customFormat="false" ht="15" hidden="false" customHeight="false" outlineLevel="0" collapsed="false">
      <c r="A192" s="133"/>
      <c r="B192" s="133"/>
      <c r="C192" s="133"/>
      <c r="D192" s="133"/>
      <c r="E192" s="133"/>
      <c r="F192" s="134"/>
      <c r="G192" s="135"/>
      <c r="H192" s="133"/>
      <c r="I192" s="135"/>
      <c r="J192" s="133"/>
      <c r="K192" s="133"/>
      <c r="L192" s="133"/>
      <c r="M192" s="134"/>
    </row>
    <row r="193" customFormat="false" ht="15" hidden="false" customHeight="false" outlineLevel="0" collapsed="false">
      <c r="A193" s="133"/>
      <c r="B193" s="133"/>
      <c r="C193" s="133"/>
      <c r="D193" s="133"/>
      <c r="E193" s="133"/>
      <c r="F193" s="134"/>
      <c r="G193" s="135"/>
      <c r="H193" s="133"/>
      <c r="I193" s="135"/>
      <c r="J193" s="133"/>
      <c r="K193" s="133"/>
      <c r="L193" s="133"/>
      <c r="M193" s="134"/>
    </row>
    <row r="194" customFormat="false" ht="15" hidden="false" customHeight="false" outlineLevel="0" collapsed="false">
      <c r="A194" s="133"/>
      <c r="B194" s="133"/>
      <c r="C194" s="133"/>
      <c r="D194" s="133"/>
      <c r="E194" s="133"/>
      <c r="F194" s="134"/>
      <c r="G194" s="135"/>
      <c r="H194" s="133"/>
      <c r="I194" s="135"/>
      <c r="J194" s="133"/>
      <c r="K194" s="133"/>
      <c r="L194" s="133"/>
      <c r="M194" s="134"/>
    </row>
    <row r="195" customFormat="false" ht="15" hidden="false" customHeight="false" outlineLevel="0" collapsed="false">
      <c r="A195" s="133"/>
      <c r="B195" s="133"/>
      <c r="C195" s="133"/>
      <c r="D195" s="133"/>
      <c r="E195" s="133"/>
      <c r="F195" s="134"/>
      <c r="G195" s="135"/>
      <c r="H195" s="133"/>
      <c r="I195" s="135"/>
      <c r="J195" s="133"/>
      <c r="K195" s="133"/>
      <c r="L195" s="133"/>
      <c r="M195" s="134"/>
    </row>
    <row r="196" customFormat="false" ht="15" hidden="false" customHeight="false" outlineLevel="0" collapsed="false">
      <c r="A196" s="133"/>
      <c r="B196" s="133"/>
      <c r="C196" s="133"/>
      <c r="D196" s="133"/>
      <c r="E196" s="133"/>
      <c r="F196" s="134"/>
      <c r="G196" s="135"/>
      <c r="H196" s="133"/>
      <c r="I196" s="135"/>
      <c r="J196" s="133"/>
      <c r="K196" s="133"/>
      <c r="L196" s="133"/>
      <c r="M196" s="134"/>
    </row>
    <row r="197" customFormat="false" ht="15" hidden="false" customHeight="false" outlineLevel="0" collapsed="false">
      <c r="A197" s="133"/>
      <c r="B197" s="133"/>
      <c r="C197" s="133"/>
      <c r="D197" s="133"/>
      <c r="E197" s="133"/>
      <c r="F197" s="134"/>
      <c r="G197" s="135"/>
      <c r="H197" s="133"/>
      <c r="I197" s="135"/>
      <c r="J197" s="133"/>
      <c r="K197" s="133"/>
      <c r="L197" s="133"/>
      <c r="M197" s="134"/>
    </row>
    <row r="198" customFormat="false" ht="15" hidden="false" customHeight="false" outlineLevel="0" collapsed="false">
      <c r="A198" s="133"/>
      <c r="B198" s="133"/>
      <c r="C198" s="133"/>
      <c r="D198" s="133"/>
      <c r="E198" s="133"/>
      <c r="F198" s="134"/>
      <c r="G198" s="135"/>
      <c r="H198" s="133"/>
      <c r="I198" s="135"/>
      <c r="J198" s="133"/>
      <c r="K198" s="133"/>
      <c r="L198" s="133"/>
      <c r="M198" s="134"/>
    </row>
    <row r="199" customFormat="false" ht="15" hidden="false" customHeight="false" outlineLevel="0" collapsed="false">
      <c r="A199" s="133"/>
      <c r="B199" s="133"/>
      <c r="C199" s="133"/>
      <c r="D199" s="133"/>
      <c r="E199" s="133"/>
      <c r="F199" s="134"/>
      <c r="G199" s="135"/>
      <c r="H199" s="133"/>
      <c r="I199" s="135"/>
      <c r="J199" s="133"/>
      <c r="K199" s="133"/>
      <c r="L199" s="133"/>
      <c r="M199" s="134"/>
    </row>
    <row r="200" customFormat="false" ht="15" hidden="false" customHeight="false" outlineLevel="0" collapsed="false">
      <c r="A200" s="133"/>
      <c r="B200" s="133"/>
      <c r="C200" s="133"/>
      <c r="D200" s="133"/>
      <c r="E200" s="133"/>
      <c r="F200" s="134"/>
      <c r="G200" s="135"/>
      <c r="H200" s="133"/>
      <c r="I200" s="135"/>
      <c r="J200" s="133"/>
      <c r="K200" s="133"/>
      <c r="L200" s="133"/>
      <c r="M200" s="134"/>
    </row>
    <row r="201" customFormat="false" ht="15" hidden="false" customHeight="false" outlineLevel="0" collapsed="false">
      <c r="A201" s="133"/>
      <c r="B201" s="133"/>
      <c r="C201" s="133"/>
      <c r="D201" s="133"/>
      <c r="E201" s="133"/>
      <c r="F201" s="134"/>
      <c r="G201" s="135"/>
      <c r="H201" s="133"/>
      <c r="I201" s="135"/>
      <c r="J201" s="133"/>
      <c r="K201" s="133"/>
      <c r="L201" s="133"/>
      <c r="M201" s="134"/>
    </row>
    <row r="202" customFormat="false" ht="15" hidden="false" customHeight="false" outlineLevel="0" collapsed="false">
      <c r="A202" s="133"/>
      <c r="B202" s="133"/>
      <c r="C202" s="133"/>
      <c r="D202" s="133"/>
      <c r="E202" s="133"/>
      <c r="F202" s="134"/>
      <c r="G202" s="135"/>
      <c r="H202" s="133"/>
      <c r="I202" s="135"/>
      <c r="J202" s="133"/>
      <c r="K202" s="133"/>
      <c r="L202" s="133"/>
      <c r="M202" s="134"/>
    </row>
    <row r="203" customFormat="false" ht="15" hidden="false" customHeight="false" outlineLevel="0" collapsed="false">
      <c r="A203" s="133"/>
      <c r="B203" s="133"/>
      <c r="C203" s="133"/>
      <c r="D203" s="133"/>
      <c r="E203" s="133"/>
      <c r="F203" s="134"/>
      <c r="G203" s="135"/>
      <c r="H203" s="133"/>
      <c r="I203" s="135"/>
      <c r="J203" s="133"/>
      <c r="K203" s="133"/>
      <c r="L203" s="133"/>
      <c r="M203" s="134"/>
    </row>
    <row r="204" customFormat="false" ht="15" hidden="false" customHeight="false" outlineLevel="0" collapsed="false">
      <c r="A204" s="133"/>
      <c r="B204" s="133"/>
      <c r="C204" s="133"/>
      <c r="D204" s="133"/>
      <c r="E204" s="133"/>
      <c r="F204" s="134"/>
      <c r="G204" s="135"/>
      <c r="H204" s="133"/>
      <c r="I204" s="135"/>
      <c r="J204" s="133"/>
      <c r="K204" s="133"/>
      <c r="L204" s="133"/>
      <c r="M204" s="134"/>
    </row>
    <row r="205" customFormat="false" ht="15" hidden="false" customHeight="false" outlineLevel="0" collapsed="false">
      <c r="A205" s="133"/>
      <c r="B205" s="133"/>
      <c r="C205" s="133"/>
      <c r="D205" s="133"/>
      <c r="E205" s="133"/>
      <c r="F205" s="134"/>
      <c r="G205" s="135"/>
      <c r="H205" s="133"/>
      <c r="I205" s="135"/>
      <c r="J205" s="133"/>
      <c r="K205" s="133"/>
      <c r="L205" s="133"/>
      <c r="M205" s="134"/>
    </row>
    <row r="206" customFormat="false" ht="15" hidden="false" customHeight="false" outlineLevel="0" collapsed="false">
      <c r="A206" s="133"/>
      <c r="B206" s="133"/>
      <c r="C206" s="133"/>
      <c r="D206" s="133"/>
      <c r="E206" s="133"/>
      <c r="F206" s="134"/>
      <c r="G206" s="135"/>
      <c r="H206" s="133"/>
      <c r="I206" s="135"/>
      <c r="J206" s="133"/>
      <c r="K206" s="133"/>
      <c r="L206" s="133"/>
      <c r="M206" s="134"/>
    </row>
    <row r="207" customFormat="false" ht="15" hidden="false" customHeight="false" outlineLevel="0" collapsed="false">
      <c r="A207" s="133"/>
      <c r="B207" s="133"/>
      <c r="C207" s="133"/>
      <c r="D207" s="133"/>
      <c r="E207" s="133"/>
      <c r="F207" s="134"/>
      <c r="G207" s="135"/>
      <c r="H207" s="133"/>
      <c r="I207" s="135"/>
      <c r="J207" s="133"/>
      <c r="K207" s="133"/>
      <c r="L207" s="133"/>
      <c r="M207" s="134"/>
    </row>
    <row r="208" customFormat="false" ht="15" hidden="false" customHeight="false" outlineLevel="0" collapsed="false">
      <c r="A208" s="133"/>
      <c r="B208" s="133"/>
      <c r="C208" s="133"/>
      <c r="D208" s="133"/>
      <c r="E208" s="133"/>
      <c r="F208" s="134"/>
      <c r="G208" s="135"/>
      <c r="H208" s="133"/>
      <c r="I208" s="135"/>
      <c r="J208" s="133"/>
      <c r="K208" s="133"/>
      <c r="L208" s="133"/>
      <c r="M208" s="134"/>
    </row>
    <row r="209" customFormat="false" ht="15" hidden="false" customHeight="false" outlineLevel="0" collapsed="false">
      <c r="A209" s="133"/>
      <c r="B209" s="133"/>
      <c r="C209" s="133"/>
      <c r="D209" s="133"/>
      <c r="E209" s="133"/>
      <c r="F209" s="134"/>
      <c r="G209" s="135"/>
      <c r="H209" s="133"/>
      <c r="I209" s="135"/>
      <c r="J209" s="133"/>
      <c r="K209" s="133"/>
      <c r="L209" s="133"/>
      <c r="M209" s="134"/>
    </row>
    <row r="210" customFormat="false" ht="15" hidden="false" customHeight="false" outlineLevel="0" collapsed="false">
      <c r="A210" s="133"/>
      <c r="B210" s="133"/>
      <c r="C210" s="133"/>
      <c r="D210" s="133"/>
      <c r="E210" s="133"/>
      <c r="F210" s="134"/>
      <c r="G210" s="135"/>
      <c r="H210" s="133"/>
      <c r="I210" s="135"/>
      <c r="J210" s="133"/>
      <c r="K210" s="133"/>
      <c r="L210" s="133"/>
      <c r="M210" s="134"/>
    </row>
    <row r="211" customFormat="false" ht="15" hidden="false" customHeight="false" outlineLevel="0" collapsed="false">
      <c r="A211" s="133"/>
      <c r="B211" s="133"/>
      <c r="C211" s="133"/>
      <c r="D211" s="133"/>
      <c r="E211" s="133"/>
      <c r="F211" s="134"/>
      <c r="G211" s="135"/>
      <c r="H211" s="133"/>
      <c r="I211" s="135"/>
      <c r="J211" s="133"/>
      <c r="K211" s="133"/>
      <c r="L211" s="133"/>
      <c r="M211" s="134"/>
    </row>
    <row r="212" customFormat="false" ht="15" hidden="false" customHeight="false" outlineLevel="0" collapsed="false">
      <c r="A212" s="133"/>
      <c r="B212" s="133"/>
      <c r="C212" s="133"/>
      <c r="D212" s="133"/>
      <c r="E212" s="133"/>
      <c r="F212" s="134"/>
      <c r="G212" s="135"/>
      <c r="H212" s="133"/>
      <c r="I212" s="135"/>
      <c r="J212" s="133"/>
      <c r="K212" s="133"/>
      <c r="L212" s="133"/>
      <c r="M212" s="134"/>
    </row>
    <row r="213" customFormat="false" ht="15" hidden="false" customHeight="false" outlineLevel="0" collapsed="false">
      <c r="A213" s="133"/>
      <c r="B213" s="133"/>
      <c r="C213" s="133"/>
      <c r="D213" s="133"/>
      <c r="E213" s="133"/>
      <c r="F213" s="134"/>
      <c r="G213" s="135"/>
      <c r="H213" s="133"/>
      <c r="I213" s="135"/>
      <c r="J213" s="133"/>
      <c r="K213" s="133"/>
      <c r="L213" s="133"/>
      <c r="M213" s="134"/>
    </row>
    <row r="214" customFormat="false" ht="15" hidden="false" customHeight="false" outlineLevel="0" collapsed="false">
      <c r="A214" s="133"/>
      <c r="B214" s="133"/>
      <c r="C214" s="133"/>
      <c r="D214" s="133"/>
      <c r="E214" s="133"/>
      <c r="F214" s="134"/>
      <c r="G214" s="135"/>
      <c r="H214" s="133"/>
      <c r="I214" s="135"/>
      <c r="J214" s="133"/>
      <c r="K214" s="133"/>
      <c r="L214" s="133"/>
      <c r="M214" s="134"/>
    </row>
    <row r="215" customFormat="false" ht="15" hidden="false" customHeight="false" outlineLevel="0" collapsed="false">
      <c r="A215" s="133"/>
      <c r="B215" s="133"/>
      <c r="C215" s="133"/>
      <c r="D215" s="133"/>
      <c r="E215" s="133"/>
      <c r="F215" s="134"/>
      <c r="G215" s="135"/>
      <c r="H215" s="133"/>
      <c r="I215" s="135"/>
      <c r="J215" s="133"/>
      <c r="K215" s="133"/>
      <c r="L215" s="133"/>
      <c r="M215" s="134"/>
    </row>
    <row r="216" customFormat="false" ht="15" hidden="false" customHeight="false" outlineLevel="0" collapsed="false">
      <c r="A216" s="133"/>
      <c r="B216" s="133"/>
      <c r="C216" s="133"/>
      <c r="D216" s="133"/>
      <c r="E216" s="133"/>
      <c r="F216" s="134"/>
      <c r="G216" s="135"/>
      <c r="H216" s="133"/>
      <c r="I216" s="135"/>
      <c r="J216" s="133"/>
      <c r="K216" s="133"/>
      <c r="L216" s="133"/>
      <c r="M216" s="134"/>
    </row>
    <row r="217" customFormat="false" ht="15" hidden="false" customHeight="false" outlineLevel="0" collapsed="false">
      <c r="A217" s="133"/>
      <c r="B217" s="133"/>
      <c r="C217" s="133"/>
      <c r="D217" s="133"/>
      <c r="E217" s="133"/>
      <c r="F217" s="134"/>
      <c r="G217" s="135"/>
      <c r="H217" s="133"/>
      <c r="I217" s="135"/>
      <c r="J217" s="133"/>
      <c r="K217" s="133"/>
      <c r="L217" s="133"/>
      <c r="M217" s="134"/>
    </row>
    <row r="218" customFormat="false" ht="15" hidden="false" customHeight="false" outlineLevel="0" collapsed="false">
      <c r="A218" s="133"/>
      <c r="B218" s="133"/>
      <c r="C218" s="133"/>
      <c r="D218" s="133"/>
      <c r="E218" s="133"/>
      <c r="F218" s="134"/>
      <c r="G218" s="135"/>
      <c r="H218" s="133"/>
      <c r="I218" s="135"/>
      <c r="J218" s="133"/>
      <c r="K218" s="133"/>
      <c r="L218" s="133"/>
      <c r="M218" s="134"/>
    </row>
    <row r="219" customFormat="false" ht="15" hidden="false" customHeight="false" outlineLevel="0" collapsed="false">
      <c r="A219" s="133"/>
      <c r="B219" s="133"/>
      <c r="C219" s="133"/>
      <c r="D219" s="133"/>
      <c r="E219" s="133"/>
      <c r="F219" s="134"/>
      <c r="G219" s="135"/>
      <c r="H219" s="133"/>
      <c r="I219" s="135"/>
      <c r="J219" s="133"/>
      <c r="K219" s="133"/>
      <c r="L219" s="133"/>
      <c r="M219" s="134"/>
    </row>
    <row r="220" customFormat="false" ht="15" hidden="false" customHeight="false" outlineLevel="0" collapsed="false">
      <c r="A220" s="133"/>
      <c r="B220" s="133"/>
      <c r="C220" s="133"/>
      <c r="D220" s="133"/>
      <c r="E220" s="133"/>
      <c r="F220" s="134"/>
      <c r="G220" s="135"/>
      <c r="H220" s="133"/>
      <c r="I220" s="135"/>
      <c r="J220" s="133"/>
      <c r="K220" s="133"/>
      <c r="L220" s="133"/>
      <c r="M220" s="134"/>
    </row>
    <row r="221" customFormat="false" ht="15" hidden="false" customHeight="false" outlineLevel="0" collapsed="false">
      <c r="A221" s="133"/>
      <c r="B221" s="133"/>
      <c r="C221" s="133"/>
      <c r="D221" s="133"/>
      <c r="E221" s="133"/>
      <c r="F221" s="134"/>
      <c r="G221" s="135"/>
      <c r="H221" s="133"/>
      <c r="I221" s="135"/>
      <c r="J221" s="133"/>
      <c r="K221" s="133"/>
      <c r="L221" s="133"/>
      <c r="M221" s="134"/>
    </row>
    <row r="222" customFormat="false" ht="15" hidden="false" customHeight="false" outlineLevel="0" collapsed="false">
      <c r="A222" s="133"/>
      <c r="B222" s="133"/>
      <c r="C222" s="133"/>
      <c r="D222" s="133"/>
      <c r="E222" s="133"/>
      <c r="F222" s="134"/>
      <c r="G222" s="135"/>
      <c r="H222" s="133"/>
      <c r="I222" s="135"/>
      <c r="J222" s="133"/>
      <c r="K222" s="133"/>
      <c r="L222" s="133"/>
      <c r="M222" s="134"/>
    </row>
    <row r="223" customFormat="false" ht="15" hidden="false" customHeight="false" outlineLevel="0" collapsed="false">
      <c r="A223" s="133"/>
      <c r="B223" s="133"/>
      <c r="C223" s="133"/>
      <c r="D223" s="133"/>
      <c r="E223" s="133"/>
      <c r="F223" s="134"/>
      <c r="G223" s="135"/>
      <c r="H223" s="133"/>
      <c r="I223" s="135"/>
      <c r="J223" s="133"/>
      <c r="K223" s="133"/>
      <c r="L223" s="133"/>
      <c r="M223" s="134"/>
    </row>
    <row r="224" customFormat="false" ht="15" hidden="false" customHeight="false" outlineLevel="0" collapsed="false">
      <c r="A224" s="133"/>
      <c r="B224" s="133"/>
      <c r="C224" s="133"/>
      <c r="D224" s="133"/>
      <c r="E224" s="133"/>
      <c r="F224" s="134"/>
      <c r="G224" s="135"/>
      <c r="H224" s="133"/>
      <c r="I224" s="135"/>
      <c r="J224" s="133"/>
      <c r="K224" s="133"/>
      <c r="L224" s="133"/>
      <c r="M224" s="134"/>
    </row>
    <row r="225" customFormat="false" ht="15" hidden="false" customHeight="false" outlineLevel="0" collapsed="false">
      <c r="A225" s="133"/>
      <c r="B225" s="133"/>
      <c r="C225" s="133"/>
      <c r="D225" s="133"/>
      <c r="E225" s="133"/>
      <c r="F225" s="134"/>
      <c r="G225" s="135"/>
      <c r="H225" s="133"/>
      <c r="I225" s="135"/>
      <c r="J225" s="133"/>
      <c r="K225" s="133"/>
      <c r="L225" s="133"/>
      <c r="M225" s="134"/>
    </row>
    <row r="226" customFormat="false" ht="15" hidden="false" customHeight="false" outlineLevel="0" collapsed="false">
      <c r="A226" s="133"/>
      <c r="B226" s="133"/>
      <c r="C226" s="133"/>
      <c r="D226" s="133"/>
      <c r="E226" s="133"/>
      <c r="F226" s="134"/>
      <c r="G226" s="135"/>
      <c r="H226" s="133"/>
      <c r="I226" s="135"/>
      <c r="J226" s="133"/>
      <c r="K226" s="133"/>
      <c r="L226" s="133"/>
      <c r="M226" s="134"/>
    </row>
    <row r="227" customFormat="false" ht="15" hidden="false" customHeight="false" outlineLevel="0" collapsed="false">
      <c r="A227" s="133"/>
      <c r="B227" s="133"/>
      <c r="C227" s="133"/>
      <c r="D227" s="133"/>
      <c r="E227" s="133"/>
      <c r="F227" s="134"/>
      <c r="G227" s="135"/>
      <c r="H227" s="133"/>
      <c r="I227" s="135"/>
      <c r="J227" s="133"/>
      <c r="K227" s="133"/>
      <c r="L227" s="133"/>
      <c r="M227" s="134"/>
    </row>
    <row r="228" customFormat="false" ht="15" hidden="false" customHeight="false" outlineLevel="0" collapsed="false">
      <c r="A228" s="133"/>
      <c r="B228" s="133"/>
      <c r="C228" s="133"/>
      <c r="D228" s="133"/>
      <c r="E228" s="133"/>
      <c r="F228" s="134"/>
      <c r="G228" s="135"/>
      <c r="H228" s="133"/>
      <c r="I228" s="135"/>
      <c r="J228" s="133"/>
      <c r="K228" s="133"/>
      <c r="L228" s="133"/>
      <c r="M228" s="134"/>
    </row>
    <row r="229" customFormat="false" ht="15" hidden="false" customHeight="false" outlineLevel="0" collapsed="false">
      <c r="A229" s="133"/>
      <c r="B229" s="133"/>
      <c r="C229" s="133"/>
      <c r="D229" s="133"/>
      <c r="E229" s="133"/>
      <c r="F229" s="134"/>
      <c r="G229" s="135"/>
      <c r="H229" s="133"/>
      <c r="I229" s="135"/>
      <c r="J229" s="133"/>
      <c r="K229" s="133"/>
      <c r="L229" s="133"/>
      <c r="M229" s="134"/>
    </row>
    <row r="230" customFormat="false" ht="15" hidden="false" customHeight="false" outlineLevel="0" collapsed="false">
      <c r="A230" s="133"/>
      <c r="B230" s="133"/>
      <c r="C230" s="133"/>
      <c r="D230" s="133"/>
      <c r="E230" s="133"/>
      <c r="F230" s="134"/>
      <c r="G230" s="135"/>
      <c r="H230" s="133"/>
      <c r="I230" s="135"/>
      <c r="J230" s="133"/>
      <c r="K230" s="133"/>
      <c r="L230" s="133"/>
      <c r="M230" s="134"/>
    </row>
    <row r="231" customFormat="false" ht="15" hidden="false" customHeight="false" outlineLevel="0" collapsed="false">
      <c r="A231" s="133"/>
      <c r="B231" s="133"/>
      <c r="C231" s="133"/>
      <c r="D231" s="133"/>
      <c r="E231" s="133"/>
      <c r="F231" s="134"/>
      <c r="G231" s="135"/>
      <c r="H231" s="133"/>
      <c r="I231" s="135"/>
      <c r="J231" s="133"/>
      <c r="K231" s="133"/>
      <c r="L231" s="133"/>
      <c r="M231" s="134"/>
    </row>
    <row r="232" customFormat="false" ht="15" hidden="false" customHeight="false" outlineLevel="0" collapsed="false">
      <c r="A232" s="133"/>
      <c r="B232" s="133"/>
      <c r="C232" s="133"/>
      <c r="D232" s="133"/>
      <c r="E232" s="133"/>
      <c r="F232" s="134"/>
      <c r="G232" s="135"/>
      <c r="H232" s="133"/>
      <c r="I232" s="135"/>
      <c r="J232" s="133"/>
      <c r="K232" s="133"/>
      <c r="L232" s="133"/>
      <c r="M232" s="134"/>
    </row>
    <row r="233" customFormat="false" ht="15" hidden="false" customHeight="false" outlineLevel="0" collapsed="false">
      <c r="A233" s="133"/>
      <c r="B233" s="133"/>
      <c r="C233" s="133"/>
      <c r="D233" s="133"/>
      <c r="E233" s="133"/>
      <c r="F233" s="134"/>
      <c r="G233" s="135"/>
      <c r="H233" s="133"/>
      <c r="I233" s="135"/>
      <c r="J233" s="133"/>
      <c r="K233" s="133"/>
      <c r="L233" s="133"/>
      <c r="M233" s="134"/>
    </row>
    <row r="234" customFormat="false" ht="15" hidden="false" customHeight="false" outlineLevel="0" collapsed="false">
      <c r="A234" s="133"/>
      <c r="B234" s="133"/>
      <c r="C234" s="133"/>
      <c r="D234" s="133"/>
      <c r="E234" s="133"/>
      <c r="F234" s="134"/>
      <c r="G234" s="135"/>
      <c r="H234" s="133"/>
      <c r="I234" s="135"/>
      <c r="J234" s="133"/>
      <c r="K234" s="133"/>
      <c r="L234" s="133"/>
      <c r="M234" s="134"/>
    </row>
    <row r="235" customFormat="false" ht="15" hidden="false" customHeight="false" outlineLevel="0" collapsed="false">
      <c r="A235" s="133"/>
      <c r="B235" s="133"/>
      <c r="C235" s="133"/>
      <c r="D235" s="133"/>
      <c r="E235" s="133"/>
      <c r="F235" s="134"/>
      <c r="G235" s="135"/>
      <c r="H235" s="133"/>
      <c r="I235" s="135"/>
      <c r="J235" s="133"/>
      <c r="K235" s="133"/>
      <c r="L235" s="133"/>
      <c r="M235" s="134"/>
    </row>
    <row r="236" customFormat="false" ht="15" hidden="false" customHeight="false" outlineLevel="0" collapsed="false">
      <c r="A236" s="133"/>
      <c r="B236" s="133"/>
      <c r="C236" s="133"/>
      <c r="D236" s="133"/>
      <c r="E236" s="133"/>
      <c r="F236" s="134"/>
      <c r="G236" s="135"/>
      <c r="H236" s="133"/>
      <c r="I236" s="135"/>
      <c r="J236" s="133"/>
      <c r="K236" s="133"/>
      <c r="L236" s="133"/>
      <c r="M236" s="134"/>
    </row>
    <row r="237" customFormat="false" ht="15" hidden="false" customHeight="false" outlineLevel="0" collapsed="false">
      <c r="A237" s="133"/>
      <c r="B237" s="133"/>
      <c r="C237" s="133"/>
      <c r="D237" s="133"/>
      <c r="E237" s="133"/>
      <c r="F237" s="134"/>
      <c r="G237" s="135"/>
      <c r="H237" s="133"/>
      <c r="I237" s="135"/>
      <c r="J237" s="133"/>
      <c r="K237" s="133"/>
      <c r="L237" s="133"/>
      <c r="M237" s="134"/>
    </row>
    <row r="238" customFormat="false" ht="15" hidden="false" customHeight="false" outlineLevel="0" collapsed="false">
      <c r="A238" s="133"/>
      <c r="B238" s="133"/>
      <c r="C238" s="133"/>
      <c r="D238" s="133"/>
      <c r="E238" s="133"/>
      <c r="F238" s="134"/>
      <c r="G238" s="135"/>
      <c r="H238" s="133"/>
      <c r="I238" s="135"/>
      <c r="J238" s="133"/>
      <c r="K238" s="133"/>
      <c r="L238" s="133"/>
      <c r="M238" s="134"/>
    </row>
    <row r="239" customFormat="false" ht="15" hidden="false" customHeight="false" outlineLevel="0" collapsed="false">
      <c r="A239" s="133"/>
      <c r="B239" s="133"/>
      <c r="C239" s="133"/>
      <c r="D239" s="133"/>
      <c r="E239" s="133"/>
      <c r="F239" s="134"/>
      <c r="G239" s="135"/>
      <c r="H239" s="133"/>
      <c r="I239" s="135"/>
      <c r="J239" s="133"/>
      <c r="K239" s="133"/>
      <c r="L239" s="133"/>
      <c r="M239" s="134"/>
    </row>
    <row r="240" customFormat="false" ht="15" hidden="false" customHeight="false" outlineLevel="0" collapsed="false">
      <c r="A240" s="133"/>
      <c r="B240" s="133"/>
      <c r="C240" s="133"/>
      <c r="D240" s="133"/>
      <c r="E240" s="133"/>
      <c r="F240" s="134"/>
      <c r="G240" s="135"/>
      <c r="H240" s="133"/>
      <c r="I240" s="135"/>
      <c r="J240" s="133"/>
      <c r="K240" s="133"/>
      <c r="L240" s="133"/>
      <c r="M240" s="134"/>
    </row>
    <row r="241" customFormat="false" ht="15" hidden="false" customHeight="false" outlineLevel="0" collapsed="false">
      <c r="A241" s="133"/>
      <c r="B241" s="133"/>
      <c r="C241" s="133"/>
      <c r="D241" s="133"/>
      <c r="E241" s="133"/>
      <c r="F241" s="134"/>
      <c r="G241" s="135"/>
      <c r="H241" s="133"/>
      <c r="I241" s="135"/>
      <c r="J241" s="133"/>
      <c r="K241" s="133"/>
      <c r="L241" s="133"/>
      <c r="M241" s="134"/>
    </row>
    <row r="242" customFormat="false" ht="15" hidden="false" customHeight="false" outlineLevel="0" collapsed="false">
      <c r="A242" s="133"/>
      <c r="B242" s="133"/>
      <c r="C242" s="133"/>
      <c r="D242" s="133"/>
      <c r="E242" s="133"/>
      <c r="F242" s="134"/>
      <c r="G242" s="135"/>
      <c r="H242" s="133"/>
      <c r="I242" s="135"/>
      <c r="J242" s="133"/>
      <c r="K242" s="133"/>
      <c r="L242" s="133"/>
      <c r="M242" s="134"/>
    </row>
    <row r="243" customFormat="false" ht="15" hidden="false" customHeight="false" outlineLevel="0" collapsed="false">
      <c r="A243" s="133"/>
      <c r="B243" s="133"/>
      <c r="C243" s="133"/>
      <c r="D243" s="133"/>
      <c r="E243" s="133"/>
      <c r="F243" s="134"/>
      <c r="G243" s="135"/>
      <c r="H243" s="133"/>
      <c r="I243" s="135"/>
      <c r="J243" s="133"/>
      <c r="K243" s="133"/>
      <c r="L243" s="133"/>
      <c r="M243" s="134"/>
    </row>
    <row r="244" customFormat="false" ht="15" hidden="false" customHeight="false" outlineLevel="0" collapsed="false">
      <c r="A244" s="133"/>
      <c r="B244" s="133"/>
      <c r="C244" s="133"/>
      <c r="D244" s="133"/>
      <c r="E244" s="133"/>
      <c r="F244" s="134"/>
      <c r="G244" s="135"/>
      <c r="H244" s="133"/>
      <c r="I244" s="135"/>
      <c r="J244" s="133"/>
      <c r="K244" s="133"/>
      <c r="L244" s="133"/>
      <c r="M244" s="134"/>
    </row>
    <row r="245" customFormat="false" ht="15" hidden="false" customHeight="false" outlineLevel="0" collapsed="false">
      <c r="A245" s="133"/>
      <c r="B245" s="133"/>
      <c r="C245" s="133"/>
      <c r="D245" s="133"/>
      <c r="E245" s="133"/>
      <c r="F245" s="134"/>
      <c r="G245" s="135"/>
      <c r="H245" s="133"/>
      <c r="I245" s="135"/>
      <c r="J245" s="133"/>
      <c r="K245" s="133"/>
      <c r="L245" s="133"/>
      <c r="M245" s="134"/>
    </row>
    <row r="246" customFormat="false" ht="15" hidden="false" customHeight="false" outlineLevel="0" collapsed="false">
      <c r="A246" s="133"/>
      <c r="B246" s="133"/>
      <c r="C246" s="133"/>
      <c r="D246" s="133"/>
      <c r="E246" s="133"/>
      <c r="F246" s="134"/>
      <c r="G246" s="135"/>
      <c r="H246" s="133"/>
      <c r="I246" s="135"/>
      <c r="J246" s="133"/>
      <c r="K246" s="133"/>
      <c r="L246" s="133"/>
      <c r="M246" s="134"/>
    </row>
    <row r="247" customFormat="false" ht="15" hidden="false" customHeight="false" outlineLevel="0" collapsed="false">
      <c r="A247" s="133"/>
      <c r="B247" s="133"/>
      <c r="C247" s="133"/>
      <c r="D247" s="133"/>
      <c r="E247" s="133"/>
      <c r="F247" s="134"/>
      <c r="G247" s="135"/>
      <c r="H247" s="133"/>
      <c r="I247" s="135"/>
      <c r="J247" s="133"/>
      <c r="K247" s="133"/>
      <c r="L247" s="133"/>
      <c r="M247" s="134"/>
    </row>
    <row r="248" customFormat="false" ht="15" hidden="false" customHeight="false" outlineLevel="0" collapsed="false">
      <c r="A248" s="133"/>
      <c r="B248" s="133"/>
      <c r="C248" s="133"/>
      <c r="D248" s="133"/>
      <c r="E248" s="133"/>
      <c r="F248" s="134"/>
      <c r="G248" s="135"/>
      <c r="H248" s="133"/>
      <c r="I248" s="135"/>
      <c r="J248" s="133"/>
      <c r="K248" s="133"/>
      <c r="L248" s="133"/>
      <c r="M248" s="134"/>
    </row>
    <row r="249" customFormat="false" ht="15" hidden="false" customHeight="false" outlineLevel="0" collapsed="false">
      <c r="A249" s="133"/>
      <c r="B249" s="133"/>
      <c r="C249" s="133"/>
      <c r="D249" s="133"/>
      <c r="E249" s="133"/>
      <c r="F249" s="134"/>
      <c r="G249" s="135"/>
      <c r="H249" s="133"/>
      <c r="I249" s="135"/>
      <c r="J249" s="133"/>
      <c r="K249" s="133"/>
      <c r="L249" s="133"/>
      <c r="M249" s="134"/>
    </row>
    <row r="250" customFormat="false" ht="15" hidden="false" customHeight="false" outlineLevel="0" collapsed="false">
      <c r="A250" s="133"/>
      <c r="B250" s="133"/>
      <c r="C250" s="133"/>
      <c r="D250" s="133"/>
      <c r="E250" s="133"/>
      <c r="F250" s="134"/>
      <c r="G250" s="135"/>
      <c r="H250" s="133"/>
      <c r="I250" s="135"/>
      <c r="J250" s="133"/>
      <c r="K250" s="133"/>
      <c r="L250" s="133"/>
      <c r="M250" s="134"/>
    </row>
    <row r="251" customFormat="false" ht="15" hidden="false" customHeight="false" outlineLevel="0" collapsed="false">
      <c r="A251" s="133"/>
      <c r="B251" s="133"/>
      <c r="C251" s="133"/>
      <c r="D251" s="133"/>
      <c r="E251" s="133"/>
      <c r="F251" s="134"/>
      <c r="G251" s="135"/>
      <c r="H251" s="133"/>
      <c r="I251" s="135"/>
      <c r="J251" s="133"/>
      <c r="K251" s="133"/>
      <c r="L251" s="133"/>
      <c r="M251" s="134"/>
    </row>
    <row r="252" customFormat="false" ht="15" hidden="false" customHeight="false" outlineLevel="0" collapsed="false">
      <c r="A252" s="133"/>
      <c r="B252" s="133"/>
      <c r="C252" s="133"/>
      <c r="D252" s="133"/>
      <c r="E252" s="133"/>
      <c r="F252" s="134"/>
      <c r="G252" s="135"/>
      <c r="H252" s="133"/>
      <c r="I252" s="135"/>
      <c r="J252" s="133"/>
      <c r="K252" s="133"/>
      <c r="L252" s="133"/>
      <c r="M252" s="134"/>
    </row>
    <row r="253" customFormat="false" ht="15" hidden="false" customHeight="false" outlineLevel="0" collapsed="false">
      <c r="A253" s="133"/>
      <c r="B253" s="133"/>
      <c r="C253" s="133"/>
      <c r="D253" s="133"/>
      <c r="E253" s="133"/>
      <c r="F253" s="134"/>
      <c r="G253" s="135"/>
      <c r="H253" s="133"/>
      <c r="I253" s="135"/>
      <c r="J253" s="133"/>
      <c r="K253" s="133"/>
      <c r="L253" s="133"/>
      <c r="M253" s="134"/>
    </row>
    <row r="254" customFormat="false" ht="15" hidden="false" customHeight="false" outlineLevel="0" collapsed="false">
      <c r="A254" s="133"/>
      <c r="B254" s="133"/>
      <c r="C254" s="133"/>
      <c r="D254" s="133"/>
      <c r="E254" s="133"/>
      <c r="F254" s="134"/>
      <c r="G254" s="135"/>
      <c r="H254" s="133"/>
      <c r="I254" s="135"/>
      <c r="J254" s="133"/>
      <c r="K254" s="133"/>
      <c r="L254" s="133"/>
      <c r="M254" s="134"/>
    </row>
    <row r="255" customFormat="false" ht="15" hidden="false" customHeight="false" outlineLevel="0" collapsed="false">
      <c r="A255" s="133"/>
      <c r="B255" s="133"/>
      <c r="C255" s="133"/>
      <c r="D255" s="133"/>
      <c r="E255" s="133"/>
      <c r="F255" s="134"/>
      <c r="G255" s="135"/>
      <c r="H255" s="133"/>
      <c r="I255" s="135"/>
      <c r="J255" s="133"/>
      <c r="K255" s="133"/>
      <c r="L255" s="133"/>
      <c r="M255" s="134"/>
    </row>
    <row r="256" customFormat="false" ht="15" hidden="false" customHeight="false" outlineLevel="0" collapsed="false">
      <c r="A256" s="133"/>
      <c r="B256" s="133"/>
      <c r="C256" s="133"/>
      <c r="D256" s="133"/>
      <c r="E256" s="133"/>
      <c r="F256" s="134"/>
      <c r="G256" s="135"/>
      <c r="H256" s="133"/>
      <c r="I256" s="135"/>
      <c r="J256" s="133"/>
      <c r="K256" s="133"/>
      <c r="L256" s="133"/>
      <c r="M256" s="134"/>
    </row>
    <row r="257" customFormat="false" ht="15" hidden="false" customHeight="false" outlineLevel="0" collapsed="false">
      <c r="A257" s="133"/>
      <c r="B257" s="133"/>
      <c r="C257" s="133"/>
      <c r="D257" s="133"/>
      <c r="E257" s="133"/>
      <c r="F257" s="134"/>
      <c r="G257" s="135"/>
      <c r="H257" s="133"/>
      <c r="I257" s="135"/>
      <c r="J257" s="133"/>
      <c r="K257" s="133"/>
      <c r="L257" s="133"/>
      <c r="M257" s="134"/>
    </row>
    <row r="258" customFormat="false" ht="15" hidden="false" customHeight="false" outlineLevel="0" collapsed="false">
      <c r="A258" s="133"/>
      <c r="B258" s="133"/>
      <c r="C258" s="133"/>
      <c r="D258" s="133"/>
      <c r="E258" s="133"/>
      <c r="F258" s="134"/>
      <c r="G258" s="135"/>
      <c r="H258" s="133"/>
      <c r="I258" s="135"/>
      <c r="J258" s="133"/>
      <c r="K258" s="133"/>
      <c r="L258" s="133"/>
      <c r="M258" s="134"/>
    </row>
    <row r="259" customFormat="false" ht="15" hidden="false" customHeight="false" outlineLevel="0" collapsed="false">
      <c r="A259" s="133"/>
      <c r="B259" s="133"/>
      <c r="C259" s="133"/>
      <c r="D259" s="133"/>
      <c r="E259" s="133"/>
      <c r="F259" s="134"/>
      <c r="G259" s="135"/>
      <c r="H259" s="133"/>
      <c r="I259" s="135"/>
      <c r="J259" s="133"/>
      <c r="K259" s="133"/>
      <c r="L259" s="133"/>
      <c r="M259" s="134"/>
    </row>
    <row r="260" customFormat="false" ht="15" hidden="false" customHeight="false" outlineLevel="0" collapsed="false">
      <c r="A260" s="133"/>
      <c r="B260" s="133"/>
      <c r="C260" s="133"/>
      <c r="D260" s="133"/>
      <c r="E260" s="133"/>
      <c r="F260" s="134"/>
      <c r="G260" s="135"/>
      <c r="H260" s="133"/>
      <c r="I260" s="135"/>
      <c r="J260" s="133"/>
      <c r="K260" s="133"/>
      <c r="L260" s="133"/>
      <c r="M260" s="134"/>
    </row>
    <row r="261" customFormat="false" ht="15" hidden="false" customHeight="false" outlineLevel="0" collapsed="false">
      <c r="A261" s="133"/>
      <c r="B261" s="133"/>
      <c r="C261" s="133"/>
      <c r="D261" s="133"/>
      <c r="E261" s="133"/>
      <c r="F261" s="134"/>
      <c r="G261" s="135"/>
      <c r="H261" s="133"/>
      <c r="I261" s="135"/>
      <c r="J261" s="133"/>
      <c r="K261" s="133"/>
      <c r="L261" s="133"/>
      <c r="M261" s="134"/>
    </row>
    <row r="262" customFormat="false" ht="15" hidden="false" customHeight="false" outlineLevel="0" collapsed="false">
      <c r="A262" s="133"/>
      <c r="B262" s="133"/>
      <c r="C262" s="133"/>
      <c r="D262" s="133"/>
      <c r="E262" s="133"/>
      <c r="F262" s="134"/>
      <c r="G262" s="135"/>
      <c r="H262" s="133"/>
      <c r="I262" s="135"/>
      <c r="J262" s="133"/>
      <c r="K262" s="133"/>
      <c r="L262" s="133"/>
      <c r="M262" s="134"/>
    </row>
    <row r="263" customFormat="false" ht="15" hidden="false" customHeight="false" outlineLevel="0" collapsed="false">
      <c r="A263" s="133"/>
      <c r="B263" s="133"/>
      <c r="C263" s="133"/>
      <c r="D263" s="133"/>
      <c r="E263" s="133"/>
      <c r="F263" s="134"/>
      <c r="G263" s="135"/>
      <c r="H263" s="133"/>
      <c r="I263" s="135"/>
      <c r="J263" s="133"/>
      <c r="K263" s="133"/>
      <c r="L263" s="133"/>
      <c r="M263" s="134"/>
    </row>
    <row r="264" customFormat="false" ht="15" hidden="false" customHeight="false" outlineLevel="0" collapsed="false">
      <c r="A264" s="133"/>
      <c r="B264" s="133"/>
      <c r="C264" s="133"/>
      <c r="D264" s="133"/>
      <c r="E264" s="133"/>
      <c r="F264" s="134"/>
      <c r="G264" s="135"/>
      <c r="H264" s="133"/>
      <c r="I264" s="135"/>
      <c r="J264" s="133"/>
      <c r="K264" s="133"/>
      <c r="L264" s="133"/>
      <c r="M264" s="134"/>
    </row>
    <row r="265" customFormat="false" ht="15" hidden="false" customHeight="false" outlineLevel="0" collapsed="false">
      <c r="A265" s="133"/>
      <c r="B265" s="133"/>
      <c r="C265" s="133"/>
      <c r="D265" s="133"/>
      <c r="E265" s="133"/>
      <c r="F265" s="134"/>
      <c r="G265" s="135"/>
      <c r="H265" s="133"/>
      <c r="I265" s="135"/>
      <c r="J265" s="133"/>
      <c r="K265" s="133"/>
      <c r="L265" s="133"/>
      <c r="M265" s="134"/>
    </row>
    <row r="266" customFormat="false" ht="15" hidden="false" customHeight="false" outlineLevel="0" collapsed="false">
      <c r="A266" s="133"/>
      <c r="B266" s="133"/>
      <c r="C266" s="133"/>
      <c r="D266" s="133"/>
      <c r="E266" s="133"/>
      <c r="F266" s="134"/>
      <c r="G266" s="135"/>
      <c r="H266" s="133"/>
      <c r="I266" s="135"/>
      <c r="J266" s="133"/>
      <c r="K266" s="133"/>
      <c r="L266" s="133"/>
      <c r="M266" s="134"/>
    </row>
    <row r="267" customFormat="false" ht="15" hidden="false" customHeight="false" outlineLevel="0" collapsed="false">
      <c r="A267" s="133"/>
      <c r="B267" s="133"/>
      <c r="C267" s="133"/>
      <c r="D267" s="133"/>
      <c r="E267" s="133"/>
      <c r="F267" s="134"/>
      <c r="G267" s="135"/>
      <c r="H267" s="133"/>
      <c r="I267" s="135"/>
      <c r="J267" s="133"/>
      <c r="K267" s="133"/>
      <c r="L267" s="133"/>
      <c r="M267" s="134"/>
    </row>
    <row r="268" customFormat="false" ht="15" hidden="false" customHeight="false" outlineLevel="0" collapsed="false">
      <c r="A268" s="133"/>
      <c r="B268" s="133"/>
      <c r="C268" s="133"/>
      <c r="D268" s="133"/>
      <c r="E268" s="133"/>
      <c r="F268" s="134"/>
      <c r="G268" s="135"/>
      <c r="H268" s="133"/>
      <c r="I268" s="135"/>
      <c r="J268" s="133"/>
      <c r="K268" s="133"/>
      <c r="L268" s="133"/>
      <c r="M268" s="134"/>
    </row>
    <row r="269" customFormat="false" ht="15" hidden="false" customHeight="false" outlineLevel="0" collapsed="false">
      <c r="A269" s="133"/>
      <c r="B269" s="133"/>
      <c r="C269" s="133"/>
      <c r="D269" s="133"/>
      <c r="E269" s="133"/>
      <c r="F269" s="134"/>
      <c r="G269" s="135"/>
      <c r="H269" s="133"/>
      <c r="I269" s="135"/>
      <c r="J269" s="133"/>
      <c r="K269" s="133"/>
      <c r="L269" s="133"/>
      <c r="M269" s="134"/>
    </row>
    <row r="270" customFormat="false" ht="15" hidden="false" customHeight="false" outlineLevel="0" collapsed="false">
      <c r="A270" s="133"/>
      <c r="B270" s="133"/>
      <c r="C270" s="133"/>
      <c r="D270" s="133"/>
      <c r="E270" s="133"/>
      <c r="F270" s="134"/>
      <c r="G270" s="135"/>
      <c r="H270" s="133"/>
      <c r="I270" s="135"/>
      <c r="J270" s="133"/>
      <c r="K270" s="133"/>
      <c r="L270" s="133"/>
      <c r="M270" s="134"/>
    </row>
    <row r="271" customFormat="false" ht="15" hidden="false" customHeight="false" outlineLevel="0" collapsed="false">
      <c r="A271" s="133"/>
      <c r="B271" s="133"/>
      <c r="C271" s="133"/>
      <c r="D271" s="133"/>
      <c r="E271" s="133"/>
      <c r="F271" s="134"/>
      <c r="G271" s="135"/>
      <c r="H271" s="133"/>
      <c r="I271" s="135"/>
      <c r="J271" s="133"/>
      <c r="K271" s="133"/>
      <c r="L271" s="133"/>
      <c r="M271" s="134"/>
    </row>
    <row r="272" customFormat="false" ht="15" hidden="false" customHeight="false" outlineLevel="0" collapsed="false">
      <c r="A272" s="133"/>
      <c r="B272" s="133"/>
      <c r="C272" s="133"/>
      <c r="D272" s="133"/>
      <c r="E272" s="133"/>
      <c r="F272" s="134"/>
      <c r="G272" s="135"/>
      <c r="H272" s="133"/>
      <c r="I272" s="135"/>
      <c r="J272" s="133"/>
      <c r="K272" s="133"/>
      <c r="L272" s="133"/>
      <c r="M272" s="134"/>
    </row>
    <row r="273" customFormat="false" ht="15" hidden="false" customHeight="false" outlineLevel="0" collapsed="false">
      <c r="A273" s="133"/>
      <c r="B273" s="133"/>
      <c r="C273" s="133"/>
      <c r="D273" s="133"/>
      <c r="E273" s="133"/>
      <c r="F273" s="134"/>
      <c r="G273" s="135"/>
      <c r="H273" s="133"/>
      <c r="I273" s="135"/>
      <c r="J273" s="133"/>
      <c r="K273" s="133"/>
      <c r="L273" s="133"/>
      <c r="M273" s="134"/>
    </row>
    <row r="274" customFormat="false" ht="15" hidden="false" customHeight="false" outlineLevel="0" collapsed="false">
      <c r="A274" s="133"/>
      <c r="B274" s="133"/>
      <c r="C274" s="133"/>
      <c r="D274" s="133"/>
      <c r="E274" s="133"/>
      <c r="F274" s="134"/>
      <c r="G274" s="135"/>
      <c r="H274" s="133"/>
      <c r="I274" s="135"/>
      <c r="J274" s="133"/>
      <c r="K274" s="133"/>
      <c r="L274" s="133"/>
      <c r="M274" s="134"/>
    </row>
    <row r="275" customFormat="false" ht="15" hidden="false" customHeight="false" outlineLevel="0" collapsed="false">
      <c r="A275" s="133"/>
      <c r="B275" s="133"/>
      <c r="C275" s="133"/>
      <c r="D275" s="133"/>
      <c r="E275" s="133"/>
      <c r="F275" s="134"/>
      <c r="G275" s="135"/>
      <c r="H275" s="133"/>
      <c r="I275" s="135"/>
      <c r="J275" s="133"/>
      <c r="K275" s="133"/>
      <c r="L275" s="133"/>
      <c r="M275" s="134"/>
    </row>
    <row r="276" customFormat="false" ht="15" hidden="false" customHeight="false" outlineLevel="0" collapsed="false">
      <c r="A276" s="133"/>
      <c r="B276" s="133"/>
      <c r="C276" s="133"/>
      <c r="D276" s="133"/>
      <c r="E276" s="133"/>
      <c r="F276" s="134"/>
      <c r="G276" s="135"/>
      <c r="H276" s="133"/>
      <c r="I276" s="135"/>
      <c r="J276" s="133"/>
      <c r="K276" s="133"/>
      <c r="L276" s="133"/>
      <c r="M276" s="134"/>
    </row>
    <row r="277" customFormat="false" ht="15" hidden="false" customHeight="false" outlineLevel="0" collapsed="false">
      <c r="A277" s="133"/>
      <c r="B277" s="133"/>
      <c r="C277" s="133"/>
      <c r="D277" s="133"/>
      <c r="E277" s="133"/>
      <c r="F277" s="134"/>
      <c r="G277" s="135"/>
      <c r="H277" s="133"/>
      <c r="I277" s="135"/>
      <c r="J277" s="133"/>
      <c r="K277" s="133"/>
      <c r="L277" s="133"/>
      <c r="M277" s="134"/>
    </row>
    <row r="278" customFormat="false" ht="15" hidden="false" customHeight="false" outlineLevel="0" collapsed="false">
      <c r="A278" s="133"/>
      <c r="B278" s="133"/>
      <c r="C278" s="133"/>
      <c r="D278" s="133"/>
      <c r="E278" s="133"/>
      <c r="F278" s="134"/>
      <c r="G278" s="135"/>
      <c r="H278" s="133"/>
      <c r="I278" s="135"/>
      <c r="J278" s="133"/>
      <c r="K278" s="133"/>
      <c r="L278" s="133"/>
      <c r="M278" s="134"/>
    </row>
    <row r="279" customFormat="false" ht="15" hidden="false" customHeight="false" outlineLevel="0" collapsed="false">
      <c r="A279" s="133"/>
      <c r="B279" s="133"/>
      <c r="C279" s="133"/>
      <c r="D279" s="133"/>
      <c r="E279" s="133"/>
      <c r="F279" s="134"/>
      <c r="G279" s="135"/>
      <c r="H279" s="133"/>
      <c r="I279" s="135"/>
      <c r="J279" s="133"/>
      <c r="K279" s="133"/>
      <c r="L279" s="133"/>
      <c r="M279" s="134"/>
    </row>
    <row r="280" customFormat="false" ht="15" hidden="false" customHeight="false" outlineLevel="0" collapsed="false">
      <c r="A280" s="133"/>
      <c r="B280" s="133"/>
      <c r="C280" s="133"/>
      <c r="D280" s="133"/>
      <c r="E280" s="133"/>
      <c r="F280" s="134"/>
      <c r="G280" s="135"/>
      <c r="H280" s="133"/>
      <c r="I280" s="135"/>
      <c r="J280" s="133"/>
      <c r="K280" s="133"/>
      <c r="L280" s="133"/>
      <c r="M280" s="134"/>
    </row>
    <row r="281" customFormat="false" ht="15" hidden="false" customHeight="false" outlineLevel="0" collapsed="false">
      <c r="A281" s="133"/>
      <c r="B281" s="133"/>
      <c r="C281" s="133"/>
      <c r="D281" s="133"/>
      <c r="E281" s="133"/>
      <c r="F281" s="134"/>
      <c r="G281" s="135"/>
      <c r="H281" s="133"/>
      <c r="I281" s="135"/>
      <c r="J281" s="133"/>
      <c r="K281" s="133"/>
      <c r="L281" s="133"/>
      <c r="M281" s="134"/>
    </row>
    <row r="282" customFormat="false" ht="15" hidden="false" customHeight="false" outlineLevel="0" collapsed="false">
      <c r="A282" s="133"/>
      <c r="B282" s="133"/>
      <c r="C282" s="133"/>
      <c r="D282" s="133"/>
      <c r="E282" s="133"/>
      <c r="F282" s="134"/>
      <c r="G282" s="135"/>
      <c r="H282" s="133"/>
      <c r="I282" s="135"/>
      <c r="J282" s="133"/>
      <c r="K282" s="133"/>
      <c r="L282" s="133"/>
      <c r="M282" s="134"/>
    </row>
    <row r="283" customFormat="false" ht="15" hidden="false" customHeight="false" outlineLevel="0" collapsed="false">
      <c r="A283" s="133"/>
      <c r="B283" s="133"/>
      <c r="C283" s="133"/>
      <c r="D283" s="133"/>
      <c r="E283" s="133"/>
      <c r="F283" s="134"/>
      <c r="G283" s="135"/>
      <c r="H283" s="133"/>
      <c r="I283" s="135"/>
      <c r="J283" s="133"/>
      <c r="K283" s="133"/>
      <c r="L283" s="133"/>
      <c r="M283" s="134"/>
    </row>
    <row r="284" customFormat="false" ht="15" hidden="false" customHeight="false" outlineLevel="0" collapsed="false">
      <c r="A284" s="133"/>
      <c r="B284" s="133"/>
      <c r="C284" s="133"/>
      <c r="D284" s="133"/>
      <c r="E284" s="133"/>
      <c r="F284" s="134"/>
      <c r="G284" s="135"/>
      <c r="H284" s="133"/>
      <c r="I284" s="135"/>
      <c r="J284" s="133"/>
      <c r="K284" s="133"/>
      <c r="L284" s="133"/>
      <c r="M284" s="134"/>
    </row>
    <row r="285" customFormat="false" ht="15" hidden="false" customHeight="false" outlineLevel="0" collapsed="false">
      <c r="A285" s="133"/>
      <c r="B285" s="133"/>
      <c r="C285" s="133"/>
      <c r="D285" s="133"/>
      <c r="E285" s="133"/>
      <c r="F285" s="134"/>
      <c r="G285" s="135"/>
      <c r="H285" s="133"/>
      <c r="I285" s="135"/>
      <c r="J285" s="133"/>
      <c r="K285" s="133"/>
      <c r="L285" s="133"/>
      <c r="M285" s="134"/>
    </row>
    <row r="286" customFormat="false" ht="15" hidden="false" customHeight="false" outlineLevel="0" collapsed="false">
      <c r="A286" s="133"/>
      <c r="B286" s="133"/>
      <c r="C286" s="133"/>
      <c r="D286" s="133"/>
      <c r="E286" s="133"/>
      <c r="F286" s="134"/>
      <c r="G286" s="135"/>
      <c r="H286" s="133"/>
      <c r="I286" s="135"/>
      <c r="J286" s="133"/>
      <c r="K286" s="133"/>
      <c r="L286" s="133"/>
      <c r="M286" s="134"/>
    </row>
    <row r="287" customFormat="false" ht="15" hidden="false" customHeight="false" outlineLevel="0" collapsed="false">
      <c r="A287" s="133"/>
      <c r="B287" s="133"/>
      <c r="C287" s="133"/>
      <c r="D287" s="133"/>
      <c r="E287" s="133"/>
      <c r="F287" s="134"/>
      <c r="G287" s="135"/>
      <c r="H287" s="133"/>
      <c r="I287" s="135"/>
      <c r="J287" s="133"/>
      <c r="K287" s="133"/>
      <c r="L287" s="133"/>
      <c r="M287" s="134"/>
    </row>
    <row r="288" customFormat="false" ht="15" hidden="false" customHeight="false" outlineLevel="0" collapsed="false">
      <c r="A288" s="133"/>
      <c r="B288" s="133"/>
      <c r="C288" s="133"/>
      <c r="D288" s="133"/>
      <c r="E288" s="133"/>
      <c r="F288" s="134"/>
      <c r="G288" s="135"/>
      <c r="H288" s="133"/>
      <c r="I288" s="135"/>
      <c r="J288" s="133"/>
      <c r="K288" s="133"/>
      <c r="L288" s="133"/>
      <c r="M288" s="134"/>
    </row>
    <row r="289" customFormat="false" ht="15" hidden="false" customHeight="false" outlineLevel="0" collapsed="false">
      <c r="A289" s="133"/>
      <c r="B289" s="133"/>
      <c r="C289" s="133"/>
      <c r="D289" s="133"/>
      <c r="E289" s="133"/>
      <c r="F289" s="134"/>
      <c r="G289" s="135"/>
      <c r="H289" s="133"/>
      <c r="I289" s="135"/>
      <c r="J289" s="133"/>
      <c r="K289" s="133"/>
      <c r="L289" s="133"/>
      <c r="M289" s="134"/>
    </row>
    <row r="290" customFormat="false" ht="15" hidden="false" customHeight="false" outlineLevel="0" collapsed="false">
      <c r="A290" s="133"/>
      <c r="B290" s="133"/>
      <c r="C290" s="133"/>
      <c r="D290" s="133"/>
      <c r="E290" s="133"/>
      <c r="F290" s="134"/>
      <c r="G290" s="135"/>
      <c r="H290" s="133"/>
      <c r="I290" s="135"/>
      <c r="J290" s="133"/>
      <c r="K290" s="133"/>
      <c r="L290" s="133"/>
      <c r="M290" s="134"/>
    </row>
    <row r="291" customFormat="false" ht="15" hidden="false" customHeight="false" outlineLevel="0" collapsed="false">
      <c r="A291" s="133"/>
      <c r="B291" s="133"/>
      <c r="C291" s="133"/>
      <c r="D291" s="133"/>
      <c r="E291" s="133"/>
      <c r="F291" s="134"/>
      <c r="G291" s="135"/>
      <c r="H291" s="133"/>
      <c r="I291" s="135"/>
      <c r="J291" s="133"/>
      <c r="K291" s="133"/>
      <c r="L291" s="133"/>
      <c r="M291" s="134"/>
    </row>
    <row r="292" customFormat="false" ht="15" hidden="false" customHeight="false" outlineLevel="0" collapsed="false">
      <c r="A292" s="133"/>
      <c r="B292" s="133"/>
      <c r="C292" s="133"/>
      <c r="D292" s="133"/>
      <c r="E292" s="133"/>
      <c r="F292" s="134"/>
      <c r="G292" s="135"/>
      <c r="H292" s="133"/>
      <c r="I292" s="135"/>
      <c r="J292" s="133"/>
      <c r="K292" s="133"/>
      <c r="L292" s="133"/>
      <c r="M292" s="134"/>
    </row>
    <row r="293" customFormat="false" ht="15" hidden="false" customHeight="false" outlineLevel="0" collapsed="false">
      <c r="A293" s="133"/>
      <c r="B293" s="133"/>
      <c r="C293" s="133"/>
      <c r="D293" s="133"/>
      <c r="E293" s="133"/>
      <c r="F293" s="134"/>
      <c r="G293" s="135"/>
      <c r="H293" s="133"/>
      <c r="I293" s="135"/>
      <c r="J293" s="133"/>
      <c r="K293" s="133"/>
      <c r="L293" s="133"/>
      <c r="M293" s="134"/>
    </row>
    <row r="294" customFormat="false" ht="15" hidden="false" customHeight="false" outlineLevel="0" collapsed="false">
      <c r="A294" s="133"/>
      <c r="B294" s="133"/>
      <c r="C294" s="133"/>
      <c r="D294" s="133"/>
      <c r="E294" s="133"/>
      <c r="F294" s="134"/>
      <c r="G294" s="135"/>
      <c r="H294" s="133"/>
      <c r="I294" s="135"/>
      <c r="J294" s="133"/>
      <c r="K294" s="133"/>
      <c r="L294" s="133"/>
      <c r="M294" s="134"/>
    </row>
    <row r="295" customFormat="false" ht="15" hidden="false" customHeight="false" outlineLevel="0" collapsed="false">
      <c r="A295" s="133"/>
      <c r="B295" s="133"/>
      <c r="C295" s="133"/>
      <c r="D295" s="133"/>
      <c r="E295" s="133"/>
      <c r="F295" s="134"/>
      <c r="G295" s="135"/>
      <c r="H295" s="133"/>
      <c r="I295" s="135"/>
      <c r="J295" s="133"/>
      <c r="K295" s="133"/>
      <c r="L295" s="133"/>
      <c r="M295" s="134"/>
    </row>
    <row r="296" customFormat="false" ht="15" hidden="false" customHeight="false" outlineLevel="0" collapsed="false">
      <c r="A296" s="133"/>
      <c r="B296" s="133"/>
      <c r="C296" s="133"/>
      <c r="D296" s="133"/>
      <c r="E296" s="133"/>
      <c r="F296" s="134"/>
      <c r="G296" s="135"/>
      <c r="H296" s="133"/>
      <c r="I296" s="135"/>
      <c r="J296" s="133"/>
      <c r="K296" s="133"/>
      <c r="L296" s="133"/>
      <c r="M296" s="134"/>
    </row>
    <row r="297" customFormat="false" ht="15" hidden="false" customHeight="false" outlineLevel="0" collapsed="false">
      <c r="A297" s="133"/>
      <c r="B297" s="133"/>
      <c r="C297" s="133"/>
      <c r="D297" s="133"/>
      <c r="E297" s="133"/>
      <c r="F297" s="134"/>
      <c r="G297" s="135"/>
      <c r="H297" s="133"/>
      <c r="I297" s="135"/>
      <c r="J297" s="133"/>
      <c r="K297" s="133"/>
      <c r="L297" s="133"/>
      <c r="M297" s="134"/>
    </row>
    <row r="298" customFormat="false" ht="15" hidden="false" customHeight="false" outlineLevel="0" collapsed="false">
      <c r="A298" s="133"/>
      <c r="B298" s="133"/>
      <c r="C298" s="133"/>
      <c r="D298" s="133"/>
      <c r="E298" s="133"/>
      <c r="F298" s="134"/>
      <c r="G298" s="135"/>
      <c r="H298" s="133"/>
      <c r="I298" s="135"/>
      <c r="J298" s="133"/>
      <c r="K298" s="133"/>
      <c r="L298" s="133"/>
      <c r="M298" s="134"/>
    </row>
    <row r="299" customFormat="false" ht="15" hidden="false" customHeight="false" outlineLevel="0" collapsed="false">
      <c r="A299" s="133"/>
      <c r="B299" s="133"/>
      <c r="C299" s="133"/>
      <c r="D299" s="133"/>
      <c r="E299" s="133"/>
      <c r="F299" s="134"/>
      <c r="G299" s="135"/>
      <c r="H299" s="133"/>
      <c r="I299" s="135"/>
      <c r="J299" s="133"/>
      <c r="K299" s="133"/>
      <c r="L299" s="133"/>
      <c r="M299" s="134"/>
    </row>
    <row r="300" customFormat="false" ht="15" hidden="false" customHeight="false" outlineLevel="0" collapsed="false">
      <c r="A300" s="133"/>
      <c r="B300" s="133"/>
      <c r="C300" s="133"/>
      <c r="D300" s="133"/>
      <c r="E300" s="133"/>
      <c r="F300" s="134"/>
      <c r="G300" s="135"/>
      <c r="H300" s="133"/>
      <c r="I300" s="135"/>
      <c r="J300" s="133"/>
      <c r="K300" s="133"/>
      <c r="L300" s="133"/>
      <c r="M300" s="134"/>
    </row>
    <row r="301" customFormat="false" ht="15" hidden="false" customHeight="false" outlineLevel="0" collapsed="false">
      <c r="A301" s="133"/>
      <c r="B301" s="133"/>
      <c r="C301" s="133"/>
      <c r="D301" s="133"/>
      <c r="E301" s="133"/>
      <c r="F301" s="134"/>
      <c r="G301" s="135"/>
      <c r="H301" s="133"/>
      <c r="I301" s="135"/>
      <c r="J301" s="133"/>
      <c r="K301" s="133"/>
      <c r="L301" s="133"/>
      <c r="M301" s="134"/>
    </row>
    <row r="302" customFormat="false" ht="15" hidden="false" customHeight="false" outlineLevel="0" collapsed="false">
      <c r="A302" s="133"/>
      <c r="B302" s="133"/>
      <c r="C302" s="133"/>
      <c r="D302" s="133"/>
      <c r="E302" s="133"/>
      <c r="F302" s="134"/>
      <c r="G302" s="135"/>
      <c r="H302" s="133"/>
      <c r="I302" s="135"/>
      <c r="J302" s="133"/>
      <c r="K302" s="133"/>
      <c r="L302" s="133"/>
      <c r="M302" s="134"/>
    </row>
    <row r="303" customFormat="false" ht="15" hidden="false" customHeight="false" outlineLevel="0" collapsed="false">
      <c r="A303" s="133"/>
      <c r="B303" s="133"/>
      <c r="C303" s="133"/>
      <c r="D303" s="133"/>
      <c r="E303" s="133"/>
      <c r="F303" s="134"/>
      <c r="G303" s="135"/>
      <c r="H303" s="133"/>
      <c r="I303" s="135"/>
      <c r="J303" s="133"/>
      <c r="K303" s="133"/>
      <c r="L303" s="133"/>
      <c r="M303" s="134"/>
    </row>
    <row r="304" customFormat="false" ht="15" hidden="false" customHeight="false" outlineLevel="0" collapsed="false">
      <c r="A304" s="133"/>
      <c r="B304" s="133"/>
      <c r="C304" s="133"/>
      <c r="D304" s="133"/>
      <c r="E304" s="133"/>
      <c r="F304" s="134"/>
      <c r="G304" s="135"/>
      <c r="H304" s="133"/>
      <c r="I304" s="135"/>
      <c r="J304" s="133"/>
      <c r="K304" s="133"/>
      <c r="L304" s="133"/>
      <c r="M304" s="134"/>
    </row>
    <row r="305" customFormat="false" ht="15" hidden="false" customHeight="false" outlineLevel="0" collapsed="false">
      <c r="A305" s="133"/>
      <c r="B305" s="133"/>
      <c r="C305" s="133"/>
      <c r="D305" s="133"/>
      <c r="E305" s="133"/>
      <c r="F305" s="134"/>
      <c r="G305" s="135"/>
      <c r="H305" s="133"/>
      <c r="I305" s="135"/>
      <c r="J305" s="133"/>
      <c r="K305" s="133"/>
      <c r="L305" s="133"/>
      <c r="M305" s="134"/>
    </row>
    <row r="306" customFormat="false" ht="15" hidden="false" customHeight="false" outlineLevel="0" collapsed="false">
      <c r="A306" s="133"/>
      <c r="B306" s="133"/>
      <c r="C306" s="133"/>
      <c r="D306" s="133"/>
      <c r="E306" s="133"/>
      <c r="F306" s="134"/>
      <c r="G306" s="135"/>
      <c r="H306" s="133"/>
      <c r="I306" s="135"/>
      <c r="J306" s="133"/>
      <c r="K306" s="133"/>
      <c r="L306" s="133"/>
      <c r="M306" s="134"/>
    </row>
    <row r="307" customFormat="false" ht="15" hidden="false" customHeight="false" outlineLevel="0" collapsed="false">
      <c r="A307" s="133"/>
      <c r="B307" s="133"/>
      <c r="C307" s="133"/>
      <c r="D307" s="133"/>
      <c r="E307" s="133"/>
      <c r="F307" s="134"/>
      <c r="G307" s="135"/>
      <c r="H307" s="133"/>
      <c r="I307" s="135"/>
      <c r="J307" s="133"/>
      <c r="K307" s="133"/>
      <c r="L307" s="133"/>
      <c r="M307" s="134"/>
    </row>
    <row r="308" customFormat="false" ht="15" hidden="false" customHeight="false" outlineLevel="0" collapsed="false">
      <c r="A308" s="133"/>
      <c r="B308" s="133"/>
      <c r="C308" s="133"/>
      <c r="D308" s="133"/>
      <c r="E308" s="133"/>
      <c r="F308" s="134"/>
      <c r="G308" s="135"/>
      <c r="H308" s="133"/>
      <c r="I308" s="135"/>
      <c r="J308" s="133"/>
      <c r="K308" s="133"/>
      <c r="L308" s="133"/>
      <c r="M308" s="134"/>
    </row>
    <row r="309" customFormat="false" ht="15" hidden="false" customHeight="false" outlineLevel="0" collapsed="false">
      <c r="A309" s="133"/>
      <c r="B309" s="133"/>
      <c r="C309" s="133"/>
      <c r="D309" s="133"/>
      <c r="E309" s="133"/>
      <c r="F309" s="134"/>
      <c r="G309" s="135"/>
      <c r="H309" s="133"/>
      <c r="I309" s="135"/>
      <c r="J309" s="133"/>
      <c r="K309" s="133"/>
      <c r="L309" s="133"/>
      <c r="M309" s="134"/>
    </row>
    <row r="310" customFormat="false" ht="15" hidden="false" customHeight="false" outlineLevel="0" collapsed="false">
      <c r="A310" s="133"/>
      <c r="B310" s="133"/>
      <c r="C310" s="133"/>
      <c r="D310" s="133"/>
      <c r="E310" s="133"/>
      <c r="F310" s="134"/>
      <c r="G310" s="135"/>
      <c r="H310" s="133"/>
      <c r="I310" s="135"/>
      <c r="J310" s="133"/>
      <c r="K310" s="133"/>
      <c r="L310" s="133"/>
      <c r="M310" s="134"/>
    </row>
    <row r="311" customFormat="false" ht="15" hidden="false" customHeight="false" outlineLevel="0" collapsed="false">
      <c r="A311" s="133"/>
      <c r="B311" s="133"/>
      <c r="C311" s="133"/>
      <c r="D311" s="133"/>
      <c r="E311" s="133"/>
      <c r="F311" s="134"/>
      <c r="G311" s="135"/>
      <c r="H311" s="133"/>
      <c r="I311" s="135"/>
      <c r="J311" s="133"/>
      <c r="K311" s="133"/>
      <c r="L311" s="133"/>
      <c r="M311" s="134"/>
    </row>
    <row r="312" customFormat="false" ht="15" hidden="false" customHeight="false" outlineLevel="0" collapsed="false">
      <c r="A312" s="133"/>
      <c r="B312" s="133"/>
      <c r="C312" s="133"/>
      <c r="D312" s="133"/>
      <c r="E312" s="133"/>
      <c r="F312" s="134"/>
      <c r="G312" s="135"/>
      <c r="H312" s="133"/>
      <c r="I312" s="135"/>
      <c r="J312" s="133"/>
      <c r="K312" s="133"/>
      <c r="L312" s="133"/>
      <c r="M312" s="134"/>
    </row>
    <row r="313" customFormat="false" ht="15" hidden="false" customHeight="false" outlineLevel="0" collapsed="false">
      <c r="A313" s="133"/>
      <c r="B313" s="133"/>
      <c r="C313" s="133"/>
      <c r="D313" s="133"/>
      <c r="E313" s="133"/>
      <c r="F313" s="134"/>
      <c r="G313" s="135"/>
      <c r="H313" s="133"/>
      <c r="I313" s="135"/>
      <c r="J313" s="133"/>
      <c r="K313" s="133"/>
      <c r="L313" s="133"/>
      <c r="M313" s="134"/>
    </row>
    <row r="314" customFormat="false" ht="15" hidden="false" customHeight="false" outlineLevel="0" collapsed="false">
      <c r="A314" s="133"/>
      <c r="B314" s="133"/>
      <c r="C314" s="133"/>
      <c r="D314" s="133"/>
      <c r="E314" s="133"/>
      <c r="F314" s="134"/>
      <c r="G314" s="135"/>
      <c r="H314" s="133"/>
      <c r="I314" s="135"/>
      <c r="J314" s="133"/>
      <c r="K314" s="133"/>
      <c r="L314" s="133"/>
      <c r="M314" s="134"/>
    </row>
    <row r="315" customFormat="false" ht="15" hidden="false" customHeight="false" outlineLevel="0" collapsed="false">
      <c r="A315" s="133"/>
      <c r="B315" s="133"/>
      <c r="C315" s="133"/>
      <c r="D315" s="133"/>
      <c r="E315" s="133"/>
      <c r="F315" s="134"/>
      <c r="G315" s="135"/>
      <c r="H315" s="133"/>
      <c r="I315" s="135"/>
      <c r="J315" s="133"/>
      <c r="K315" s="133"/>
      <c r="L315" s="133"/>
      <c r="M315" s="134"/>
    </row>
    <row r="316" customFormat="false" ht="15" hidden="false" customHeight="false" outlineLevel="0" collapsed="false">
      <c r="A316" s="133"/>
      <c r="B316" s="133"/>
      <c r="C316" s="133"/>
      <c r="D316" s="133"/>
      <c r="E316" s="133"/>
      <c r="F316" s="134"/>
      <c r="G316" s="135"/>
      <c r="H316" s="133"/>
      <c r="I316" s="135"/>
      <c r="J316" s="133"/>
      <c r="K316" s="133"/>
      <c r="L316" s="133"/>
      <c r="M316" s="134"/>
    </row>
    <row r="317" customFormat="false" ht="15" hidden="false" customHeight="false" outlineLevel="0" collapsed="false">
      <c r="A317" s="133"/>
      <c r="B317" s="133"/>
      <c r="C317" s="133"/>
      <c r="D317" s="133"/>
      <c r="E317" s="133"/>
      <c r="F317" s="134"/>
      <c r="G317" s="135"/>
      <c r="H317" s="133"/>
      <c r="I317" s="135"/>
      <c r="J317" s="133"/>
      <c r="K317" s="133"/>
      <c r="L317" s="133"/>
      <c r="M317" s="134"/>
    </row>
    <row r="318" customFormat="false" ht="15" hidden="false" customHeight="false" outlineLevel="0" collapsed="false">
      <c r="A318" s="133"/>
      <c r="B318" s="133"/>
      <c r="C318" s="133"/>
      <c r="D318" s="133"/>
      <c r="E318" s="133"/>
      <c r="F318" s="134"/>
      <c r="G318" s="135"/>
      <c r="H318" s="133"/>
      <c r="I318" s="135"/>
      <c r="J318" s="133"/>
      <c r="K318" s="133"/>
      <c r="L318" s="133"/>
      <c r="M318" s="134"/>
    </row>
    <row r="319" customFormat="false" ht="15" hidden="false" customHeight="false" outlineLevel="0" collapsed="false">
      <c r="A319" s="133"/>
      <c r="B319" s="133"/>
      <c r="C319" s="133"/>
      <c r="D319" s="133"/>
      <c r="E319" s="133"/>
      <c r="F319" s="134"/>
      <c r="G319" s="135"/>
      <c r="H319" s="133"/>
      <c r="I319" s="135"/>
      <c r="J319" s="133"/>
      <c r="K319" s="133"/>
      <c r="L319" s="133"/>
      <c r="M319" s="134"/>
    </row>
    <row r="320" customFormat="false" ht="15" hidden="false" customHeight="false" outlineLevel="0" collapsed="false">
      <c r="A320" s="133"/>
      <c r="B320" s="133"/>
      <c r="C320" s="133"/>
      <c r="D320" s="133"/>
      <c r="E320" s="133"/>
      <c r="F320" s="134"/>
      <c r="G320" s="135"/>
      <c r="H320" s="133"/>
      <c r="I320" s="135"/>
      <c r="J320" s="133"/>
      <c r="K320" s="133"/>
      <c r="L320" s="133"/>
      <c r="M320" s="134"/>
    </row>
    <row r="321" customFormat="false" ht="15" hidden="false" customHeight="false" outlineLevel="0" collapsed="false">
      <c r="A321" s="133"/>
      <c r="B321" s="133"/>
      <c r="C321" s="133"/>
      <c r="D321" s="133"/>
      <c r="E321" s="133"/>
      <c r="F321" s="134"/>
      <c r="G321" s="135"/>
      <c r="H321" s="133"/>
      <c r="I321" s="135"/>
      <c r="J321" s="133"/>
      <c r="K321" s="133"/>
      <c r="L321" s="133"/>
      <c r="M321" s="134"/>
    </row>
    <row r="322" customFormat="false" ht="15" hidden="false" customHeight="false" outlineLevel="0" collapsed="false">
      <c r="A322" s="133"/>
      <c r="B322" s="133"/>
      <c r="C322" s="133"/>
      <c r="D322" s="133"/>
      <c r="E322" s="133"/>
      <c r="F322" s="134"/>
      <c r="G322" s="135"/>
      <c r="H322" s="133"/>
      <c r="I322" s="135"/>
      <c r="J322" s="133"/>
      <c r="K322" s="133"/>
      <c r="L322" s="133"/>
      <c r="M322" s="134"/>
    </row>
    <row r="323" customFormat="false" ht="15" hidden="false" customHeight="false" outlineLevel="0" collapsed="false">
      <c r="A323" s="133"/>
      <c r="B323" s="133"/>
      <c r="C323" s="133"/>
      <c r="D323" s="133"/>
      <c r="E323" s="133"/>
      <c r="F323" s="134"/>
      <c r="G323" s="135"/>
      <c r="H323" s="133"/>
      <c r="I323" s="135"/>
      <c r="J323" s="133"/>
      <c r="K323" s="133"/>
      <c r="L323" s="133"/>
      <c r="M323" s="134"/>
    </row>
    <row r="324" customFormat="false" ht="15" hidden="false" customHeight="false" outlineLevel="0" collapsed="false">
      <c r="A324" s="133"/>
      <c r="B324" s="133"/>
      <c r="C324" s="133"/>
      <c r="D324" s="133"/>
      <c r="E324" s="133"/>
      <c r="F324" s="134"/>
      <c r="G324" s="135"/>
      <c r="H324" s="133"/>
      <c r="I324" s="135"/>
      <c r="J324" s="133"/>
      <c r="K324" s="133"/>
      <c r="L324" s="133"/>
      <c r="M324" s="134"/>
    </row>
    <row r="325" customFormat="false" ht="15" hidden="false" customHeight="false" outlineLevel="0" collapsed="false">
      <c r="A325" s="133"/>
      <c r="B325" s="133"/>
      <c r="C325" s="133"/>
      <c r="D325" s="133"/>
      <c r="E325" s="133"/>
      <c r="F325" s="134"/>
      <c r="G325" s="135"/>
      <c r="H325" s="133"/>
      <c r="I325" s="135"/>
      <c r="J325" s="133"/>
      <c r="K325" s="133"/>
      <c r="L325" s="133"/>
      <c r="M325" s="134"/>
    </row>
    <row r="326" customFormat="false" ht="15" hidden="false" customHeight="false" outlineLevel="0" collapsed="false">
      <c r="A326" s="133"/>
      <c r="B326" s="133"/>
      <c r="C326" s="133"/>
      <c r="D326" s="133"/>
      <c r="E326" s="133"/>
      <c r="F326" s="134"/>
      <c r="G326" s="135"/>
      <c r="H326" s="133"/>
      <c r="I326" s="135"/>
      <c r="J326" s="133"/>
      <c r="K326" s="133"/>
      <c r="L326" s="133"/>
      <c r="M326" s="134"/>
    </row>
    <row r="327" customFormat="false" ht="15" hidden="false" customHeight="false" outlineLevel="0" collapsed="false">
      <c r="A327" s="133"/>
      <c r="B327" s="133"/>
      <c r="C327" s="133"/>
      <c r="D327" s="133"/>
      <c r="E327" s="133"/>
      <c r="F327" s="134"/>
      <c r="G327" s="135"/>
      <c r="H327" s="133"/>
      <c r="I327" s="135"/>
      <c r="J327" s="133"/>
      <c r="K327" s="133"/>
      <c r="L327" s="133"/>
      <c r="M327" s="134"/>
    </row>
    <row r="328" customFormat="false" ht="15" hidden="false" customHeight="false" outlineLevel="0" collapsed="false">
      <c r="A328" s="133"/>
      <c r="B328" s="133"/>
      <c r="C328" s="133"/>
      <c r="D328" s="133"/>
      <c r="E328" s="133"/>
      <c r="F328" s="134"/>
      <c r="G328" s="135"/>
      <c r="H328" s="133"/>
      <c r="I328" s="135"/>
      <c r="J328" s="133"/>
      <c r="K328" s="133"/>
      <c r="L328" s="133"/>
      <c r="M328" s="134"/>
    </row>
    <row r="329" customFormat="false" ht="15" hidden="false" customHeight="false" outlineLevel="0" collapsed="false">
      <c r="A329" s="133"/>
      <c r="B329" s="133"/>
      <c r="C329" s="133"/>
      <c r="D329" s="133"/>
      <c r="E329" s="133"/>
      <c r="F329" s="134"/>
      <c r="G329" s="135"/>
      <c r="H329" s="133"/>
      <c r="I329" s="135"/>
      <c r="J329" s="133"/>
      <c r="K329" s="133"/>
      <c r="L329" s="133"/>
      <c r="M329" s="134"/>
    </row>
    <row r="330" customFormat="false" ht="15" hidden="false" customHeight="false" outlineLevel="0" collapsed="false">
      <c r="A330" s="133"/>
      <c r="B330" s="133"/>
      <c r="C330" s="133"/>
      <c r="D330" s="133"/>
      <c r="E330" s="133"/>
      <c r="F330" s="134"/>
      <c r="G330" s="135"/>
      <c r="H330" s="133"/>
      <c r="I330" s="135"/>
      <c r="J330" s="133"/>
      <c r="K330" s="133"/>
      <c r="L330" s="133"/>
      <c r="M330" s="134"/>
    </row>
    <row r="331" customFormat="false" ht="15" hidden="false" customHeight="false" outlineLevel="0" collapsed="false">
      <c r="A331" s="133"/>
      <c r="B331" s="133"/>
      <c r="C331" s="133"/>
      <c r="D331" s="133"/>
      <c r="E331" s="133"/>
      <c r="F331" s="134"/>
      <c r="G331" s="135"/>
      <c r="H331" s="133"/>
      <c r="I331" s="135"/>
      <c r="J331" s="133"/>
      <c r="K331" s="133"/>
      <c r="L331" s="133"/>
      <c r="M331" s="134"/>
    </row>
    <row r="332" customFormat="false" ht="15" hidden="false" customHeight="false" outlineLevel="0" collapsed="false">
      <c r="A332" s="133"/>
      <c r="B332" s="133"/>
      <c r="C332" s="133"/>
      <c r="D332" s="133"/>
      <c r="E332" s="133"/>
      <c r="F332" s="134"/>
      <c r="G332" s="135"/>
      <c r="H332" s="133"/>
      <c r="I332" s="135"/>
      <c r="J332" s="133"/>
      <c r="K332" s="133"/>
      <c r="L332" s="133"/>
      <c r="M332" s="134"/>
    </row>
    <row r="333" customFormat="false" ht="15" hidden="false" customHeight="false" outlineLevel="0" collapsed="false">
      <c r="A333" s="133"/>
      <c r="B333" s="133"/>
      <c r="C333" s="133"/>
      <c r="D333" s="133"/>
      <c r="E333" s="133"/>
      <c r="F333" s="134"/>
      <c r="G333" s="135"/>
      <c r="H333" s="133"/>
      <c r="I333" s="135"/>
      <c r="J333" s="133"/>
      <c r="K333" s="133"/>
      <c r="L333" s="133"/>
      <c r="M333" s="134"/>
    </row>
    <row r="334" customFormat="false" ht="15" hidden="false" customHeight="false" outlineLevel="0" collapsed="false">
      <c r="A334" s="133"/>
      <c r="B334" s="133"/>
      <c r="C334" s="133"/>
      <c r="D334" s="133"/>
      <c r="E334" s="133"/>
      <c r="F334" s="134"/>
      <c r="G334" s="135"/>
      <c r="H334" s="133"/>
      <c r="I334" s="135"/>
      <c r="J334" s="133"/>
      <c r="K334" s="133"/>
      <c r="L334" s="133"/>
      <c r="M334" s="134"/>
    </row>
    <row r="335" customFormat="false" ht="15" hidden="false" customHeight="false" outlineLevel="0" collapsed="false">
      <c r="A335" s="133"/>
      <c r="B335" s="133"/>
      <c r="C335" s="133"/>
      <c r="D335" s="133"/>
      <c r="E335" s="133"/>
      <c r="F335" s="134"/>
      <c r="G335" s="135"/>
      <c r="H335" s="133"/>
      <c r="I335" s="135"/>
      <c r="J335" s="133"/>
      <c r="K335" s="133"/>
      <c r="L335" s="133"/>
      <c r="M335" s="134"/>
    </row>
    <row r="336" customFormat="false" ht="15" hidden="false" customHeight="false" outlineLevel="0" collapsed="false">
      <c r="A336" s="133"/>
      <c r="B336" s="133"/>
      <c r="C336" s="133"/>
      <c r="D336" s="133"/>
      <c r="E336" s="133"/>
      <c r="F336" s="134"/>
      <c r="G336" s="135"/>
      <c r="H336" s="133"/>
      <c r="I336" s="135"/>
      <c r="J336" s="133"/>
      <c r="K336" s="133"/>
      <c r="L336" s="133"/>
      <c r="M336" s="134"/>
    </row>
    <row r="337" customFormat="false" ht="15" hidden="false" customHeight="false" outlineLevel="0" collapsed="false">
      <c r="A337" s="133"/>
      <c r="B337" s="133"/>
      <c r="C337" s="133"/>
      <c r="D337" s="133"/>
      <c r="E337" s="133"/>
      <c r="F337" s="134"/>
      <c r="G337" s="135"/>
      <c r="H337" s="133"/>
      <c r="I337" s="135"/>
      <c r="J337" s="133"/>
      <c r="K337" s="133"/>
      <c r="L337" s="133"/>
      <c r="M337" s="134"/>
    </row>
    <row r="338" customFormat="false" ht="15" hidden="false" customHeight="false" outlineLevel="0" collapsed="false">
      <c r="A338" s="133"/>
      <c r="B338" s="133"/>
      <c r="C338" s="133"/>
      <c r="D338" s="133"/>
      <c r="E338" s="133"/>
      <c r="F338" s="134"/>
      <c r="G338" s="135"/>
      <c r="H338" s="133"/>
      <c r="I338" s="135"/>
      <c r="J338" s="133"/>
      <c r="K338" s="133"/>
      <c r="L338" s="133"/>
      <c r="M338" s="134"/>
    </row>
    <row r="339" customFormat="false" ht="15" hidden="false" customHeight="false" outlineLevel="0" collapsed="false">
      <c r="A339" s="133"/>
      <c r="B339" s="133"/>
      <c r="C339" s="133"/>
      <c r="D339" s="133"/>
      <c r="E339" s="133"/>
      <c r="F339" s="134"/>
      <c r="G339" s="135"/>
      <c r="H339" s="133"/>
      <c r="I339" s="135"/>
      <c r="J339" s="133"/>
      <c r="K339" s="133"/>
      <c r="L339" s="133"/>
      <c r="M339" s="134"/>
    </row>
    <row r="340" customFormat="false" ht="15" hidden="false" customHeight="false" outlineLevel="0" collapsed="false">
      <c r="A340" s="133"/>
      <c r="B340" s="133"/>
      <c r="C340" s="133"/>
      <c r="D340" s="133"/>
      <c r="E340" s="133"/>
      <c r="F340" s="134"/>
      <c r="G340" s="135"/>
      <c r="H340" s="133"/>
      <c r="I340" s="135"/>
      <c r="J340" s="133"/>
      <c r="K340" s="133"/>
      <c r="L340" s="133"/>
      <c r="M340" s="134"/>
    </row>
    <row r="341" customFormat="false" ht="15" hidden="false" customHeight="false" outlineLevel="0" collapsed="false">
      <c r="A341" s="133"/>
      <c r="B341" s="133"/>
      <c r="C341" s="133"/>
      <c r="D341" s="133"/>
      <c r="E341" s="133"/>
      <c r="F341" s="134"/>
      <c r="G341" s="135"/>
      <c r="H341" s="133"/>
      <c r="I341" s="135"/>
      <c r="J341" s="133"/>
      <c r="K341" s="133"/>
      <c r="L341" s="133"/>
      <c r="M341" s="134"/>
    </row>
    <row r="342" customFormat="false" ht="15" hidden="false" customHeight="false" outlineLevel="0" collapsed="false">
      <c r="A342" s="133"/>
      <c r="B342" s="133"/>
      <c r="C342" s="133"/>
      <c r="D342" s="133"/>
      <c r="E342" s="133"/>
      <c r="F342" s="134"/>
      <c r="G342" s="135"/>
      <c r="H342" s="133"/>
      <c r="I342" s="135"/>
      <c r="J342" s="133"/>
      <c r="K342" s="133"/>
      <c r="L342" s="133"/>
      <c r="M342" s="134"/>
    </row>
    <row r="343" customFormat="false" ht="15" hidden="false" customHeight="false" outlineLevel="0" collapsed="false">
      <c r="A343" s="133"/>
      <c r="B343" s="133"/>
      <c r="C343" s="133"/>
      <c r="D343" s="133"/>
      <c r="E343" s="133"/>
      <c r="F343" s="134"/>
      <c r="G343" s="135"/>
      <c r="H343" s="133"/>
      <c r="I343" s="135"/>
      <c r="J343" s="133"/>
      <c r="K343" s="133"/>
      <c r="L343" s="133"/>
      <c r="M343" s="134"/>
    </row>
    <row r="344" customFormat="false" ht="15" hidden="false" customHeight="false" outlineLevel="0" collapsed="false">
      <c r="A344" s="133"/>
      <c r="B344" s="133"/>
      <c r="C344" s="133"/>
      <c r="D344" s="133"/>
      <c r="E344" s="133"/>
      <c r="F344" s="134"/>
      <c r="G344" s="135"/>
      <c r="H344" s="133"/>
      <c r="I344" s="135"/>
      <c r="J344" s="133"/>
      <c r="K344" s="133"/>
      <c r="L344" s="133"/>
      <c r="M344" s="134"/>
    </row>
    <row r="345" customFormat="false" ht="15" hidden="false" customHeight="false" outlineLevel="0" collapsed="false">
      <c r="A345" s="133"/>
      <c r="B345" s="133"/>
      <c r="C345" s="133"/>
      <c r="D345" s="133"/>
      <c r="E345" s="133"/>
      <c r="F345" s="134"/>
      <c r="G345" s="135"/>
      <c r="H345" s="133"/>
      <c r="I345" s="135"/>
      <c r="J345" s="133"/>
      <c r="K345" s="133"/>
      <c r="L345" s="133"/>
      <c r="M345" s="134"/>
    </row>
    <row r="346" customFormat="false" ht="15" hidden="false" customHeight="false" outlineLevel="0" collapsed="false">
      <c r="A346" s="133"/>
      <c r="B346" s="133"/>
      <c r="C346" s="133"/>
      <c r="D346" s="133"/>
      <c r="E346" s="133"/>
      <c r="F346" s="134"/>
      <c r="G346" s="135"/>
      <c r="H346" s="133"/>
      <c r="I346" s="135"/>
      <c r="J346" s="133"/>
      <c r="K346" s="133"/>
      <c r="L346" s="133"/>
      <c r="M346" s="134"/>
    </row>
    <row r="347" customFormat="false" ht="15" hidden="false" customHeight="false" outlineLevel="0" collapsed="false">
      <c r="A347" s="133"/>
      <c r="B347" s="133"/>
      <c r="C347" s="133"/>
      <c r="D347" s="133"/>
      <c r="E347" s="133"/>
      <c r="F347" s="134"/>
      <c r="G347" s="135"/>
      <c r="H347" s="133"/>
      <c r="I347" s="135"/>
      <c r="J347" s="133"/>
      <c r="K347" s="133"/>
      <c r="L347" s="133"/>
      <c r="M347" s="134"/>
    </row>
    <row r="348" customFormat="false" ht="15" hidden="false" customHeight="false" outlineLevel="0" collapsed="false">
      <c r="A348" s="133"/>
      <c r="B348" s="133"/>
      <c r="C348" s="133"/>
      <c r="D348" s="133"/>
      <c r="E348" s="133"/>
      <c r="F348" s="134"/>
      <c r="G348" s="135"/>
      <c r="H348" s="133"/>
      <c r="I348" s="135"/>
      <c r="J348" s="133"/>
      <c r="K348" s="133"/>
      <c r="L348" s="133"/>
      <c r="M348" s="134"/>
    </row>
    <row r="349" customFormat="false" ht="15" hidden="false" customHeight="false" outlineLevel="0" collapsed="false">
      <c r="A349" s="133"/>
      <c r="B349" s="133"/>
      <c r="C349" s="133"/>
      <c r="D349" s="133"/>
      <c r="E349" s="133"/>
      <c r="F349" s="134"/>
      <c r="G349" s="135"/>
      <c r="H349" s="133"/>
      <c r="I349" s="135"/>
      <c r="J349" s="133"/>
      <c r="K349" s="133"/>
      <c r="L349" s="133"/>
      <c r="M349" s="134"/>
    </row>
    <row r="350" customFormat="false" ht="15" hidden="false" customHeight="false" outlineLevel="0" collapsed="false">
      <c r="A350" s="133"/>
      <c r="B350" s="133"/>
      <c r="C350" s="133"/>
      <c r="D350" s="133"/>
      <c r="E350" s="133"/>
      <c r="F350" s="134"/>
      <c r="G350" s="135"/>
      <c r="H350" s="133"/>
      <c r="I350" s="135"/>
      <c r="J350" s="133"/>
      <c r="K350" s="133"/>
      <c r="L350" s="133"/>
      <c r="M350" s="134"/>
    </row>
    <row r="351" customFormat="false" ht="15" hidden="false" customHeight="false" outlineLevel="0" collapsed="false">
      <c r="A351" s="133"/>
      <c r="B351" s="133"/>
      <c r="C351" s="133"/>
      <c r="D351" s="133"/>
      <c r="E351" s="133"/>
      <c r="F351" s="134"/>
      <c r="G351" s="135"/>
      <c r="H351" s="133"/>
      <c r="I351" s="135"/>
      <c r="J351" s="133"/>
      <c r="K351" s="133"/>
      <c r="L351" s="133"/>
      <c r="M351" s="134"/>
    </row>
    <row r="352" customFormat="false" ht="15" hidden="false" customHeight="false" outlineLevel="0" collapsed="false">
      <c r="A352" s="133"/>
      <c r="B352" s="133"/>
      <c r="C352" s="133"/>
      <c r="D352" s="133"/>
      <c r="E352" s="133"/>
      <c r="F352" s="134"/>
      <c r="G352" s="135"/>
      <c r="H352" s="133"/>
      <c r="I352" s="135"/>
      <c r="J352" s="133"/>
      <c r="K352" s="133"/>
      <c r="L352" s="133"/>
      <c r="M352" s="134"/>
    </row>
    <row r="353" customFormat="false" ht="15" hidden="false" customHeight="false" outlineLevel="0" collapsed="false">
      <c r="A353" s="133"/>
      <c r="B353" s="133"/>
      <c r="C353" s="133"/>
      <c r="D353" s="133"/>
      <c r="E353" s="133"/>
      <c r="F353" s="134"/>
      <c r="G353" s="135"/>
      <c r="H353" s="133"/>
      <c r="I353" s="135"/>
      <c r="J353" s="133"/>
      <c r="K353" s="133"/>
      <c r="L353" s="133"/>
      <c r="M353" s="134"/>
    </row>
    <row r="354" customFormat="false" ht="15" hidden="false" customHeight="false" outlineLevel="0" collapsed="false">
      <c r="A354" s="133"/>
      <c r="B354" s="133"/>
      <c r="C354" s="133"/>
      <c r="D354" s="133"/>
      <c r="E354" s="133"/>
      <c r="F354" s="134"/>
      <c r="G354" s="135"/>
      <c r="H354" s="133"/>
      <c r="I354" s="135"/>
      <c r="J354" s="133"/>
      <c r="K354" s="133"/>
      <c r="L354" s="133"/>
      <c r="M354" s="134"/>
    </row>
    <row r="355" customFormat="false" ht="15" hidden="false" customHeight="false" outlineLevel="0" collapsed="false">
      <c r="A355" s="133"/>
      <c r="B355" s="133"/>
      <c r="C355" s="133"/>
      <c r="D355" s="133"/>
      <c r="E355" s="133"/>
      <c r="F355" s="134"/>
      <c r="G355" s="135"/>
      <c r="H355" s="133"/>
      <c r="I355" s="135"/>
      <c r="J355" s="133"/>
      <c r="K355" s="133"/>
      <c r="L355" s="133"/>
      <c r="M355" s="134"/>
    </row>
    <row r="356" customFormat="false" ht="15" hidden="false" customHeight="false" outlineLevel="0" collapsed="false">
      <c r="A356" s="133"/>
      <c r="B356" s="133"/>
      <c r="C356" s="133"/>
      <c r="D356" s="133"/>
      <c r="E356" s="133"/>
      <c r="F356" s="134"/>
      <c r="G356" s="135"/>
      <c r="H356" s="133"/>
      <c r="I356" s="135"/>
      <c r="J356" s="133"/>
      <c r="K356" s="133"/>
      <c r="L356" s="133"/>
      <c r="M356" s="134"/>
    </row>
    <row r="357" customFormat="false" ht="15" hidden="false" customHeight="false" outlineLevel="0" collapsed="false">
      <c r="A357" s="133"/>
      <c r="B357" s="133"/>
      <c r="C357" s="133"/>
      <c r="D357" s="133"/>
      <c r="E357" s="133"/>
      <c r="F357" s="134"/>
      <c r="G357" s="135"/>
      <c r="H357" s="133"/>
      <c r="I357" s="135"/>
      <c r="J357" s="133"/>
      <c r="K357" s="133"/>
      <c r="L357" s="133"/>
      <c r="M357" s="134"/>
    </row>
    <row r="358" customFormat="false" ht="15" hidden="false" customHeight="false" outlineLevel="0" collapsed="false">
      <c r="A358" s="133"/>
      <c r="B358" s="133"/>
      <c r="C358" s="133"/>
      <c r="D358" s="133"/>
      <c r="E358" s="133"/>
      <c r="F358" s="134"/>
      <c r="G358" s="135"/>
      <c r="H358" s="133"/>
      <c r="I358" s="135"/>
      <c r="J358" s="133"/>
      <c r="K358" s="133"/>
      <c r="L358" s="133"/>
      <c r="M358" s="134"/>
    </row>
    <row r="359" customFormat="false" ht="15" hidden="false" customHeight="false" outlineLevel="0" collapsed="false">
      <c r="A359" s="133"/>
      <c r="B359" s="133"/>
      <c r="C359" s="133"/>
      <c r="D359" s="133"/>
      <c r="E359" s="133"/>
      <c r="F359" s="134"/>
      <c r="G359" s="135"/>
      <c r="H359" s="133"/>
      <c r="I359" s="135"/>
      <c r="J359" s="133"/>
      <c r="K359" s="133"/>
      <c r="L359" s="133"/>
      <c r="M359" s="134"/>
    </row>
    <row r="360" customFormat="false" ht="15" hidden="false" customHeight="false" outlineLevel="0" collapsed="false">
      <c r="A360" s="133"/>
      <c r="B360" s="133"/>
      <c r="C360" s="133"/>
      <c r="D360" s="133"/>
      <c r="E360" s="133"/>
      <c r="F360" s="134"/>
      <c r="G360" s="135"/>
      <c r="H360" s="133"/>
      <c r="I360" s="135"/>
      <c r="J360" s="133"/>
      <c r="K360" s="133"/>
      <c r="L360" s="133"/>
      <c r="M360" s="134"/>
    </row>
    <row r="361" customFormat="false" ht="15" hidden="false" customHeight="false" outlineLevel="0" collapsed="false">
      <c r="A361" s="133"/>
      <c r="B361" s="133"/>
      <c r="C361" s="133"/>
      <c r="D361" s="133"/>
      <c r="E361" s="133"/>
      <c r="F361" s="134"/>
      <c r="G361" s="135"/>
      <c r="H361" s="133"/>
      <c r="I361" s="135"/>
      <c r="J361" s="133"/>
      <c r="K361" s="133"/>
      <c r="L361" s="133"/>
      <c r="M361" s="134"/>
    </row>
    <row r="362" customFormat="false" ht="15" hidden="false" customHeight="false" outlineLevel="0" collapsed="false">
      <c r="A362" s="133"/>
      <c r="B362" s="133"/>
      <c r="C362" s="133"/>
      <c r="D362" s="133"/>
      <c r="E362" s="133"/>
      <c r="F362" s="134"/>
      <c r="G362" s="135"/>
      <c r="H362" s="133"/>
      <c r="I362" s="135"/>
      <c r="J362" s="133"/>
      <c r="K362" s="133"/>
      <c r="L362" s="133"/>
      <c r="M362" s="134"/>
    </row>
    <row r="363" customFormat="false" ht="15" hidden="false" customHeight="false" outlineLevel="0" collapsed="false">
      <c r="A363" s="133"/>
      <c r="B363" s="133"/>
      <c r="C363" s="133"/>
      <c r="D363" s="133"/>
      <c r="E363" s="133"/>
      <c r="F363" s="134"/>
      <c r="G363" s="135"/>
      <c r="H363" s="133"/>
      <c r="I363" s="135"/>
      <c r="J363" s="133"/>
      <c r="K363" s="133"/>
      <c r="L363" s="133"/>
      <c r="M363" s="134"/>
    </row>
    <row r="364" customFormat="false" ht="15" hidden="false" customHeight="false" outlineLevel="0" collapsed="false">
      <c r="A364" s="133"/>
      <c r="B364" s="133"/>
      <c r="C364" s="133"/>
      <c r="D364" s="133"/>
      <c r="E364" s="133"/>
      <c r="F364" s="134"/>
      <c r="G364" s="135"/>
      <c r="H364" s="133"/>
      <c r="I364" s="135"/>
      <c r="J364" s="133"/>
      <c r="K364" s="133"/>
      <c r="L364" s="133"/>
      <c r="M364" s="134"/>
    </row>
    <row r="365" customFormat="false" ht="15" hidden="false" customHeight="false" outlineLevel="0" collapsed="false">
      <c r="A365" s="133"/>
      <c r="B365" s="133"/>
      <c r="C365" s="133"/>
      <c r="D365" s="133"/>
      <c r="E365" s="133"/>
      <c r="F365" s="134"/>
      <c r="G365" s="135"/>
      <c r="H365" s="133"/>
      <c r="I365" s="135"/>
      <c r="J365" s="133"/>
      <c r="K365" s="133"/>
      <c r="L365" s="133"/>
      <c r="M365" s="134"/>
    </row>
    <row r="366" customFormat="false" ht="15" hidden="false" customHeight="false" outlineLevel="0" collapsed="false">
      <c r="A366" s="133"/>
      <c r="B366" s="133"/>
      <c r="C366" s="133"/>
      <c r="D366" s="133"/>
      <c r="E366" s="133"/>
      <c r="F366" s="134"/>
      <c r="G366" s="135"/>
      <c r="H366" s="133"/>
      <c r="I366" s="135"/>
      <c r="J366" s="133"/>
      <c r="K366" s="133"/>
      <c r="L366" s="133"/>
      <c r="M366" s="134"/>
    </row>
    <row r="367" customFormat="false" ht="15" hidden="false" customHeight="false" outlineLevel="0" collapsed="false">
      <c r="A367" s="133"/>
      <c r="B367" s="133"/>
      <c r="C367" s="133"/>
      <c r="D367" s="133"/>
      <c r="E367" s="133"/>
      <c r="F367" s="134"/>
      <c r="G367" s="135"/>
      <c r="H367" s="133"/>
      <c r="I367" s="135"/>
      <c r="J367" s="133"/>
      <c r="K367" s="133"/>
      <c r="L367" s="133"/>
      <c r="M367" s="134"/>
    </row>
    <row r="368" customFormat="false" ht="15" hidden="false" customHeight="false" outlineLevel="0" collapsed="false">
      <c r="A368" s="133"/>
      <c r="B368" s="133"/>
      <c r="C368" s="133"/>
      <c r="D368" s="133"/>
      <c r="E368" s="133"/>
      <c r="F368" s="134"/>
      <c r="G368" s="135"/>
      <c r="H368" s="133"/>
      <c r="I368" s="135"/>
      <c r="J368" s="133"/>
      <c r="K368" s="133"/>
      <c r="L368" s="133"/>
      <c r="M368" s="134"/>
    </row>
    <row r="369" customFormat="false" ht="15" hidden="false" customHeight="false" outlineLevel="0" collapsed="false">
      <c r="A369" s="133"/>
      <c r="B369" s="133"/>
      <c r="C369" s="133"/>
      <c r="D369" s="133"/>
      <c r="E369" s="133"/>
      <c r="F369" s="134"/>
      <c r="G369" s="135"/>
      <c r="H369" s="133"/>
      <c r="I369" s="135"/>
      <c r="J369" s="133"/>
      <c r="K369" s="133"/>
      <c r="L369" s="133"/>
      <c r="M369" s="134"/>
    </row>
    <row r="370" customFormat="false" ht="15" hidden="false" customHeight="false" outlineLevel="0" collapsed="false">
      <c r="A370" s="133"/>
      <c r="B370" s="133"/>
      <c r="C370" s="133"/>
      <c r="D370" s="133"/>
      <c r="E370" s="133"/>
      <c r="F370" s="134"/>
      <c r="G370" s="135"/>
      <c r="H370" s="133"/>
      <c r="I370" s="135"/>
      <c r="J370" s="133"/>
      <c r="K370" s="133"/>
      <c r="L370" s="133"/>
      <c r="M370" s="134"/>
    </row>
    <row r="371" customFormat="false" ht="15" hidden="false" customHeight="false" outlineLevel="0" collapsed="false">
      <c r="A371" s="133"/>
      <c r="B371" s="133"/>
      <c r="C371" s="133"/>
      <c r="D371" s="133"/>
      <c r="E371" s="133"/>
      <c r="F371" s="134"/>
      <c r="G371" s="135"/>
      <c r="H371" s="133"/>
      <c r="I371" s="135"/>
      <c r="J371" s="133"/>
      <c r="K371" s="133"/>
      <c r="L371" s="133"/>
      <c r="M371" s="134"/>
    </row>
    <row r="372" customFormat="false" ht="15" hidden="false" customHeight="false" outlineLevel="0" collapsed="false">
      <c r="A372" s="133"/>
      <c r="B372" s="133"/>
      <c r="C372" s="133"/>
      <c r="D372" s="133"/>
      <c r="E372" s="133"/>
      <c r="F372" s="134"/>
      <c r="G372" s="135"/>
      <c r="H372" s="133"/>
      <c r="I372" s="135"/>
      <c r="J372" s="133"/>
      <c r="K372" s="133"/>
      <c r="L372" s="133"/>
      <c r="M372" s="134"/>
    </row>
    <row r="373" customFormat="false" ht="15" hidden="false" customHeight="false" outlineLevel="0" collapsed="false">
      <c r="A373" s="133"/>
      <c r="B373" s="133"/>
      <c r="C373" s="133"/>
      <c r="D373" s="133"/>
      <c r="E373" s="133"/>
      <c r="F373" s="134"/>
      <c r="G373" s="135"/>
      <c r="H373" s="133"/>
      <c r="I373" s="135"/>
      <c r="J373" s="133"/>
      <c r="K373" s="133"/>
      <c r="L373" s="133"/>
      <c r="M373" s="134"/>
    </row>
    <row r="374" customFormat="false" ht="15" hidden="false" customHeight="false" outlineLevel="0" collapsed="false">
      <c r="A374" s="133"/>
      <c r="B374" s="133"/>
      <c r="C374" s="133"/>
      <c r="D374" s="133"/>
      <c r="E374" s="133"/>
      <c r="F374" s="134"/>
      <c r="G374" s="135"/>
      <c r="H374" s="133"/>
      <c r="I374" s="135"/>
      <c r="J374" s="133"/>
      <c r="K374" s="133"/>
      <c r="L374" s="133"/>
      <c r="M374" s="134"/>
    </row>
    <row r="375" customFormat="false" ht="15" hidden="false" customHeight="false" outlineLevel="0" collapsed="false">
      <c r="A375" s="133"/>
      <c r="B375" s="133"/>
      <c r="C375" s="133"/>
      <c r="D375" s="133"/>
      <c r="E375" s="133"/>
      <c r="F375" s="134"/>
      <c r="G375" s="135"/>
      <c r="H375" s="133"/>
      <c r="I375" s="135"/>
      <c r="J375" s="133"/>
      <c r="K375" s="133"/>
      <c r="L375" s="133"/>
      <c r="M375" s="134"/>
    </row>
    <row r="376" customFormat="false" ht="15" hidden="false" customHeight="false" outlineLevel="0" collapsed="false">
      <c r="A376" s="133"/>
      <c r="B376" s="133"/>
      <c r="C376" s="133"/>
      <c r="D376" s="133"/>
      <c r="E376" s="133"/>
      <c r="F376" s="134"/>
      <c r="G376" s="135"/>
      <c r="H376" s="133"/>
      <c r="I376" s="135"/>
      <c r="J376" s="133"/>
      <c r="K376" s="133"/>
      <c r="L376" s="133"/>
      <c r="M376" s="134"/>
    </row>
    <row r="377" customFormat="false" ht="15" hidden="false" customHeight="false" outlineLevel="0" collapsed="false">
      <c r="A377" s="133"/>
      <c r="B377" s="133"/>
      <c r="C377" s="133"/>
      <c r="D377" s="133"/>
      <c r="E377" s="133"/>
      <c r="F377" s="134"/>
      <c r="G377" s="135"/>
      <c r="H377" s="133"/>
      <c r="I377" s="135"/>
      <c r="J377" s="133"/>
      <c r="K377" s="133"/>
      <c r="L377" s="133"/>
      <c r="M377" s="134"/>
    </row>
    <row r="378" customFormat="false" ht="15" hidden="false" customHeight="false" outlineLevel="0" collapsed="false">
      <c r="A378" s="133"/>
      <c r="B378" s="133"/>
      <c r="C378" s="133"/>
      <c r="D378" s="133"/>
      <c r="E378" s="133"/>
      <c r="F378" s="134"/>
      <c r="G378" s="135"/>
      <c r="H378" s="133"/>
      <c r="I378" s="135"/>
      <c r="J378" s="133"/>
      <c r="K378" s="133"/>
      <c r="L378" s="133"/>
      <c r="M378" s="134"/>
    </row>
    <row r="379" customFormat="false" ht="15" hidden="false" customHeight="false" outlineLevel="0" collapsed="false">
      <c r="A379" s="133"/>
      <c r="B379" s="133"/>
      <c r="C379" s="133"/>
      <c r="D379" s="133"/>
      <c r="E379" s="133"/>
      <c r="F379" s="134"/>
      <c r="G379" s="135"/>
      <c r="H379" s="133"/>
      <c r="I379" s="135"/>
      <c r="J379" s="133"/>
      <c r="K379" s="133"/>
      <c r="L379" s="133"/>
      <c r="M379" s="134"/>
    </row>
    <row r="380" customFormat="false" ht="15" hidden="false" customHeight="false" outlineLevel="0" collapsed="false">
      <c r="A380" s="133"/>
      <c r="B380" s="133"/>
      <c r="C380" s="133"/>
      <c r="D380" s="133"/>
      <c r="E380" s="133"/>
      <c r="F380" s="134"/>
      <c r="G380" s="135"/>
      <c r="H380" s="133"/>
      <c r="I380" s="135"/>
      <c r="J380" s="133"/>
      <c r="K380" s="133"/>
      <c r="L380" s="133"/>
      <c r="M380" s="134"/>
    </row>
    <row r="381" customFormat="false" ht="15" hidden="false" customHeight="false" outlineLevel="0" collapsed="false">
      <c r="A381" s="133"/>
      <c r="B381" s="133"/>
      <c r="C381" s="133"/>
      <c r="D381" s="133"/>
      <c r="E381" s="133"/>
      <c r="F381" s="134"/>
      <c r="G381" s="135"/>
      <c r="H381" s="133"/>
      <c r="I381" s="135"/>
      <c r="J381" s="133"/>
      <c r="K381" s="133"/>
      <c r="L381" s="133"/>
      <c r="M381" s="134"/>
    </row>
    <row r="382" customFormat="false" ht="15" hidden="false" customHeight="false" outlineLevel="0" collapsed="false">
      <c r="A382" s="133"/>
      <c r="B382" s="133"/>
      <c r="C382" s="133"/>
      <c r="D382" s="133"/>
      <c r="E382" s="133"/>
      <c r="F382" s="134"/>
      <c r="G382" s="135"/>
      <c r="H382" s="133"/>
      <c r="I382" s="135"/>
      <c r="J382" s="133"/>
      <c r="K382" s="133"/>
      <c r="L382" s="133"/>
      <c r="M382" s="134"/>
    </row>
    <row r="383" customFormat="false" ht="15" hidden="false" customHeight="false" outlineLevel="0" collapsed="false">
      <c r="A383" s="133"/>
      <c r="B383" s="133"/>
      <c r="C383" s="133"/>
      <c r="D383" s="133"/>
      <c r="E383" s="133"/>
      <c r="F383" s="134"/>
      <c r="G383" s="135"/>
      <c r="H383" s="133"/>
      <c r="I383" s="135"/>
      <c r="J383" s="133"/>
      <c r="K383" s="133"/>
      <c r="L383" s="133"/>
      <c r="M383" s="134"/>
    </row>
    <row r="384" customFormat="false" ht="15" hidden="false" customHeight="false" outlineLevel="0" collapsed="false">
      <c r="A384" s="133"/>
      <c r="B384" s="133"/>
      <c r="C384" s="133"/>
      <c r="D384" s="133"/>
      <c r="E384" s="133"/>
      <c r="F384" s="134"/>
      <c r="G384" s="135"/>
      <c r="H384" s="133"/>
      <c r="I384" s="135"/>
      <c r="J384" s="133"/>
      <c r="K384" s="133"/>
      <c r="L384" s="133"/>
      <c r="M384" s="134"/>
    </row>
    <row r="385" customFormat="false" ht="15" hidden="false" customHeight="false" outlineLevel="0" collapsed="false">
      <c r="A385" s="133"/>
      <c r="B385" s="133"/>
      <c r="C385" s="133"/>
      <c r="D385" s="133"/>
      <c r="E385" s="133"/>
      <c r="F385" s="134"/>
      <c r="G385" s="135"/>
      <c r="H385" s="133"/>
      <c r="I385" s="135"/>
      <c r="J385" s="133"/>
      <c r="K385" s="133"/>
      <c r="L385" s="133"/>
      <c r="M385" s="134"/>
    </row>
    <row r="386" customFormat="false" ht="15" hidden="false" customHeight="false" outlineLevel="0" collapsed="false">
      <c r="A386" s="133"/>
      <c r="B386" s="133"/>
      <c r="C386" s="133"/>
      <c r="D386" s="133"/>
      <c r="E386" s="133"/>
      <c r="F386" s="134"/>
      <c r="G386" s="135"/>
      <c r="H386" s="133"/>
      <c r="I386" s="135"/>
      <c r="J386" s="133"/>
      <c r="K386" s="133"/>
      <c r="L386" s="133"/>
      <c r="M386" s="134"/>
    </row>
    <row r="387" customFormat="false" ht="15" hidden="false" customHeight="false" outlineLevel="0" collapsed="false">
      <c r="A387" s="133"/>
      <c r="B387" s="133"/>
      <c r="C387" s="133"/>
      <c r="D387" s="133"/>
      <c r="E387" s="133"/>
      <c r="F387" s="134"/>
      <c r="G387" s="135"/>
      <c r="H387" s="133"/>
      <c r="I387" s="135"/>
      <c r="J387" s="133"/>
      <c r="K387" s="133"/>
      <c r="L387" s="133"/>
      <c r="M387" s="134"/>
    </row>
    <row r="388" customFormat="false" ht="15" hidden="false" customHeight="false" outlineLevel="0" collapsed="false">
      <c r="A388" s="133"/>
      <c r="B388" s="133"/>
      <c r="C388" s="133"/>
      <c r="D388" s="133"/>
      <c r="E388" s="133"/>
      <c r="F388" s="134"/>
      <c r="G388" s="135"/>
      <c r="H388" s="133"/>
      <c r="I388" s="135"/>
      <c r="J388" s="133"/>
      <c r="K388" s="133"/>
      <c r="L388" s="133"/>
      <c r="M388" s="134"/>
    </row>
    <row r="389" customFormat="false" ht="15" hidden="false" customHeight="false" outlineLevel="0" collapsed="false">
      <c r="A389" s="133"/>
      <c r="B389" s="133"/>
      <c r="C389" s="133"/>
      <c r="D389" s="133"/>
      <c r="E389" s="133"/>
      <c r="F389" s="134"/>
      <c r="G389" s="135"/>
      <c r="H389" s="133"/>
      <c r="I389" s="135"/>
      <c r="J389" s="133"/>
      <c r="K389" s="133"/>
      <c r="L389" s="133"/>
      <c r="M389" s="134"/>
    </row>
    <row r="390" customFormat="false" ht="15" hidden="false" customHeight="false" outlineLevel="0" collapsed="false">
      <c r="A390" s="133"/>
      <c r="B390" s="133"/>
      <c r="C390" s="133"/>
      <c r="D390" s="133"/>
      <c r="E390" s="133"/>
      <c r="F390" s="134"/>
      <c r="G390" s="135"/>
      <c r="H390" s="133"/>
      <c r="I390" s="135"/>
      <c r="J390" s="133"/>
      <c r="K390" s="133"/>
      <c r="L390" s="133"/>
      <c r="M390" s="134"/>
    </row>
    <row r="391" customFormat="false" ht="15" hidden="false" customHeight="false" outlineLevel="0" collapsed="false">
      <c r="A391" s="133"/>
      <c r="B391" s="133"/>
      <c r="C391" s="133"/>
      <c r="D391" s="133"/>
      <c r="E391" s="133"/>
      <c r="F391" s="134"/>
      <c r="G391" s="135"/>
      <c r="H391" s="133"/>
      <c r="I391" s="135"/>
      <c r="J391" s="133"/>
      <c r="K391" s="133"/>
      <c r="L391" s="133"/>
      <c r="M391" s="134"/>
    </row>
    <row r="392" customFormat="false" ht="15" hidden="false" customHeight="false" outlineLevel="0" collapsed="false">
      <c r="A392" s="133"/>
      <c r="B392" s="133"/>
      <c r="C392" s="133"/>
      <c r="D392" s="133"/>
      <c r="E392" s="133"/>
      <c r="F392" s="134"/>
      <c r="G392" s="135"/>
      <c r="H392" s="133"/>
      <c r="I392" s="135"/>
      <c r="J392" s="133"/>
      <c r="K392" s="133"/>
      <c r="L392" s="133"/>
      <c r="M392" s="134"/>
    </row>
    <row r="393" customFormat="false" ht="15" hidden="false" customHeight="false" outlineLevel="0" collapsed="false">
      <c r="A393" s="133"/>
      <c r="B393" s="133"/>
      <c r="C393" s="133"/>
      <c r="D393" s="133"/>
      <c r="E393" s="133"/>
      <c r="F393" s="134"/>
      <c r="G393" s="135"/>
      <c r="H393" s="133"/>
      <c r="I393" s="135"/>
      <c r="J393" s="133"/>
      <c r="K393" s="133"/>
      <c r="L393" s="133"/>
      <c r="M393" s="134"/>
    </row>
    <row r="394" customFormat="false" ht="15" hidden="false" customHeight="false" outlineLevel="0" collapsed="false">
      <c r="A394" s="133"/>
      <c r="B394" s="133"/>
      <c r="C394" s="133"/>
      <c r="D394" s="133"/>
      <c r="E394" s="133"/>
      <c r="F394" s="134"/>
      <c r="G394" s="135"/>
      <c r="H394" s="133"/>
      <c r="I394" s="135"/>
      <c r="J394" s="133"/>
      <c r="K394" s="133"/>
      <c r="L394" s="133"/>
      <c r="M394" s="134"/>
    </row>
    <row r="395" customFormat="false" ht="15" hidden="false" customHeight="false" outlineLevel="0" collapsed="false">
      <c r="A395" s="133"/>
      <c r="B395" s="133"/>
      <c r="C395" s="133"/>
      <c r="D395" s="133"/>
      <c r="E395" s="133"/>
      <c r="F395" s="134"/>
      <c r="G395" s="135"/>
      <c r="H395" s="133"/>
      <c r="I395" s="135"/>
      <c r="J395" s="133"/>
      <c r="K395" s="133"/>
      <c r="L395" s="133"/>
      <c r="M395" s="134"/>
    </row>
    <row r="396" customFormat="false" ht="15" hidden="false" customHeight="false" outlineLevel="0" collapsed="false">
      <c r="A396" s="133"/>
      <c r="B396" s="133"/>
      <c r="C396" s="133"/>
      <c r="D396" s="133"/>
      <c r="E396" s="133"/>
      <c r="F396" s="134"/>
      <c r="G396" s="135"/>
      <c r="H396" s="133"/>
      <c r="I396" s="135"/>
      <c r="J396" s="133"/>
      <c r="K396" s="133"/>
      <c r="L396" s="133"/>
      <c r="M396" s="134"/>
    </row>
    <row r="397" customFormat="false" ht="15" hidden="false" customHeight="false" outlineLevel="0" collapsed="false">
      <c r="A397" s="133"/>
      <c r="B397" s="133"/>
      <c r="C397" s="133"/>
      <c r="D397" s="133"/>
      <c r="E397" s="133"/>
      <c r="F397" s="134"/>
      <c r="G397" s="135"/>
      <c r="H397" s="133"/>
      <c r="I397" s="135"/>
      <c r="J397" s="133"/>
      <c r="K397" s="133"/>
      <c r="L397" s="133"/>
      <c r="M397" s="134"/>
    </row>
    <row r="398" customFormat="false" ht="15" hidden="false" customHeight="false" outlineLevel="0" collapsed="false">
      <c r="A398" s="133"/>
      <c r="B398" s="133"/>
      <c r="C398" s="133"/>
      <c r="D398" s="133"/>
      <c r="E398" s="133"/>
      <c r="F398" s="134"/>
      <c r="G398" s="135"/>
      <c r="H398" s="133"/>
      <c r="I398" s="135"/>
      <c r="J398" s="133"/>
      <c r="K398" s="133"/>
      <c r="L398" s="133"/>
      <c r="M398" s="134"/>
    </row>
    <row r="399" customFormat="false" ht="15" hidden="false" customHeight="false" outlineLevel="0" collapsed="false">
      <c r="A399" s="133"/>
      <c r="B399" s="133"/>
      <c r="C399" s="133"/>
      <c r="D399" s="133"/>
      <c r="E399" s="133"/>
      <c r="F399" s="134"/>
      <c r="G399" s="135"/>
      <c r="H399" s="133"/>
      <c r="I399" s="135"/>
      <c r="J399" s="133"/>
      <c r="K399" s="133"/>
      <c r="L399" s="133"/>
      <c r="M399" s="134"/>
    </row>
    <row r="400" customFormat="false" ht="15" hidden="false" customHeight="false" outlineLevel="0" collapsed="false">
      <c r="A400" s="133"/>
      <c r="B400" s="133"/>
      <c r="C400" s="133"/>
      <c r="D400" s="133"/>
      <c r="E400" s="133"/>
      <c r="F400" s="134"/>
      <c r="G400" s="135"/>
      <c r="H400" s="133"/>
      <c r="I400" s="135"/>
      <c r="J400" s="133"/>
      <c r="K400" s="133"/>
      <c r="L400" s="133"/>
      <c r="M400" s="134"/>
    </row>
  </sheetData>
  <sheetProtection sheet="true" formatCells="false" formatColumns="false" formatRows="false" sort="false" autoFilter="false"/>
  <autoFilter ref="A1:M4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9" min="7" style="0" width="16"/>
    <col collapsed="false" customWidth="true" hidden="false" outlineLevel="0" max="10" min="10" style="0" width="30"/>
    <col collapsed="false" customWidth="true" hidden="false" outlineLevel="0" max="12" min="11" style="0" width="16"/>
  </cols>
  <sheetData>
    <row r="1" customFormat="false" ht="31.5" hidden="false" customHeight="true" outlineLevel="0" collapsed="false">
      <c r="A1" s="28" t="s">
        <v>576</v>
      </c>
      <c r="B1" s="28" t="s">
        <v>78</v>
      </c>
      <c r="C1" s="28" t="s">
        <v>97</v>
      </c>
      <c r="D1" s="28" t="s">
        <v>105</v>
      </c>
      <c r="E1" s="28" t="s">
        <v>925</v>
      </c>
      <c r="F1" s="28" t="s">
        <v>926</v>
      </c>
      <c r="G1" s="28" t="s">
        <v>927</v>
      </c>
      <c r="H1" s="28" t="s">
        <v>109</v>
      </c>
      <c r="I1" s="28" t="s">
        <v>928</v>
      </c>
      <c r="J1" s="28" t="s">
        <v>151</v>
      </c>
      <c r="K1" s="28" t="s">
        <v>581</v>
      </c>
      <c r="L1" s="28" t="s">
        <v>582</v>
      </c>
    </row>
    <row r="2" customFormat="false" ht="15" hidden="false" customHeight="false" outlineLevel="0" collapsed="false">
      <c r="A2" s="133" t="s">
        <v>929</v>
      </c>
      <c r="B2" s="133" t="s">
        <v>152</v>
      </c>
      <c r="C2" s="133" t="s">
        <v>155</v>
      </c>
      <c r="D2" s="133" t="s">
        <v>163</v>
      </c>
      <c r="E2" s="133" t="s">
        <v>930</v>
      </c>
      <c r="F2" s="134" t="n">
        <v>46189</v>
      </c>
      <c r="G2" s="135" t="n">
        <v>10500</v>
      </c>
      <c r="H2" s="135" t="n">
        <v>2.35</v>
      </c>
      <c r="I2" s="135" t="n">
        <v>3160867.5</v>
      </c>
      <c r="J2" s="133"/>
      <c r="K2" s="133" t="s">
        <v>585</v>
      </c>
      <c r="L2" s="134"/>
    </row>
    <row r="3" customFormat="false" ht="15" hidden="false" customHeight="false" outlineLevel="0" collapsed="false">
      <c r="A3" s="133" t="s">
        <v>931</v>
      </c>
      <c r="B3" s="133" t="s">
        <v>175</v>
      </c>
      <c r="C3" s="133" t="s">
        <v>176</v>
      </c>
      <c r="D3" s="133" t="s">
        <v>179</v>
      </c>
      <c r="E3" s="133" t="s">
        <v>932</v>
      </c>
      <c r="F3" s="134" t="n">
        <v>46206</v>
      </c>
      <c r="G3" s="135" t="n">
        <v>8400</v>
      </c>
      <c r="H3" s="135" t="n">
        <v>97</v>
      </c>
      <c r="I3" s="135" t="n">
        <v>855540</v>
      </c>
      <c r="J3" s="133"/>
      <c r="K3" s="133" t="s">
        <v>585</v>
      </c>
      <c r="L3" s="134"/>
    </row>
    <row r="4" customFormat="false" ht="15" hidden="false" customHeight="false" outlineLevel="0" collapsed="false">
      <c r="A4" s="133" t="s">
        <v>933</v>
      </c>
      <c r="B4" s="133" t="s">
        <v>183</v>
      </c>
      <c r="C4" s="133" t="s">
        <v>184</v>
      </c>
      <c r="D4" s="133" t="s">
        <v>190</v>
      </c>
      <c r="E4" s="133" t="s">
        <v>934</v>
      </c>
      <c r="F4" s="134" t="n">
        <v>46232</v>
      </c>
      <c r="G4" s="135" t="n">
        <v>7400</v>
      </c>
      <c r="H4" s="135" t="n">
        <v>3.11</v>
      </c>
      <c r="I4" s="135" t="n">
        <v>3228864.2</v>
      </c>
      <c r="J4" s="133"/>
      <c r="K4" s="133" t="s">
        <v>585</v>
      </c>
      <c r="L4" s="134"/>
    </row>
    <row r="5" customFormat="false" ht="15" hidden="false" customHeight="false" outlineLevel="0" collapsed="false">
      <c r="A5" s="133" t="s">
        <v>935</v>
      </c>
      <c r="B5" s="133" t="s">
        <v>194</v>
      </c>
      <c r="C5" s="133" t="s">
        <v>197</v>
      </c>
      <c r="D5" s="133" t="s">
        <v>202</v>
      </c>
      <c r="E5" s="133" t="s">
        <v>936</v>
      </c>
      <c r="F5" s="134" t="n">
        <v>46212</v>
      </c>
      <c r="G5" s="135" t="n">
        <v>10439</v>
      </c>
      <c r="H5" s="135" t="n">
        <v>186</v>
      </c>
      <c r="I5" s="135" t="n">
        <v>2038736.7</v>
      </c>
      <c r="J5" s="133"/>
      <c r="K5" s="133" t="s">
        <v>585</v>
      </c>
      <c r="L5" s="134"/>
    </row>
    <row r="6" customFormat="false" ht="15" hidden="false" customHeight="false" outlineLevel="0" collapsed="false">
      <c r="A6" s="133" t="s">
        <v>937</v>
      </c>
      <c r="B6" s="133" t="s">
        <v>212</v>
      </c>
      <c r="C6" s="133" t="s">
        <v>213</v>
      </c>
      <c r="D6" s="133" t="s">
        <v>216</v>
      </c>
      <c r="E6" s="133" t="s">
        <v>938</v>
      </c>
      <c r="F6" s="134" t="n">
        <v>46248</v>
      </c>
      <c r="G6" s="135" t="n">
        <v>4800</v>
      </c>
      <c r="H6" s="135" t="n">
        <v>10.1</v>
      </c>
      <c r="I6" s="135" t="n">
        <v>947784</v>
      </c>
      <c r="J6" s="133"/>
      <c r="K6" s="133" t="s">
        <v>585</v>
      </c>
      <c r="L6" s="134"/>
    </row>
    <row r="7" customFormat="false" ht="15" hidden="false" customHeight="false" outlineLevel="0" collapsed="false">
      <c r="A7" s="133" t="s">
        <v>939</v>
      </c>
      <c r="B7" s="133" t="s">
        <v>220</v>
      </c>
      <c r="C7" s="133" t="s">
        <v>221</v>
      </c>
      <c r="D7" s="133" t="s">
        <v>226</v>
      </c>
      <c r="E7" s="133" t="s">
        <v>940</v>
      </c>
      <c r="F7" s="134" t="n">
        <v>46229</v>
      </c>
      <c r="G7" s="135" t="n">
        <v>1064</v>
      </c>
      <c r="H7" s="135" t="n">
        <v>431</v>
      </c>
      <c r="I7" s="135" t="n">
        <v>492977.8</v>
      </c>
      <c r="J7" s="133"/>
      <c r="K7" s="133" t="s">
        <v>585</v>
      </c>
      <c r="L7" s="134"/>
    </row>
    <row r="8" customFormat="false" ht="15" hidden="false" customHeight="false" outlineLevel="0" collapsed="false">
      <c r="A8" s="133" t="s">
        <v>941</v>
      </c>
      <c r="B8" s="133" t="s">
        <v>228</v>
      </c>
      <c r="C8" s="133" t="s">
        <v>229</v>
      </c>
      <c r="D8" s="133" t="s">
        <v>232</v>
      </c>
      <c r="E8" s="133" t="s">
        <v>942</v>
      </c>
      <c r="F8" s="134" t="n">
        <v>46214</v>
      </c>
      <c r="G8" s="135" t="n">
        <v>700</v>
      </c>
      <c r="H8" s="135" t="n">
        <v>566</v>
      </c>
      <c r="I8" s="135" t="n">
        <v>425915</v>
      </c>
      <c r="J8" s="133"/>
      <c r="K8" s="133" t="s">
        <v>585</v>
      </c>
      <c r="L8" s="134"/>
    </row>
    <row r="9" customFormat="false" ht="15" hidden="false" customHeight="false" outlineLevel="0" collapsed="false">
      <c r="A9" s="133" t="s">
        <v>943</v>
      </c>
      <c r="B9" s="133" t="s">
        <v>234</v>
      </c>
      <c r="C9" s="133" t="s">
        <v>237</v>
      </c>
      <c r="D9" s="133" t="s">
        <v>242</v>
      </c>
      <c r="E9" s="133" t="s">
        <v>944</v>
      </c>
      <c r="F9" s="134" t="n">
        <v>46227</v>
      </c>
      <c r="G9" s="135" t="n">
        <v>1351</v>
      </c>
      <c r="H9" s="135" t="n">
        <v>292</v>
      </c>
      <c r="I9" s="135" t="n">
        <v>414216.6</v>
      </c>
      <c r="J9" s="133"/>
      <c r="K9" s="133" t="s">
        <v>585</v>
      </c>
      <c r="L9" s="134"/>
    </row>
    <row r="10" customFormat="false" ht="15" hidden="false" customHeight="false" outlineLevel="0" collapsed="false">
      <c r="A10" s="133" t="s">
        <v>945</v>
      </c>
      <c r="B10" s="133" t="s">
        <v>245</v>
      </c>
      <c r="C10" s="133" t="s">
        <v>246</v>
      </c>
      <c r="D10" s="133" t="s">
        <v>249</v>
      </c>
      <c r="E10" s="133" t="s">
        <v>946</v>
      </c>
      <c r="F10" s="134" t="n">
        <v>46225</v>
      </c>
      <c r="G10" s="135" t="n">
        <v>900</v>
      </c>
      <c r="H10" s="135" t="n">
        <v>230</v>
      </c>
      <c r="I10" s="135" t="n">
        <v>217350</v>
      </c>
      <c r="J10" s="133"/>
      <c r="K10" s="133" t="s">
        <v>585</v>
      </c>
      <c r="L10" s="134"/>
    </row>
    <row r="11" customFormat="false" ht="15" hidden="false" customHeight="false" outlineLevel="0" collapsed="false">
      <c r="A11" s="133" t="s">
        <v>947</v>
      </c>
      <c r="B11" s="133" t="s">
        <v>252</v>
      </c>
      <c r="C11" s="133" t="s">
        <v>253</v>
      </c>
      <c r="D11" s="133" t="s">
        <v>256</v>
      </c>
      <c r="E11" s="133" t="s">
        <v>948</v>
      </c>
      <c r="F11" s="134" t="n">
        <v>46229</v>
      </c>
      <c r="G11" s="135" t="n">
        <v>11700</v>
      </c>
      <c r="H11" s="135" t="n">
        <v>15.15</v>
      </c>
      <c r="I11" s="135" t="n">
        <v>186117.75</v>
      </c>
      <c r="J11" s="133"/>
      <c r="K11" s="133" t="s">
        <v>585</v>
      </c>
      <c r="L11" s="134"/>
    </row>
    <row r="12" customFormat="false" ht="15" hidden="false" customHeight="false" outlineLevel="0" collapsed="false">
      <c r="A12" s="133" t="s">
        <v>949</v>
      </c>
      <c r="B12" s="133" t="s">
        <v>257</v>
      </c>
      <c r="C12" s="133" t="s">
        <v>258</v>
      </c>
      <c r="D12" s="133" t="s">
        <v>262</v>
      </c>
      <c r="E12" s="133" t="s">
        <v>950</v>
      </c>
      <c r="F12" s="134" t="n">
        <v>46250</v>
      </c>
      <c r="G12" s="135" t="n">
        <v>2000</v>
      </c>
      <c r="H12" s="135" t="n">
        <v>336</v>
      </c>
      <c r="I12" s="135" t="n">
        <v>705600</v>
      </c>
      <c r="J12" s="133"/>
      <c r="K12" s="133" t="s">
        <v>585</v>
      </c>
      <c r="L12" s="134"/>
    </row>
    <row r="13" customFormat="false" ht="15" hidden="false" customHeight="false" outlineLevel="0" collapsed="false">
      <c r="A13" s="133" t="s">
        <v>951</v>
      </c>
      <c r="B13" s="133" t="s">
        <v>264</v>
      </c>
      <c r="C13" s="133" t="s">
        <v>265</v>
      </c>
      <c r="D13" s="133" t="s">
        <v>268</v>
      </c>
      <c r="E13" s="133" t="s">
        <v>952</v>
      </c>
      <c r="F13" s="134" t="n">
        <v>46263</v>
      </c>
      <c r="G13" s="135" t="n">
        <v>3700</v>
      </c>
      <c r="H13" s="135" t="n">
        <v>3.35</v>
      </c>
      <c r="I13" s="135" t="n">
        <v>1739018.5</v>
      </c>
      <c r="J13" s="133"/>
      <c r="K13" s="133" t="s">
        <v>585</v>
      </c>
      <c r="L13" s="134"/>
    </row>
    <row r="14" customFormat="false" ht="15" hidden="false" customHeight="false" outlineLevel="0" collapsed="false">
      <c r="A14" s="133" t="s">
        <v>953</v>
      </c>
      <c r="B14" s="133" t="s">
        <v>270</v>
      </c>
      <c r="C14" s="133" t="s">
        <v>273</v>
      </c>
      <c r="D14" s="133" t="s">
        <v>278</v>
      </c>
      <c r="E14" s="133" t="s">
        <v>954</v>
      </c>
      <c r="F14" s="134" t="n">
        <v>46246</v>
      </c>
      <c r="G14" s="135" t="n">
        <v>17300</v>
      </c>
      <c r="H14" s="135" t="n">
        <v>39.22</v>
      </c>
      <c r="I14" s="135" t="n">
        <v>712431.3</v>
      </c>
      <c r="J14" s="133"/>
      <c r="K14" s="133" t="s">
        <v>585</v>
      </c>
      <c r="L14" s="134"/>
    </row>
    <row r="15" customFormat="false" ht="15" hidden="false" customHeight="false" outlineLevel="0" collapsed="false">
      <c r="A15" s="133" t="s">
        <v>955</v>
      </c>
      <c r="B15" s="133" t="s">
        <v>281</v>
      </c>
      <c r="C15" s="133" t="s">
        <v>282</v>
      </c>
      <c r="D15" s="133" t="s">
        <v>285</v>
      </c>
      <c r="E15" s="133" t="s">
        <v>956</v>
      </c>
      <c r="F15" s="134" t="n">
        <v>46238</v>
      </c>
      <c r="G15" s="135" t="n">
        <v>1500</v>
      </c>
      <c r="H15" s="135" t="n">
        <v>141</v>
      </c>
      <c r="I15" s="135" t="n">
        <v>222075</v>
      </c>
      <c r="J15" s="133"/>
      <c r="K15" s="133" t="s">
        <v>585</v>
      </c>
      <c r="L15" s="134"/>
    </row>
    <row r="16" customFormat="false" ht="15" hidden="false" customHeight="false" outlineLevel="0" collapsed="false">
      <c r="A16" s="133" t="s">
        <v>957</v>
      </c>
      <c r="B16" s="133" t="s">
        <v>287</v>
      </c>
      <c r="C16" s="133" t="s">
        <v>290</v>
      </c>
      <c r="D16" s="133" t="s">
        <v>295</v>
      </c>
      <c r="E16" s="133" t="s">
        <v>958</v>
      </c>
      <c r="F16" s="134" t="n">
        <v>46258</v>
      </c>
      <c r="G16" s="135" t="n">
        <v>40</v>
      </c>
      <c r="H16" s="135" t="n">
        <v>1872</v>
      </c>
      <c r="I16" s="135" t="n">
        <v>80496</v>
      </c>
      <c r="J16" s="133"/>
      <c r="K16" s="133" t="s">
        <v>585</v>
      </c>
      <c r="L16" s="134"/>
    </row>
    <row r="17" customFormat="false" ht="15" hidden="false" customHeight="false" outlineLevel="0" collapsed="false">
      <c r="A17" s="133" t="s">
        <v>959</v>
      </c>
      <c r="B17" s="133" t="s">
        <v>297</v>
      </c>
      <c r="C17" s="133" t="s">
        <v>300</v>
      </c>
      <c r="D17" s="133" t="s">
        <v>304</v>
      </c>
      <c r="E17" s="133" t="s">
        <v>960</v>
      </c>
      <c r="F17" s="134" t="n">
        <v>46244</v>
      </c>
      <c r="G17" s="135" t="n">
        <v>200</v>
      </c>
      <c r="H17" s="135" t="n">
        <v>999</v>
      </c>
      <c r="I17" s="135" t="n">
        <v>214785</v>
      </c>
      <c r="J17" s="133"/>
      <c r="K17" s="133" t="s">
        <v>585</v>
      </c>
      <c r="L17" s="134"/>
    </row>
    <row r="18" customFormat="false" ht="15" hidden="false" customHeight="false" outlineLevel="0" collapsed="false">
      <c r="A18" s="133" t="s">
        <v>961</v>
      </c>
      <c r="B18" s="133" t="s">
        <v>306</v>
      </c>
      <c r="C18" s="133" t="s">
        <v>307</v>
      </c>
      <c r="D18" s="133" t="s">
        <v>313</v>
      </c>
      <c r="E18" s="133" t="s">
        <v>962</v>
      </c>
      <c r="F18" s="134" t="n">
        <v>46298</v>
      </c>
      <c r="G18" s="135" t="n">
        <v>15</v>
      </c>
      <c r="H18" s="135" t="n">
        <v>2543.07</v>
      </c>
      <c r="I18" s="135" t="n">
        <v>5212276.27</v>
      </c>
      <c r="J18" s="133"/>
      <c r="K18" s="133" t="s">
        <v>585</v>
      </c>
      <c r="L18" s="134"/>
    </row>
    <row r="19" customFormat="false" ht="15" hidden="false" customHeight="false" outlineLevel="0" collapsed="false">
      <c r="A19" s="133" t="s">
        <v>963</v>
      </c>
      <c r="B19" s="133" t="s">
        <v>316</v>
      </c>
      <c r="C19" s="133" t="s">
        <v>317</v>
      </c>
      <c r="D19" s="133" t="s">
        <v>320</v>
      </c>
      <c r="E19" s="133" t="s">
        <v>964</v>
      </c>
      <c r="F19" s="134" t="n">
        <v>46298</v>
      </c>
      <c r="G19" s="135" t="n">
        <v>3</v>
      </c>
      <c r="H19" s="135" t="n">
        <v>3837.39</v>
      </c>
      <c r="I19" s="135" t="n">
        <v>1573022.91</v>
      </c>
      <c r="J19" s="133"/>
      <c r="K19" s="133" t="s">
        <v>585</v>
      </c>
      <c r="L19" s="134"/>
    </row>
    <row r="20" customFormat="false" ht="15" hidden="false" customHeight="false" outlineLevel="0" collapsed="false">
      <c r="A20" s="133" t="s">
        <v>965</v>
      </c>
      <c r="B20" s="133" t="s">
        <v>321</v>
      </c>
      <c r="C20" s="133" t="s">
        <v>322</v>
      </c>
      <c r="D20" s="133" t="s">
        <v>325</v>
      </c>
      <c r="E20" s="133" t="s">
        <v>966</v>
      </c>
      <c r="F20" s="134" t="n">
        <v>46298</v>
      </c>
      <c r="G20" s="135" t="n">
        <v>3</v>
      </c>
      <c r="H20" s="135" t="n">
        <v>53430.12</v>
      </c>
      <c r="I20" s="135" t="n">
        <v>3051928.45</v>
      </c>
      <c r="J20" s="133"/>
      <c r="K20" s="133" t="s">
        <v>585</v>
      </c>
      <c r="L20" s="134"/>
    </row>
    <row r="21" customFormat="false" ht="15" hidden="false" customHeight="false" outlineLevel="0" collapsed="false">
      <c r="A21" s="133" t="s">
        <v>967</v>
      </c>
      <c r="B21" s="133" t="s">
        <v>326</v>
      </c>
      <c r="C21" s="133" t="s">
        <v>327</v>
      </c>
      <c r="D21" s="133" t="s">
        <v>330</v>
      </c>
      <c r="E21" s="133" t="s">
        <v>968</v>
      </c>
      <c r="F21" s="134" t="n">
        <v>46263</v>
      </c>
      <c r="G21" s="135" t="n">
        <v>1</v>
      </c>
      <c r="H21" s="135" t="n">
        <v>1495361</v>
      </c>
      <c r="I21" s="135" t="n">
        <v>1607513.07</v>
      </c>
      <c r="J21" s="133"/>
      <c r="K21" s="133" t="s">
        <v>585</v>
      </c>
      <c r="L21" s="134"/>
    </row>
    <row r="22" customFormat="false" ht="15" hidden="false" customHeight="false" outlineLevel="0" collapsed="false">
      <c r="A22" s="133" t="s">
        <v>969</v>
      </c>
      <c r="B22" s="133" t="s">
        <v>331</v>
      </c>
      <c r="C22" s="133" t="s">
        <v>334</v>
      </c>
      <c r="D22" s="133" t="s">
        <v>339</v>
      </c>
      <c r="E22" s="133" t="s">
        <v>970</v>
      </c>
      <c r="F22" s="134" t="n">
        <v>46261</v>
      </c>
      <c r="G22" s="135" t="n">
        <v>7</v>
      </c>
      <c r="H22" s="135" t="n">
        <v>103649</v>
      </c>
      <c r="I22" s="135" t="n">
        <v>761820.15</v>
      </c>
      <c r="J22" s="133"/>
      <c r="K22" s="133" t="s">
        <v>585</v>
      </c>
      <c r="L22" s="134"/>
    </row>
    <row r="23" customFormat="false" ht="15" hidden="false" customHeight="false" outlineLevel="0" collapsed="false">
      <c r="A23" s="133" t="s">
        <v>971</v>
      </c>
      <c r="B23" s="133" t="s">
        <v>340</v>
      </c>
      <c r="C23" s="133" t="s">
        <v>176</v>
      </c>
      <c r="D23" s="133" t="s">
        <v>342</v>
      </c>
      <c r="E23" s="133" t="s">
        <v>972</v>
      </c>
      <c r="F23" s="134" t="n">
        <v>46275</v>
      </c>
      <c r="G23" s="135" t="n">
        <v>11300</v>
      </c>
      <c r="H23" s="135" t="n">
        <v>100.97</v>
      </c>
      <c r="I23" s="135" t="n">
        <v>1198009.05</v>
      </c>
      <c r="J23" s="133"/>
      <c r="K23" s="133" t="s">
        <v>585</v>
      </c>
      <c r="L23" s="134"/>
    </row>
    <row r="24" customFormat="false" ht="15" hidden="false" customHeight="false" outlineLevel="0" collapsed="false">
      <c r="A24" s="133" t="s">
        <v>973</v>
      </c>
      <c r="B24" s="133" t="s">
        <v>343</v>
      </c>
      <c r="C24" s="133" t="s">
        <v>300</v>
      </c>
      <c r="D24" s="133" t="s">
        <v>345</v>
      </c>
      <c r="E24" s="133" t="s">
        <v>974</v>
      </c>
      <c r="F24" s="134" t="n">
        <v>46275</v>
      </c>
      <c r="G24" s="135" t="n">
        <v>200</v>
      </c>
      <c r="H24" s="135" t="n">
        <v>913</v>
      </c>
      <c r="I24" s="135" t="n">
        <v>196295</v>
      </c>
      <c r="J24" s="133"/>
      <c r="K24" s="133" t="s">
        <v>585</v>
      </c>
      <c r="L24" s="134"/>
    </row>
    <row r="25" customFormat="false" ht="15" hidden="false" customHeight="false" outlineLevel="0" collapsed="false">
      <c r="A25" s="133" t="s">
        <v>975</v>
      </c>
      <c r="B25" s="133" t="s">
        <v>350</v>
      </c>
      <c r="C25" s="133" t="s">
        <v>290</v>
      </c>
      <c r="D25" s="133" t="s">
        <v>352</v>
      </c>
      <c r="E25" s="133" t="s">
        <v>976</v>
      </c>
      <c r="F25" s="134" t="n">
        <v>46279</v>
      </c>
      <c r="G25" s="135" t="n">
        <v>83</v>
      </c>
      <c r="H25" s="135" t="n">
        <v>1856</v>
      </c>
      <c r="I25" s="135" t="n">
        <v>165601.6</v>
      </c>
      <c r="J25" s="133"/>
      <c r="K25" s="133" t="s">
        <v>585</v>
      </c>
      <c r="L25" s="134"/>
    </row>
    <row r="26" customFormat="false" ht="15" hidden="false" customHeight="false" outlineLevel="0" collapsed="false">
      <c r="A26" s="133" t="s">
        <v>977</v>
      </c>
      <c r="B26" s="133" t="s">
        <v>361</v>
      </c>
      <c r="C26" s="133" t="s">
        <v>221</v>
      </c>
      <c r="D26" s="133" t="s">
        <v>363</v>
      </c>
      <c r="E26" s="133" t="s">
        <v>978</v>
      </c>
      <c r="F26" s="134" t="n">
        <v>46285</v>
      </c>
      <c r="G26" s="135" t="n">
        <v>1266</v>
      </c>
      <c r="H26" s="135" t="n">
        <v>438</v>
      </c>
      <c r="I26" s="135" t="n">
        <v>596096.1</v>
      </c>
      <c r="J26" s="133"/>
      <c r="K26" s="133" t="s">
        <v>585</v>
      </c>
      <c r="L26" s="134"/>
    </row>
    <row r="27" customFormat="false" ht="15" hidden="false" customHeight="false" outlineLevel="0" collapsed="false">
      <c r="A27" s="133" t="s">
        <v>979</v>
      </c>
      <c r="B27" s="133" t="s">
        <v>365</v>
      </c>
      <c r="C27" s="133" t="s">
        <v>207</v>
      </c>
      <c r="D27" s="133" t="s">
        <v>367</v>
      </c>
      <c r="E27" s="133" t="s">
        <v>980</v>
      </c>
      <c r="F27" s="134" t="n">
        <v>46294</v>
      </c>
      <c r="G27" s="135" t="n">
        <v>6433</v>
      </c>
      <c r="H27" s="135" t="n">
        <v>124</v>
      </c>
      <c r="I27" s="135" t="n">
        <v>837576.6</v>
      </c>
      <c r="J27" s="133"/>
      <c r="K27" s="133" t="s">
        <v>585</v>
      </c>
      <c r="L27" s="134"/>
    </row>
    <row r="28" customFormat="false" ht="15" hidden="false" customHeight="false" outlineLevel="0" collapsed="false">
      <c r="A28" s="133" t="s">
        <v>981</v>
      </c>
      <c r="B28" s="133" t="s">
        <v>369</v>
      </c>
      <c r="C28" s="133" t="s">
        <v>155</v>
      </c>
      <c r="D28" s="133" t="s">
        <v>371</v>
      </c>
      <c r="E28" s="133" t="s">
        <v>982</v>
      </c>
      <c r="F28" s="134" t="n">
        <v>46298</v>
      </c>
      <c r="G28" s="135" t="n">
        <v>15385</v>
      </c>
      <c r="H28" s="135" t="n">
        <v>2.4</v>
      </c>
      <c r="I28" s="135" t="n">
        <v>4729964.4</v>
      </c>
      <c r="J28" s="133"/>
      <c r="K28" s="133" t="s">
        <v>585</v>
      </c>
      <c r="L28" s="134"/>
    </row>
    <row r="29" customFormat="false" ht="15" hidden="false" customHeight="false" outlineLevel="0" collapsed="false">
      <c r="A29" s="133" t="s">
        <v>983</v>
      </c>
      <c r="B29" s="133" t="s">
        <v>373</v>
      </c>
      <c r="C29" s="133" t="s">
        <v>221</v>
      </c>
      <c r="D29" s="133" t="s">
        <v>375</v>
      </c>
      <c r="E29" s="133" t="s">
        <v>984</v>
      </c>
      <c r="F29" s="134" t="n">
        <v>46284</v>
      </c>
      <c r="G29" s="135" t="n">
        <v>1200</v>
      </c>
      <c r="H29" s="135" t="n">
        <v>437</v>
      </c>
      <c r="I29" s="135" t="n">
        <v>563730</v>
      </c>
      <c r="J29" s="133"/>
      <c r="K29" s="133" t="s">
        <v>585</v>
      </c>
      <c r="L29" s="134"/>
    </row>
    <row r="30" customFormat="false" ht="15" hidden="false" customHeight="false" outlineLevel="0" collapsed="false">
      <c r="A30" s="133" t="s">
        <v>985</v>
      </c>
      <c r="B30" s="133" t="s">
        <v>376</v>
      </c>
      <c r="C30" s="133" t="s">
        <v>207</v>
      </c>
      <c r="D30" s="133" t="s">
        <v>378</v>
      </c>
      <c r="E30" s="133" t="s">
        <v>986</v>
      </c>
      <c r="F30" s="134" t="n">
        <v>46293</v>
      </c>
      <c r="G30" s="135" t="n">
        <v>4700</v>
      </c>
      <c r="H30" s="135" t="n">
        <v>125</v>
      </c>
      <c r="I30" s="135" t="n">
        <v>616875</v>
      </c>
      <c r="J30" s="133"/>
      <c r="K30" s="133" t="s">
        <v>585</v>
      </c>
      <c r="L30" s="134"/>
    </row>
    <row r="31" customFormat="false" ht="15" hidden="false" customHeight="false" outlineLevel="0" collapsed="false">
      <c r="A31" s="133" t="s">
        <v>987</v>
      </c>
      <c r="B31" s="133" t="s">
        <v>380</v>
      </c>
      <c r="C31" s="133" t="s">
        <v>253</v>
      </c>
      <c r="D31" s="133" t="s">
        <v>382</v>
      </c>
      <c r="E31" s="133" t="s">
        <v>988</v>
      </c>
      <c r="F31" s="134" t="n">
        <v>46303</v>
      </c>
      <c r="G31" s="135" t="n">
        <v>19000</v>
      </c>
      <c r="H31" s="135" t="n">
        <v>13.84</v>
      </c>
      <c r="I31" s="135" t="n">
        <v>276108</v>
      </c>
      <c r="J31" s="133"/>
      <c r="K31" s="133" t="s">
        <v>585</v>
      </c>
      <c r="L31" s="134"/>
    </row>
    <row r="32" customFormat="false" ht="15" hidden="false" customHeight="false" outlineLevel="0" collapsed="false">
      <c r="A32" s="133" t="s">
        <v>989</v>
      </c>
      <c r="B32" s="133" t="s">
        <v>387</v>
      </c>
      <c r="C32" s="133" t="s">
        <v>258</v>
      </c>
      <c r="D32" s="133" t="s">
        <v>389</v>
      </c>
      <c r="E32" s="133" t="s">
        <v>990</v>
      </c>
      <c r="F32" s="134" t="n">
        <v>46308</v>
      </c>
      <c r="G32" s="135" t="n">
        <v>1059</v>
      </c>
      <c r="H32" s="135" t="n">
        <v>335</v>
      </c>
      <c r="I32" s="135" t="n">
        <v>372503.25</v>
      </c>
      <c r="J32" s="133"/>
      <c r="K32" s="133" t="s">
        <v>585</v>
      </c>
      <c r="L32" s="134"/>
    </row>
    <row r="33" customFormat="false" ht="15" hidden="false" customHeight="false" outlineLevel="0" collapsed="false">
      <c r="A33" s="133" t="s">
        <v>991</v>
      </c>
      <c r="B33" s="133" t="s">
        <v>355</v>
      </c>
      <c r="C33" s="133" t="s">
        <v>184</v>
      </c>
      <c r="D33" s="133" t="s">
        <v>357</v>
      </c>
      <c r="E33" s="133" t="s">
        <v>992</v>
      </c>
      <c r="F33" s="134" t="n">
        <v>46301</v>
      </c>
      <c r="G33" s="135" t="n">
        <v>5200</v>
      </c>
      <c r="H33" s="135" t="n">
        <v>3.04</v>
      </c>
      <c r="I33" s="135" t="n">
        <v>2217862.4</v>
      </c>
      <c r="J33" s="133" t="s">
        <v>993</v>
      </c>
      <c r="K33" s="133" t="s">
        <v>585</v>
      </c>
      <c r="L33" s="134"/>
    </row>
    <row r="34" customFormat="false" ht="15" hidden="false" customHeight="false" outlineLevel="0" collapsed="false">
      <c r="A34" s="133"/>
      <c r="B34" s="133"/>
      <c r="C34" s="133"/>
      <c r="D34" s="133"/>
      <c r="E34" s="133"/>
      <c r="F34" s="134"/>
      <c r="G34" s="135"/>
      <c r="H34" s="135"/>
      <c r="I34" s="135"/>
      <c r="J34" s="133"/>
      <c r="K34" s="133"/>
      <c r="L34" s="134"/>
    </row>
    <row r="35" customFormat="false" ht="15" hidden="false" customHeight="false" outlineLevel="0" collapsed="false">
      <c r="A35" s="133"/>
      <c r="B35" s="133"/>
      <c r="C35" s="133"/>
      <c r="D35" s="133"/>
      <c r="E35" s="133"/>
      <c r="F35" s="134"/>
      <c r="G35" s="135"/>
      <c r="H35" s="135"/>
      <c r="I35" s="135"/>
      <c r="J35" s="133"/>
      <c r="K35" s="133"/>
      <c r="L35" s="134"/>
    </row>
    <row r="36" customFormat="false" ht="15" hidden="false" customHeight="false" outlineLevel="0" collapsed="false">
      <c r="A36" s="133"/>
      <c r="B36" s="133"/>
      <c r="C36" s="133"/>
      <c r="D36" s="133"/>
      <c r="E36" s="133"/>
      <c r="F36" s="134"/>
      <c r="G36" s="135"/>
      <c r="H36" s="135"/>
      <c r="I36" s="135"/>
      <c r="J36" s="133"/>
      <c r="K36" s="133"/>
      <c r="L36" s="134"/>
    </row>
    <row r="37" customFormat="false" ht="15" hidden="false" customHeight="false" outlineLevel="0" collapsed="false">
      <c r="A37" s="133"/>
      <c r="B37" s="133"/>
      <c r="C37" s="133"/>
      <c r="D37" s="133"/>
      <c r="E37" s="133"/>
      <c r="F37" s="134"/>
      <c r="G37" s="135"/>
      <c r="H37" s="135"/>
      <c r="I37" s="135"/>
      <c r="J37" s="133"/>
      <c r="K37" s="133"/>
      <c r="L37" s="134"/>
    </row>
    <row r="38" customFormat="false" ht="15" hidden="false" customHeight="false" outlineLevel="0" collapsed="false">
      <c r="A38" s="133"/>
      <c r="B38" s="133"/>
      <c r="C38" s="133"/>
      <c r="D38" s="133"/>
      <c r="E38" s="133"/>
      <c r="F38" s="134"/>
      <c r="G38" s="135"/>
      <c r="H38" s="135"/>
      <c r="I38" s="135"/>
      <c r="J38" s="133"/>
      <c r="K38" s="133"/>
      <c r="L38" s="134"/>
    </row>
    <row r="39" customFormat="false" ht="15" hidden="false" customHeight="false" outlineLevel="0" collapsed="false">
      <c r="A39" s="133"/>
      <c r="B39" s="133"/>
      <c r="C39" s="133"/>
      <c r="D39" s="133"/>
      <c r="E39" s="133"/>
      <c r="F39" s="134"/>
      <c r="G39" s="135"/>
      <c r="H39" s="135"/>
      <c r="I39" s="135"/>
      <c r="J39" s="133"/>
      <c r="K39" s="133"/>
      <c r="L39" s="134"/>
    </row>
    <row r="40" customFormat="false" ht="15" hidden="false" customHeight="false" outlineLevel="0" collapsed="false">
      <c r="A40" s="133"/>
      <c r="B40" s="133"/>
      <c r="C40" s="133"/>
      <c r="D40" s="133"/>
      <c r="E40" s="133"/>
      <c r="F40" s="134"/>
      <c r="G40" s="135"/>
      <c r="H40" s="135"/>
      <c r="I40" s="135"/>
      <c r="J40" s="133"/>
      <c r="K40" s="133"/>
      <c r="L40" s="134"/>
    </row>
    <row r="41" customFormat="false" ht="15" hidden="false" customHeight="false" outlineLevel="0" collapsed="false">
      <c r="A41" s="133"/>
      <c r="B41" s="133"/>
      <c r="C41" s="133"/>
      <c r="D41" s="133"/>
      <c r="E41" s="133"/>
      <c r="F41" s="134"/>
      <c r="G41" s="135"/>
      <c r="H41" s="135"/>
      <c r="I41" s="135"/>
      <c r="J41" s="133"/>
      <c r="K41" s="133"/>
      <c r="L41" s="134"/>
    </row>
    <row r="42" customFormat="false" ht="15" hidden="false" customHeight="false" outlineLevel="0" collapsed="false">
      <c r="A42" s="133"/>
      <c r="B42" s="133"/>
      <c r="C42" s="133"/>
      <c r="D42" s="133"/>
      <c r="E42" s="133"/>
      <c r="F42" s="134"/>
      <c r="G42" s="135"/>
      <c r="H42" s="135"/>
      <c r="I42" s="135"/>
      <c r="J42" s="133"/>
      <c r="K42" s="133"/>
      <c r="L42" s="134"/>
    </row>
    <row r="43" customFormat="false" ht="15" hidden="false" customHeight="false" outlineLevel="0" collapsed="false">
      <c r="A43" s="133"/>
      <c r="B43" s="133"/>
      <c r="C43" s="133"/>
      <c r="D43" s="133"/>
      <c r="E43" s="133"/>
      <c r="F43" s="134"/>
      <c r="G43" s="135"/>
      <c r="H43" s="135"/>
      <c r="I43" s="135"/>
      <c r="J43" s="133"/>
      <c r="K43" s="133"/>
      <c r="L43" s="134"/>
    </row>
    <row r="44" customFormat="false" ht="15" hidden="false" customHeight="false" outlineLevel="0" collapsed="false">
      <c r="A44" s="133"/>
      <c r="B44" s="133"/>
      <c r="C44" s="133"/>
      <c r="D44" s="133"/>
      <c r="E44" s="133"/>
      <c r="F44" s="134"/>
      <c r="G44" s="135"/>
      <c r="H44" s="135"/>
      <c r="I44" s="135"/>
      <c r="J44" s="133"/>
      <c r="K44" s="133"/>
      <c r="L44" s="134"/>
    </row>
    <row r="45" customFormat="false" ht="15" hidden="false" customHeight="false" outlineLevel="0" collapsed="false">
      <c r="A45" s="133"/>
      <c r="B45" s="133"/>
      <c r="C45" s="133"/>
      <c r="D45" s="133"/>
      <c r="E45" s="133"/>
      <c r="F45" s="134"/>
      <c r="G45" s="135"/>
      <c r="H45" s="135"/>
      <c r="I45" s="135"/>
      <c r="J45" s="133"/>
      <c r="K45" s="133"/>
      <c r="L45" s="134"/>
    </row>
    <row r="46" customFormat="false" ht="15" hidden="false" customHeight="false" outlineLevel="0" collapsed="false">
      <c r="A46" s="133"/>
      <c r="B46" s="133"/>
      <c r="C46" s="133"/>
      <c r="D46" s="133"/>
      <c r="E46" s="133"/>
      <c r="F46" s="134"/>
      <c r="G46" s="135"/>
      <c r="H46" s="135"/>
      <c r="I46" s="135"/>
      <c r="J46" s="133"/>
      <c r="K46" s="133"/>
      <c r="L46" s="134"/>
    </row>
    <row r="47" customFormat="false" ht="15" hidden="false" customHeight="false" outlineLevel="0" collapsed="false">
      <c r="A47" s="133"/>
      <c r="B47" s="133"/>
      <c r="C47" s="133"/>
      <c r="D47" s="133"/>
      <c r="E47" s="133"/>
      <c r="F47" s="134"/>
      <c r="G47" s="135"/>
      <c r="H47" s="135"/>
      <c r="I47" s="135"/>
      <c r="J47" s="133"/>
      <c r="K47" s="133"/>
      <c r="L47" s="134"/>
    </row>
    <row r="48" customFormat="false" ht="15" hidden="false" customHeight="false" outlineLevel="0" collapsed="false">
      <c r="A48" s="133"/>
      <c r="B48" s="133"/>
      <c r="C48" s="133"/>
      <c r="D48" s="133"/>
      <c r="E48" s="133"/>
      <c r="F48" s="134"/>
      <c r="G48" s="135"/>
      <c r="H48" s="135"/>
      <c r="I48" s="135"/>
      <c r="J48" s="133"/>
      <c r="K48" s="133"/>
      <c r="L48" s="134"/>
    </row>
    <row r="49" customFormat="false" ht="15" hidden="false" customHeight="false" outlineLevel="0" collapsed="false">
      <c r="A49" s="133"/>
      <c r="B49" s="133"/>
      <c r="C49" s="133"/>
      <c r="D49" s="133"/>
      <c r="E49" s="133"/>
      <c r="F49" s="134"/>
      <c r="G49" s="135"/>
      <c r="H49" s="135"/>
      <c r="I49" s="135"/>
      <c r="J49" s="133"/>
      <c r="K49" s="133"/>
      <c r="L49" s="134"/>
    </row>
    <row r="50" customFormat="false" ht="15" hidden="false" customHeight="false" outlineLevel="0" collapsed="false">
      <c r="A50" s="133"/>
      <c r="B50" s="133"/>
      <c r="C50" s="133"/>
      <c r="D50" s="133"/>
      <c r="E50" s="133"/>
      <c r="F50" s="134"/>
      <c r="G50" s="135"/>
      <c r="H50" s="135"/>
      <c r="I50" s="135"/>
      <c r="J50" s="133"/>
      <c r="K50" s="133"/>
      <c r="L50" s="134"/>
    </row>
    <row r="51" customFormat="false" ht="15" hidden="false" customHeight="false" outlineLevel="0" collapsed="false">
      <c r="A51" s="133"/>
      <c r="B51" s="133"/>
      <c r="C51" s="133"/>
      <c r="D51" s="133"/>
      <c r="E51" s="133"/>
      <c r="F51" s="134"/>
      <c r="G51" s="135"/>
      <c r="H51" s="135"/>
      <c r="I51" s="135"/>
      <c r="J51" s="133"/>
      <c r="K51" s="133"/>
      <c r="L51" s="134"/>
    </row>
    <row r="52" customFormat="false" ht="15" hidden="false" customHeight="false" outlineLevel="0" collapsed="false">
      <c r="A52" s="133"/>
      <c r="B52" s="133"/>
      <c r="C52" s="133"/>
      <c r="D52" s="133"/>
      <c r="E52" s="133"/>
      <c r="F52" s="134"/>
      <c r="G52" s="135"/>
      <c r="H52" s="135"/>
      <c r="I52" s="135"/>
      <c r="J52" s="133"/>
      <c r="K52" s="133"/>
      <c r="L52" s="134"/>
    </row>
    <row r="53" customFormat="false" ht="15" hidden="false" customHeight="false" outlineLevel="0" collapsed="false">
      <c r="A53" s="133"/>
      <c r="B53" s="133"/>
      <c r="C53" s="133"/>
      <c r="D53" s="133"/>
      <c r="E53" s="133"/>
      <c r="F53" s="134"/>
      <c r="G53" s="135"/>
      <c r="H53" s="135"/>
      <c r="I53" s="135"/>
      <c r="J53" s="133"/>
      <c r="K53" s="133"/>
      <c r="L53" s="134"/>
    </row>
    <row r="54" customFormat="false" ht="15" hidden="false" customHeight="false" outlineLevel="0" collapsed="false">
      <c r="A54" s="133"/>
      <c r="B54" s="133"/>
      <c r="C54" s="133"/>
      <c r="D54" s="133"/>
      <c r="E54" s="133"/>
      <c r="F54" s="134"/>
      <c r="G54" s="135"/>
      <c r="H54" s="135"/>
      <c r="I54" s="135"/>
      <c r="J54" s="133"/>
      <c r="K54" s="133"/>
      <c r="L54" s="134"/>
    </row>
    <row r="55" customFormat="false" ht="15" hidden="false" customHeight="false" outlineLevel="0" collapsed="false">
      <c r="A55" s="133"/>
      <c r="B55" s="133"/>
      <c r="C55" s="133"/>
      <c r="D55" s="133"/>
      <c r="E55" s="133"/>
      <c r="F55" s="134"/>
      <c r="G55" s="135"/>
      <c r="H55" s="135"/>
      <c r="I55" s="135"/>
      <c r="J55" s="133"/>
      <c r="K55" s="133"/>
      <c r="L55" s="134"/>
    </row>
    <row r="56" customFormat="false" ht="15" hidden="false" customHeight="false" outlineLevel="0" collapsed="false">
      <c r="A56" s="133"/>
      <c r="B56" s="133"/>
      <c r="C56" s="133"/>
      <c r="D56" s="133"/>
      <c r="E56" s="133"/>
      <c r="F56" s="134"/>
      <c r="G56" s="135"/>
      <c r="H56" s="135"/>
      <c r="I56" s="135"/>
      <c r="J56" s="133"/>
      <c r="K56" s="133"/>
      <c r="L56" s="134"/>
    </row>
    <row r="57" customFormat="false" ht="15" hidden="false" customHeight="false" outlineLevel="0" collapsed="false">
      <c r="A57" s="133"/>
      <c r="B57" s="133"/>
      <c r="C57" s="133"/>
      <c r="D57" s="133"/>
      <c r="E57" s="133"/>
      <c r="F57" s="134"/>
      <c r="G57" s="135"/>
      <c r="H57" s="135"/>
      <c r="I57" s="135"/>
      <c r="J57" s="133"/>
      <c r="K57" s="133"/>
      <c r="L57" s="134"/>
    </row>
    <row r="58" customFormat="false" ht="15" hidden="false" customHeight="false" outlineLevel="0" collapsed="false">
      <c r="A58" s="133"/>
      <c r="B58" s="133"/>
      <c r="C58" s="133"/>
      <c r="D58" s="133"/>
      <c r="E58" s="133"/>
      <c r="F58" s="134"/>
      <c r="G58" s="135"/>
      <c r="H58" s="135"/>
      <c r="I58" s="135"/>
      <c r="J58" s="133"/>
      <c r="K58" s="133"/>
      <c r="L58" s="134"/>
    </row>
    <row r="59" customFormat="false" ht="15" hidden="false" customHeight="false" outlineLevel="0" collapsed="false">
      <c r="A59" s="133"/>
      <c r="B59" s="133"/>
      <c r="C59" s="133"/>
      <c r="D59" s="133"/>
      <c r="E59" s="133"/>
      <c r="F59" s="134"/>
      <c r="G59" s="135"/>
      <c r="H59" s="135"/>
      <c r="I59" s="135"/>
      <c r="J59" s="133"/>
      <c r="K59" s="133"/>
      <c r="L59" s="134"/>
    </row>
    <row r="60" customFormat="false" ht="15" hidden="false" customHeight="false" outlineLevel="0" collapsed="false">
      <c r="A60" s="133"/>
      <c r="B60" s="133"/>
      <c r="C60" s="133"/>
      <c r="D60" s="133"/>
      <c r="E60" s="133"/>
      <c r="F60" s="134"/>
      <c r="G60" s="135"/>
      <c r="H60" s="135"/>
      <c r="I60" s="135"/>
      <c r="J60" s="133"/>
      <c r="K60" s="133"/>
      <c r="L60" s="134"/>
    </row>
    <row r="61" customFormat="false" ht="15" hidden="false" customHeight="false" outlineLevel="0" collapsed="false">
      <c r="A61" s="133"/>
      <c r="B61" s="133"/>
      <c r="C61" s="133"/>
      <c r="D61" s="133"/>
      <c r="E61" s="133"/>
      <c r="F61" s="134"/>
      <c r="G61" s="135"/>
      <c r="H61" s="135"/>
      <c r="I61" s="135"/>
      <c r="J61" s="133"/>
      <c r="K61" s="133"/>
      <c r="L61" s="134"/>
    </row>
    <row r="62" customFormat="false" ht="15" hidden="false" customHeight="false" outlineLevel="0" collapsed="false">
      <c r="A62" s="133"/>
      <c r="B62" s="133"/>
      <c r="C62" s="133"/>
      <c r="D62" s="133"/>
      <c r="E62" s="133"/>
      <c r="F62" s="134"/>
      <c r="G62" s="135"/>
      <c r="H62" s="135"/>
      <c r="I62" s="135"/>
      <c r="J62" s="133"/>
      <c r="K62" s="133"/>
      <c r="L62" s="134"/>
    </row>
    <row r="63" customFormat="false" ht="15" hidden="false" customHeight="false" outlineLevel="0" collapsed="false">
      <c r="A63" s="133"/>
      <c r="B63" s="133"/>
      <c r="C63" s="133"/>
      <c r="D63" s="133"/>
      <c r="E63" s="133"/>
      <c r="F63" s="134"/>
      <c r="G63" s="135"/>
      <c r="H63" s="135"/>
      <c r="I63" s="135"/>
      <c r="J63" s="133"/>
      <c r="K63" s="133"/>
      <c r="L63" s="134"/>
    </row>
    <row r="64" customFormat="false" ht="15" hidden="false" customHeight="false" outlineLevel="0" collapsed="false">
      <c r="A64" s="133"/>
      <c r="B64" s="133"/>
      <c r="C64" s="133"/>
      <c r="D64" s="133"/>
      <c r="E64" s="133"/>
      <c r="F64" s="134"/>
      <c r="G64" s="135"/>
      <c r="H64" s="135"/>
      <c r="I64" s="135"/>
      <c r="J64" s="133"/>
      <c r="K64" s="133"/>
      <c r="L64" s="134"/>
    </row>
    <row r="65" customFormat="false" ht="15" hidden="false" customHeight="false" outlineLevel="0" collapsed="false">
      <c r="A65" s="133"/>
      <c r="B65" s="133"/>
      <c r="C65" s="133"/>
      <c r="D65" s="133"/>
      <c r="E65" s="133"/>
      <c r="F65" s="134"/>
      <c r="G65" s="135"/>
      <c r="H65" s="135"/>
      <c r="I65" s="135"/>
      <c r="J65" s="133"/>
      <c r="K65" s="133"/>
      <c r="L65" s="134"/>
    </row>
    <row r="66" customFormat="false" ht="15" hidden="false" customHeight="false" outlineLevel="0" collapsed="false">
      <c r="A66" s="133"/>
      <c r="B66" s="133"/>
      <c r="C66" s="133"/>
      <c r="D66" s="133"/>
      <c r="E66" s="133"/>
      <c r="F66" s="134"/>
      <c r="G66" s="135"/>
      <c r="H66" s="135"/>
      <c r="I66" s="135"/>
      <c r="J66" s="133"/>
      <c r="K66" s="133"/>
      <c r="L66" s="134"/>
    </row>
    <row r="67" customFormat="false" ht="15" hidden="false" customHeight="false" outlineLevel="0" collapsed="false">
      <c r="A67" s="133"/>
      <c r="B67" s="133"/>
      <c r="C67" s="133"/>
      <c r="D67" s="133"/>
      <c r="E67" s="133"/>
      <c r="F67" s="134"/>
      <c r="G67" s="135"/>
      <c r="H67" s="135"/>
      <c r="I67" s="135"/>
      <c r="J67" s="133"/>
      <c r="K67" s="133"/>
      <c r="L67" s="134"/>
    </row>
    <row r="68" customFormat="false" ht="15" hidden="false" customHeight="false" outlineLevel="0" collapsed="false">
      <c r="A68" s="133"/>
      <c r="B68" s="133"/>
      <c r="C68" s="133"/>
      <c r="D68" s="133"/>
      <c r="E68" s="133"/>
      <c r="F68" s="134"/>
      <c r="G68" s="135"/>
      <c r="H68" s="135"/>
      <c r="I68" s="135"/>
      <c r="J68" s="133"/>
      <c r="K68" s="133"/>
      <c r="L68" s="134"/>
    </row>
    <row r="69" customFormat="false" ht="15" hidden="false" customHeight="false" outlineLevel="0" collapsed="false">
      <c r="A69" s="133"/>
      <c r="B69" s="133"/>
      <c r="C69" s="133"/>
      <c r="D69" s="133"/>
      <c r="E69" s="133"/>
      <c r="F69" s="134"/>
      <c r="G69" s="135"/>
      <c r="H69" s="135"/>
      <c r="I69" s="135"/>
      <c r="J69" s="133"/>
      <c r="K69" s="133"/>
      <c r="L69" s="134"/>
    </row>
    <row r="70" customFormat="false" ht="15" hidden="false" customHeight="false" outlineLevel="0" collapsed="false">
      <c r="A70" s="133"/>
      <c r="B70" s="133"/>
      <c r="C70" s="133"/>
      <c r="D70" s="133"/>
      <c r="E70" s="133"/>
      <c r="F70" s="134"/>
      <c r="G70" s="135"/>
      <c r="H70" s="135"/>
      <c r="I70" s="135"/>
      <c r="J70" s="133"/>
      <c r="K70" s="133"/>
      <c r="L70" s="134"/>
    </row>
    <row r="71" customFormat="false" ht="15" hidden="false" customHeight="false" outlineLevel="0" collapsed="false">
      <c r="A71" s="133"/>
      <c r="B71" s="133"/>
      <c r="C71" s="133"/>
      <c r="D71" s="133"/>
      <c r="E71" s="133"/>
      <c r="F71" s="134"/>
      <c r="G71" s="135"/>
      <c r="H71" s="135"/>
      <c r="I71" s="135"/>
      <c r="J71" s="133"/>
      <c r="K71" s="133"/>
      <c r="L71" s="134"/>
    </row>
    <row r="72" customFormat="false" ht="15" hidden="false" customHeight="false" outlineLevel="0" collapsed="false">
      <c r="A72" s="133"/>
      <c r="B72" s="133"/>
      <c r="C72" s="133"/>
      <c r="D72" s="133"/>
      <c r="E72" s="133"/>
      <c r="F72" s="134"/>
      <c r="G72" s="135"/>
      <c r="H72" s="135"/>
      <c r="I72" s="135"/>
      <c r="J72" s="133"/>
      <c r="K72" s="133"/>
      <c r="L72" s="134"/>
    </row>
    <row r="73" customFormat="false" ht="15" hidden="false" customHeight="false" outlineLevel="0" collapsed="false">
      <c r="A73" s="133"/>
      <c r="B73" s="133"/>
      <c r="C73" s="133"/>
      <c r="D73" s="133"/>
      <c r="E73" s="133"/>
      <c r="F73" s="134"/>
      <c r="G73" s="135"/>
      <c r="H73" s="135"/>
      <c r="I73" s="135"/>
      <c r="J73" s="133"/>
      <c r="K73" s="133"/>
      <c r="L73" s="134"/>
    </row>
    <row r="74" customFormat="false" ht="15" hidden="false" customHeight="false" outlineLevel="0" collapsed="false">
      <c r="A74" s="133"/>
      <c r="B74" s="133"/>
      <c r="C74" s="133"/>
      <c r="D74" s="133"/>
      <c r="E74" s="133"/>
      <c r="F74" s="134"/>
      <c r="G74" s="135"/>
      <c r="H74" s="135"/>
      <c r="I74" s="135"/>
      <c r="J74" s="133"/>
      <c r="K74" s="133"/>
      <c r="L74" s="134"/>
    </row>
    <row r="75" customFormat="false" ht="15" hidden="false" customHeight="false" outlineLevel="0" collapsed="false">
      <c r="A75" s="133"/>
      <c r="B75" s="133"/>
      <c r="C75" s="133"/>
      <c r="D75" s="133"/>
      <c r="E75" s="133"/>
      <c r="F75" s="134"/>
      <c r="G75" s="135"/>
      <c r="H75" s="135"/>
      <c r="I75" s="135"/>
      <c r="J75" s="133"/>
      <c r="K75" s="133"/>
      <c r="L75" s="134"/>
    </row>
    <row r="76" customFormat="false" ht="15" hidden="false" customHeight="false" outlineLevel="0" collapsed="false">
      <c r="A76" s="133"/>
      <c r="B76" s="133"/>
      <c r="C76" s="133"/>
      <c r="D76" s="133"/>
      <c r="E76" s="133"/>
      <c r="F76" s="134"/>
      <c r="G76" s="135"/>
      <c r="H76" s="135"/>
      <c r="I76" s="135"/>
      <c r="J76" s="133"/>
      <c r="K76" s="133"/>
      <c r="L76" s="134"/>
    </row>
    <row r="77" customFormat="false" ht="15" hidden="false" customHeight="false" outlineLevel="0" collapsed="false">
      <c r="A77" s="133"/>
      <c r="B77" s="133"/>
      <c r="C77" s="133"/>
      <c r="D77" s="133"/>
      <c r="E77" s="133"/>
      <c r="F77" s="134"/>
      <c r="G77" s="135"/>
      <c r="H77" s="135"/>
      <c r="I77" s="135"/>
      <c r="J77" s="133"/>
      <c r="K77" s="133"/>
      <c r="L77" s="134"/>
    </row>
    <row r="78" customFormat="false" ht="15" hidden="false" customHeight="false" outlineLevel="0" collapsed="false">
      <c r="A78" s="133"/>
      <c r="B78" s="133"/>
      <c r="C78" s="133"/>
      <c r="D78" s="133"/>
      <c r="E78" s="133"/>
      <c r="F78" s="134"/>
      <c r="G78" s="135"/>
      <c r="H78" s="135"/>
      <c r="I78" s="135"/>
      <c r="J78" s="133"/>
      <c r="K78" s="133"/>
      <c r="L78" s="134"/>
    </row>
    <row r="79" customFormat="false" ht="15" hidden="false" customHeight="false" outlineLevel="0" collapsed="false">
      <c r="A79" s="133"/>
      <c r="B79" s="133"/>
      <c r="C79" s="133"/>
      <c r="D79" s="133"/>
      <c r="E79" s="133"/>
      <c r="F79" s="134"/>
      <c r="G79" s="135"/>
      <c r="H79" s="135"/>
      <c r="I79" s="135"/>
      <c r="J79" s="133"/>
      <c r="K79" s="133"/>
      <c r="L79" s="134"/>
    </row>
    <row r="80" customFormat="false" ht="15" hidden="false" customHeight="false" outlineLevel="0" collapsed="false">
      <c r="A80" s="133"/>
      <c r="B80" s="133"/>
      <c r="C80" s="133"/>
      <c r="D80" s="133"/>
      <c r="E80" s="133"/>
      <c r="F80" s="134"/>
      <c r="G80" s="135"/>
      <c r="H80" s="135"/>
      <c r="I80" s="135"/>
      <c r="J80" s="133"/>
      <c r="K80" s="133"/>
      <c r="L80" s="134"/>
    </row>
    <row r="81" customFormat="false" ht="15" hidden="false" customHeight="false" outlineLevel="0" collapsed="false">
      <c r="A81" s="133"/>
      <c r="B81" s="133"/>
      <c r="C81" s="133"/>
      <c r="D81" s="133"/>
      <c r="E81" s="133"/>
      <c r="F81" s="134"/>
      <c r="G81" s="135"/>
      <c r="H81" s="135"/>
      <c r="I81" s="135"/>
      <c r="J81" s="133"/>
      <c r="K81" s="133"/>
      <c r="L81" s="134"/>
    </row>
    <row r="82" customFormat="false" ht="15" hidden="false" customHeight="false" outlineLevel="0" collapsed="false">
      <c r="A82" s="133"/>
      <c r="B82" s="133"/>
      <c r="C82" s="133"/>
      <c r="D82" s="133"/>
      <c r="E82" s="133"/>
      <c r="F82" s="134"/>
      <c r="G82" s="135"/>
      <c r="H82" s="135"/>
      <c r="I82" s="135"/>
      <c r="J82" s="133"/>
      <c r="K82" s="133"/>
      <c r="L82" s="134"/>
    </row>
    <row r="83" customFormat="false" ht="15" hidden="false" customHeight="false" outlineLevel="0" collapsed="false">
      <c r="A83" s="133"/>
      <c r="B83" s="133"/>
      <c r="C83" s="133"/>
      <c r="D83" s="133"/>
      <c r="E83" s="133"/>
      <c r="F83" s="134"/>
      <c r="G83" s="135"/>
      <c r="H83" s="135"/>
      <c r="I83" s="135"/>
      <c r="J83" s="133"/>
      <c r="K83" s="133"/>
      <c r="L83" s="134"/>
    </row>
    <row r="84" customFormat="false" ht="15" hidden="false" customHeight="false" outlineLevel="0" collapsed="false">
      <c r="A84" s="133"/>
      <c r="B84" s="133"/>
      <c r="C84" s="133"/>
      <c r="D84" s="133"/>
      <c r="E84" s="133"/>
      <c r="F84" s="134"/>
      <c r="G84" s="135"/>
      <c r="H84" s="135"/>
      <c r="I84" s="135"/>
      <c r="J84" s="133"/>
      <c r="K84" s="133"/>
      <c r="L84" s="134"/>
    </row>
    <row r="85" customFormat="false" ht="15" hidden="false" customHeight="false" outlineLevel="0" collapsed="false">
      <c r="A85" s="133"/>
      <c r="B85" s="133"/>
      <c r="C85" s="133"/>
      <c r="D85" s="133"/>
      <c r="E85" s="133"/>
      <c r="F85" s="134"/>
      <c r="G85" s="135"/>
      <c r="H85" s="135"/>
      <c r="I85" s="135"/>
      <c r="J85" s="133"/>
      <c r="K85" s="133"/>
      <c r="L85" s="134"/>
    </row>
    <row r="86" customFormat="false" ht="15" hidden="false" customHeight="false" outlineLevel="0" collapsed="false">
      <c r="A86" s="133"/>
      <c r="B86" s="133"/>
      <c r="C86" s="133"/>
      <c r="D86" s="133"/>
      <c r="E86" s="133"/>
      <c r="F86" s="134"/>
      <c r="G86" s="135"/>
      <c r="H86" s="135"/>
      <c r="I86" s="135"/>
      <c r="J86" s="133"/>
      <c r="K86" s="133"/>
      <c r="L86" s="134"/>
    </row>
    <row r="87" customFormat="false" ht="15" hidden="false" customHeight="false" outlineLevel="0" collapsed="false">
      <c r="A87" s="133"/>
      <c r="B87" s="133"/>
      <c r="C87" s="133"/>
      <c r="D87" s="133"/>
      <c r="E87" s="133"/>
      <c r="F87" s="134"/>
      <c r="G87" s="135"/>
      <c r="H87" s="135"/>
      <c r="I87" s="135"/>
      <c r="J87" s="133"/>
      <c r="K87" s="133"/>
      <c r="L87" s="134"/>
    </row>
    <row r="88" customFormat="false" ht="15" hidden="false" customHeight="false" outlineLevel="0" collapsed="false">
      <c r="A88" s="133"/>
      <c r="B88" s="133"/>
      <c r="C88" s="133"/>
      <c r="D88" s="133"/>
      <c r="E88" s="133"/>
      <c r="F88" s="134"/>
      <c r="G88" s="135"/>
      <c r="H88" s="135"/>
      <c r="I88" s="135"/>
      <c r="J88" s="133"/>
      <c r="K88" s="133"/>
      <c r="L88" s="134"/>
    </row>
    <row r="89" customFormat="false" ht="15" hidden="false" customHeight="false" outlineLevel="0" collapsed="false">
      <c r="A89" s="133"/>
      <c r="B89" s="133"/>
      <c r="C89" s="133"/>
      <c r="D89" s="133"/>
      <c r="E89" s="133"/>
      <c r="F89" s="134"/>
      <c r="G89" s="135"/>
      <c r="H89" s="135"/>
      <c r="I89" s="135"/>
      <c r="J89" s="133"/>
      <c r="K89" s="133"/>
      <c r="L89" s="134"/>
    </row>
    <row r="90" customFormat="false" ht="15" hidden="false" customHeight="false" outlineLevel="0" collapsed="false">
      <c r="A90" s="133"/>
      <c r="B90" s="133"/>
      <c r="C90" s="133"/>
      <c r="D90" s="133"/>
      <c r="E90" s="133"/>
      <c r="F90" s="134"/>
      <c r="G90" s="135"/>
      <c r="H90" s="135"/>
      <c r="I90" s="135"/>
      <c r="J90" s="133"/>
      <c r="K90" s="133"/>
      <c r="L90" s="134"/>
    </row>
    <row r="91" customFormat="false" ht="15" hidden="false" customHeight="false" outlineLevel="0" collapsed="false">
      <c r="A91" s="133"/>
      <c r="B91" s="133"/>
      <c r="C91" s="133"/>
      <c r="D91" s="133"/>
      <c r="E91" s="133"/>
      <c r="F91" s="134"/>
      <c r="G91" s="135"/>
      <c r="H91" s="135"/>
      <c r="I91" s="135"/>
      <c r="J91" s="133"/>
      <c r="K91" s="133"/>
      <c r="L91" s="134"/>
    </row>
    <row r="92" customFormat="false" ht="15" hidden="false" customHeight="false" outlineLevel="0" collapsed="false">
      <c r="A92" s="133"/>
      <c r="B92" s="133"/>
      <c r="C92" s="133"/>
      <c r="D92" s="133"/>
      <c r="E92" s="133"/>
      <c r="F92" s="134"/>
      <c r="G92" s="135"/>
      <c r="H92" s="135"/>
      <c r="I92" s="135"/>
      <c r="J92" s="133"/>
      <c r="K92" s="133"/>
      <c r="L92" s="134"/>
    </row>
    <row r="93" customFormat="false" ht="15" hidden="false" customHeight="false" outlineLevel="0" collapsed="false">
      <c r="A93" s="133"/>
      <c r="B93" s="133"/>
      <c r="C93" s="133"/>
      <c r="D93" s="133"/>
      <c r="E93" s="133"/>
      <c r="F93" s="134"/>
      <c r="G93" s="135"/>
      <c r="H93" s="135"/>
      <c r="I93" s="135"/>
      <c r="J93" s="133"/>
      <c r="K93" s="133"/>
      <c r="L93" s="134"/>
    </row>
    <row r="94" customFormat="false" ht="15" hidden="false" customHeight="false" outlineLevel="0" collapsed="false">
      <c r="A94" s="133"/>
      <c r="B94" s="133"/>
      <c r="C94" s="133"/>
      <c r="D94" s="133"/>
      <c r="E94" s="133"/>
      <c r="F94" s="134"/>
      <c r="G94" s="135"/>
      <c r="H94" s="135"/>
      <c r="I94" s="135"/>
      <c r="J94" s="133"/>
      <c r="K94" s="133"/>
      <c r="L94" s="134"/>
    </row>
    <row r="95" customFormat="false" ht="15" hidden="false" customHeight="false" outlineLevel="0" collapsed="false">
      <c r="A95" s="133"/>
      <c r="B95" s="133"/>
      <c r="C95" s="133"/>
      <c r="D95" s="133"/>
      <c r="E95" s="133"/>
      <c r="F95" s="134"/>
      <c r="G95" s="135"/>
      <c r="H95" s="135"/>
      <c r="I95" s="135"/>
      <c r="J95" s="133"/>
      <c r="K95" s="133"/>
      <c r="L95" s="134"/>
    </row>
    <row r="96" customFormat="false" ht="15" hidden="false" customHeight="false" outlineLevel="0" collapsed="false">
      <c r="A96" s="133"/>
      <c r="B96" s="133"/>
      <c r="C96" s="133"/>
      <c r="D96" s="133"/>
      <c r="E96" s="133"/>
      <c r="F96" s="134"/>
      <c r="G96" s="135"/>
      <c r="H96" s="135"/>
      <c r="I96" s="135"/>
      <c r="J96" s="133"/>
      <c r="K96" s="133"/>
      <c r="L96" s="134"/>
    </row>
    <row r="97" customFormat="false" ht="15" hidden="false" customHeight="false" outlineLevel="0" collapsed="false">
      <c r="A97" s="133"/>
      <c r="B97" s="133"/>
      <c r="C97" s="133"/>
      <c r="D97" s="133"/>
      <c r="E97" s="133"/>
      <c r="F97" s="134"/>
      <c r="G97" s="135"/>
      <c r="H97" s="135"/>
      <c r="I97" s="135"/>
      <c r="J97" s="133"/>
      <c r="K97" s="133"/>
      <c r="L97" s="134"/>
    </row>
    <row r="98" customFormat="false" ht="15" hidden="false" customHeight="false" outlineLevel="0" collapsed="false">
      <c r="A98" s="133"/>
      <c r="B98" s="133"/>
      <c r="C98" s="133"/>
      <c r="D98" s="133"/>
      <c r="E98" s="133"/>
      <c r="F98" s="134"/>
      <c r="G98" s="135"/>
      <c r="H98" s="135"/>
      <c r="I98" s="135"/>
      <c r="J98" s="133"/>
      <c r="K98" s="133"/>
      <c r="L98" s="134"/>
    </row>
    <row r="99" customFormat="false" ht="15" hidden="false" customHeight="false" outlineLevel="0" collapsed="false">
      <c r="A99" s="133"/>
      <c r="B99" s="133"/>
      <c r="C99" s="133"/>
      <c r="D99" s="133"/>
      <c r="E99" s="133"/>
      <c r="F99" s="134"/>
      <c r="G99" s="135"/>
      <c r="H99" s="135"/>
      <c r="I99" s="135"/>
      <c r="J99" s="133"/>
      <c r="K99" s="133"/>
      <c r="L99" s="134"/>
    </row>
    <row r="100" customFormat="false" ht="15" hidden="false" customHeight="false" outlineLevel="0" collapsed="false">
      <c r="A100" s="133"/>
      <c r="B100" s="133"/>
      <c r="C100" s="133"/>
      <c r="D100" s="133"/>
      <c r="E100" s="133"/>
      <c r="F100" s="134"/>
      <c r="G100" s="135"/>
      <c r="H100" s="135"/>
      <c r="I100" s="135"/>
      <c r="J100" s="133"/>
      <c r="K100" s="133"/>
      <c r="L100" s="134"/>
    </row>
    <row r="101" customFormat="false" ht="15" hidden="false" customHeight="false" outlineLevel="0" collapsed="false">
      <c r="A101" s="133"/>
      <c r="B101" s="133"/>
      <c r="C101" s="133"/>
      <c r="D101" s="133"/>
      <c r="E101" s="133"/>
      <c r="F101" s="134"/>
      <c r="G101" s="135"/>
      <c r="H101" s="135"/>
      <c r="I101" s="135"/>
      <c r="J101" s="133"/>
      <c r="K101" s="133"/>
      <c r="L101" s="134"/>
    </row>
    <row r="102" customFormat="false" ht="15" hidden="false" customHeight="false" outlineLevel="0" collapsed="false">
      <c r="A102" s="133"/>
      <c r="B102" s="133"/>
      <c r="C102" s="133"/>
      <c r="D102" s="133"/>
      <c r="E102" s="133"/>
      <c r="F102" s="134"/>
      <c r="G102" s="135"/>
      <c r="H102" s="135"/>
      <c r="I102" s="135"/>
      <c r="J102" s="133"/>
      <c r="K102" s="133"/>
      <c r="L102" s="134"/>
    </row>
    <row r="103" customFormat="false" ht="15" hidden="false" customHeight="false" outlineLevel="0" collapsed="false">
      <c r="A103" s="133"/>
      <c r="B103" s="133"/>
      <c r="C103" s="133"/>
      <c r="D103" s="133"/>
      <c r="E103" s="133"/>
      <c r="F103" s="134"/>
      <c r="G103" s="135"/>
      <c r="H103" s="135"/>
      <c r="I103" s="135"/>
      <c r="J103" s="133"/>
      <c r="K103" s="133"/>
      <c r="L103" s="134"/>
    </row>
    <row r="104" customFormat="false" ht="15" hidden="false" customHeight="false" outlineLevel="0" collapsed="false">
      <c r="A104" s="133"/>
      <c r="B104" s="133"/>
      <c r="C104" s="133"/>
      <c r="D104" s="133"/>
      <c r="E104" s="133"/>
      <c r="F104" s="134"/>
      <c r="G104" s="135"/>
      <c r="H104" s="135"/>
      <c r="I104" s="135"/>
      <c r="J104" s="133"/>
      <c r="K104" s="133"/>
      <c r="L104" s="134"/>
    </row>
    <row r="105" customFormat="false" ht="15" hidden="false" customHeight="false" outlineLevel="0" collapsed="false">
      <c r="A105" s="133"/>
      <c r="B105" s="133"/>
      <c r="C105" s="133"/>
      <c r="D105" s="133"/>
      <c r="E105" s="133"/>
      <c r="F105" s="134"/>
      <c r="G105" s="135"/>
      <c r="H105" s="135"/>
      <c r="I105" s="135"/>
      <c r="J105" s="133"/>
      <c r="K105" s="133"/>
      <c r="L105" s="134"/>
    </row>
    <row r="106" customFormat="false" ht="15" hidden="false" customHeight="false" outlineLevel="0" collapsed="false">
      <c r="A106" s="133"/>
      <c r="B106" s="133"/>
      <c r="C106" s="133"/>
      <c r="D106" s="133"/>
      <c r="E106" s="133"/>
      <c r="F106" s="134"/>
      <c r="G106" s="135"/>
      <c r="H106" s="135"/>
      <c r="I106" s="135"/>
      <c r="J106" s="133"/>
      <c r="K106" s="133"/>
      <c r="L106" s="134"/>
    </row>
    <row r="107" customFormat="false" ht="15" hidden="false" customHeight="false" outlineLevel="0" collapsed="false">
      <c r="A107" s="133"/>
      <c r="B107" s="133"/>
      <c r="C107" s="133"/>
      <c r="D107" s="133"/>
      <c r="E107" s="133"/>
      <c r="F107" s="134"/>
      <c r="G107" s="135"/>
      <c r="H107" s="135"/>
      <c r="I107" s="135"/>
      <c r="J107" s="133"/>
      <c r="K107" s="133"/>
      <c r="L107" s="134"/>
    </row>
    <row r="108" customFormat="false" ht="15" hidden="false" customHeight="false" outlineLevel="0" collapsed="false">
      <c r="A108" s="133"/>
      <c r="B108" s="133"/>
      <c r="C108" s="133"/>
      <c r="D108" s="133"/>
      <c r="E108" s="133"/>
      <c r="F108" s="134"/>
      <c r="G108" s="135"/>
      <c r="H108" s="135"/>
      <c r="I108" s="135"/>
      <c r="J108" s="133"/>
      <c r="K108" s="133"/>
      <c r="L108" s="134"/>
    </row>
    <row r="109" customFormat="false" ht="15" hidden="false" customHeight="false" outlineLevel="0" collapsed="false">
      <c r="A109" s="133"/>
      <c r="B109" s="133"/>
      <c r="C109" s="133"/>
      <c r="D109" s="133"/>
      <c r="E109" s="133"/>
      <c r="F109" s="134"/>
      <c r="G109" s="135"/>
      <c r="H109" s="135"/>
      <c r="I109" s="135"/>
      <c r="J109" s="133"/>
      <c r="K109" s="133"/>
      <c r="L109" s="134"/>
    </row>
    <row r="110" customFormat="false" ht="15" hidden="false" customHeight="false" outlineLevel="0" collapsed="false">
      <c r="A110" s="133"/>
      <c r="B110" s="133"/>
      <c r="C110" s="133"/>
      <c r="D110" s="133"/>
      <c r="E110" s="133"/>
      <c r="F110" s="134"/>
      <c r="G110" s="135"/>
      <c r="H110" s="135"/>
      <c r="I110" s="135"/>
      <c r="J110" s="133"/>
      <c r="K110" s="133"/>
      <c r="L110" s="134"/>
    </row>
    <row r="111" customFormat="false" ht="15" hidden="false" customHeight="false" outlineLevel="0" collapsed="false">
      <c r="A111" s="133"/>
      <c r="B111" s="133"/>
      <c r="C111" s="133"/>
      <c r="D111" s="133"/>
      <c r="E111" s="133"/>
      <c r="F111" s="134"/>
      <c r="G111" s="135"/>
      <c r="H111" s="135"/>
      <c r="I111" s="135"/>
      <c r="J111" s="133"/>
      <c r="K111" s="133"/>
      <c r="L111" s="134"/>
    </row>
    <row r="112" customFormat="false" ht="15" hidden="false" customHeight="false" outlineLevel="0" collapsed="false">
      <c r="A112" s="133"/>
      <c r="B112" s="133"/>
      <c r="C112" s="133"/>
      <c r="D112" s="133"/>
      <c r="E112" s="133"/>
      <c r="F112" s="134"/>
      <c r="G112" s="135"/>
      <c r="H112" s="135"/>
      <c r="I112" s="135"/>
      <c r="J112" s="133"/>
      <c r="K112" s="133"/>
      <c r="L112" s="134"/>
    </row>
    <row r="113" customFormat="false" ht="15" hidden="false" customHeight="false" outlineLevel="0" collapsed="false">
      <c r="A113" s="133"/>
      <c r="B113" s="133"/>
      <c r="C113" s="133"/>
      <c r="D113" s="133"/>
      <c r="E113" s="133"/>
      <c r="F113" s="134"/>
      <c r="G113" s="135"/>
      <c r="H113" s="135"/>
      <c r="I113" s="135"/>
      <c r="J113" s="133"/>
      <c r="K113" s="133"/>
      <c r="L113" s="134"/>
    </row>
    <row r="114" customFormat="false" ht="15" hidden="false" customHeight="false" outlineLevel="0" collapsed="false">
      <c r="A114" s="133"/>
      <c r="B114" s="133"/>
      <c r="C114" s="133"/>
      <c r="D114" s="133"/>
      <c r="E114" s="133"/>
      <c r="F114" s="134"/>
      <c r="G114" s="135"/>
      <c r="H114" s="135"/>
      <c r="I114" s="135"/>
      <c r="J114" s="133"/>
      <c r="K114" s="133"/>
      <c r="L114" s="134"/>
    </row>
    <row r="115" customFormat="false" ht="15" hidden="false" customHeight="false" outlineLevel="0" collapsed="false">
      <c r="A115" s="133"/>
      <c r="B115" s="133"/>
      <c r="C115" s="133"/>
      <c r="D115" s="133"/>
      <c r="E115" s="133"/>
      <c r="F115" s="134"/>
      <c r="G115" s="135"/>
      <c r="H115" s="135"/>
      <c r="I115" s="135"/>
      <c r="J115" s="133"/>
      <c r="K115" s="133"/>
      <c r="L115" s="134"/>
    </row>
    <row r="116" customFormat="false" ht="15" hidden="false" customHeight="false" outlineLevel="0" collapsed="false">
      <c r="A116" s="133"/>
      <c r="B116" s="133"/>
      <c r="C116" s="133"/>
      <c r="D116" s="133"/>
      <c r="E116" s="133"/>
      <c r="F116" s="134"/>
      <c r="G116" s="135"/>
      <c r="H116" s="135"/>
      <c r="I116" s="135"/>
      <c r="J116" s="133"/>
      <c r="K116" s="133"/>
      <c r="L116" s="134"/>
    </row>
    <row r="117" customFormat="false" ht="15" hidden="false" customHeight="false" outlineLevel="0" collapsed="false">
      <c r="A117" s="133"/>
      <c r="B117" s="133"/>
      <c r="C117" s="133"/>
      <c r="D117" s="133"/>
      <c r="E117" s="133"/>
      <c r="F117" s="134"/>
      <c r="G117" s="135"/>
      <c r="H117" s="135"/>
      <c r="I117" s="135"/>
      <c r="J117" s="133"/>
      <c r="K117" s="133"/>
      <c r="L117" s="134"/>
    </row>
    <row r="118" customFormat="false" ht="15" hidden="false" customHeight="false" outlineLevel="0" collapsed="false">
      <c r="A118" s="133"/>
      <c r="B118" s="133"/>
      <c r="C118" s="133"/>
      <c r="D118" s="133"/>
      <c r="E118" s="133"/>
      <c r="F118" s="134"/>
      <c r="G118" s="135"/>
      <c r="H118" s="135"/>
      <c r="I118" s="135"/>
      <c r="J118" s="133"/>
      <c r="K118" s="133"/>
      <c r="L118" s="134"/>
    </row>
    <row r="119" customFormat="false" ht="15" hidden="false" customHeight="false" outlineLevel="0" collapsed="false">
      <c r="A119" s="133"/>
      <c r="B119" s="133"/>
      <c r="C119" s="133"/>
      <c r="D119" s="133"/>
      <c r="E119" s="133"/>
      <c r="F119" s="134"/>
      <c r="G119" s="135"/>
      <c r="H119" s="135"/>
      <c r="I119" s="135"/>
      <c r="J119" s="133"/>
      <c r="K119" s="133"/>
      <c r="L119" s="134"/>
    </row>
    <row r="120" customFormat="false" ht="15" hidden="false" customHeight="false" outlineLevel="0" collapsed="false">
      <c r="A120" s="133"/>
      <c r="B120" s="133"/>
      <c r="C120" s="133"/>
      <c r="D120" s="133"/>
      <c r="E120" s="133"/>
      <c r="F120" s="134"/>
      <c r="G120" s="135"/>
      <c r="H120" s="135"/>
      <c r="I120" s="135"/>
      <c r="J120" s="133"/>
      <c r="K120" s="133"/>
      <c r="L120" s="134"/>
    </row>
    <row r="121" customFormat="false" ht="15" hidden="false" customHeight="false" outlineLevel="0" collapsed="false">
      <c r="A121" s="133"/>
      <c r="B121" s="133"/>
      <c r="C121" s="133"/>
      <c r="D121" s="133"/>
      <c r="E121" s="133"/>
      <c r="F121" s="134"/>
      <c r="G121" s="135"/>
      <c r="H121" s="135"/>
      <c r="I121" s="135"/>
      <c r="J121" s="133"/>
      <c r="K121" s="133"/>
      <c r="L121" s="134"/>
    </row>
    <row r="122" customFormat="false" ht="15" hidden="false" customHeight="false" outlineLevel="0" collapsed="false">
      <c r="A122" s="133"/>
      <c r="B122" s="133"/>
      <c r="C122" s="133"/>
      <c r="D122" s="133"/>
      <c r="E122" s="133"/>
      <c r="F122" s="134"/>
      <c r="G122" s="135"/>
      <c r="H122" s="135"/>
      <c r="I122" s="135"/>
      <c r="J122" s="133"/>
      <c r="K122" s="133"/>
      <c r="L122" s="134"/>
    </row>
    <row r="123" customFormat="false" ht="15" hidden="false" customHeight="false" outlineLevel="0" collapsed="false">
      <c r="A123" s="133"/>
      <c r="B123" s="133"/>
      <c r="C123" s="133"/>
      <c r="D123" s="133"/>
      <c r="E123" s="133"/>
      <c r="F123" s="134"/>
      <c r="G123" s="135"/>
      <c r="H123" s="135"/>
      <c r="I123" s="135"/>
      <c r="J123" s="133"/>
      <c r="K123" s="133"/>
      <c r="L123" s="134"/>
    </row>
    <row r="124" customFormat="false" ht="15" hidden="false" customHeight="false" outlineLevel="0" collapsed="false">
      <c r="A124" s="133"/>
      <c r="B124" s="133"/>
      <c r="C124" s="133"/>
      <c r="D124" s="133"/>
      <c r="E124" s="133"/>
      <c r="F124" s="134"/>
      <c r="G124" s="135"/>
      <c r="H124" s="135"/>
      <c r="I124" s="135"/>
      <c r="J124" s="133"/>
      <c r="K124" s="133"/>
      <c r="L124" s="134"/>
    </row>
    <row r="125" customFormat="false" ht="15" hidden="false" customHeight="false" outlineLevel="0" collapsed="false">
      <c r="A125" s="133"/>
      <c r="B125" s="133"/>
      <c r="C125" s="133"/>
      <c r="D125" s="133"/>
      <c r="E125" s="133"/>
      <c r="F125" s="134"/>
      <c r="G125" s="135"/>
      <c r="H125" s="135"/>
      <c r="I125" s="135"/>
      <c r="J125" s="133"/>
      <c r="K125" s="133"/>
      <c r="L125" s="134"/>
    </row>
    <row r="126" customFormat="false" ht="15" hidden="false" customHeight="false" outlineLevel="0" collapsed="false">
      <c r="A126" s="133"/>
      <c r="B126" s="133"/>
      <c r="C126" s="133"/>
      <c r="D126" s="133"/>
      <c r="E126" s="133"/>
      <c r="F126" s="134"/>
      <c r="G126" s="135"/>
      <c r="H126" s="135"/>
      <c r="I126" s="135"/>
      <c r="J126" s="133"/>
      <c r="K126" s="133"/>
      <c r="L126" s="134"/>
    </row>
    <row r="127" customFormat="false" ht="15" hidden="false" customHeight="false" outlineLevel="0" collapsed="false">
      <c r="A127" s="133"/>
      <c r="B127" s="133"/>
      <c r="C127" s="133"/>
      <c r="D127" s="133"/>
      <c r="E127" s="133"/>
      <c r="F127" s="134"/>
      <c r="G127" s="135"/>
      <c r="H127" s="135"/>
      <c r="I127" s="135"/>
      <c r="J127" s="133"/>
      <c r="K127" s="133"/>
      <c r="L127" s="134"/>
    </row>
    <row r="128" customFormat="false" ht="15" hidden="false" customHeight="false" outlineLevel="0" collapsed="false">
      <c r="A128" s="133"/>
      <c r="B128" s="133"/>
      <c r="C128" s="133"/>
      <c r="D128" s="133"/>
      <c r="E128" s="133"/>
      <c r="F128" s="134"/>
      <c r="G128" s="135"/>
      <c r="H128" s="135"/>
      <c r="I128" s="135"/>
      <c r="J128" s="133"/>
      <c r="K128" s="133"/>
      <c r="L128" s="134"/>
    </row>
    <row r="129" customFormat="false" ht="15" hidden="false" customHeight="false" outlineLevel="0" collapsed="false">
      <c r="A129" s="133"/>
      <c r="B129" s="133"/>
      <c r="C129" s="133"/>
      <c r="D129" s="133"/>
      <c r="E129" s="133"/>
      <c r="F129" s="134"/>
      <c r="G129" s="135"/>
      <c r="H129" s="135"/>
      <c r="I129" s="135"/>
      <c r="J129" s="133"/>
      <c r="K129" s="133"/>
      <c r="L129" s="134"/>
    </row>
    <row r="130" customFormat="false" ht="15" hidden="false" customHeight="false" outlineLevel="0" collapsed="false">
      <c r="A130" s="133"/>
      <c r="B130" s="133"/>
      <c r="C130" s="133"/>
      <c r="D130" s="133"/>
      <c r="E130" s="133"/>
      <c r="F130" s="134"/>
      <c r="G130" s="135"/>
      <c r="H130" s="135"/>
      <c r="I130" s="135"/>
      <c r="J130" s="133"/>
      <c r="K130" s="133"/>
      <c r="L130" s="134"/>
    </row>
    <row r="131" customFormat="false" ht="15" hidden="false" customHeight="false" outlineLevel="0" collapsed="false">
      <c r="A131" s="133"/>
      <c r="B131" s="133"/>
      <c r="C131" s="133"/>
      <c r="D131" s="133"/>
      <c r="E131" s="133"/>
      <c r="F131" s="134"/>
      <c r="G131" s="135"/>
      <c r="H131" s="135"/>
      <c r="I131" s="135"/>
      <c r="J131" s="133"/>
      <c r="K131" s="133"/>
      <c r="L131" s="134"/>
    </row>
    <row r="132" customFormat="false" ht="15" hidden="false" customHeight="false" outlineLevel="0" collapsed="false">
      <c r="A132" s="133"/>
      <c r="B132" s="133"/>
      <c r="C132" s="133"/>
      <c r="D132" s="133"/>
      <c r="E132" s="133"/>
      <c r="F132" s="134"/>
      <c r="G132" s="135"/>
      <c r="H132" s="135"/>
      <c r="I132" s="135"/>
      <c r="J132" s="133"/>
      <c r="K132" s="133"/>
      <c r="L132" s="134"/>
    </row>
    <row r="133" customFormat="false" ht="15" hidden="false" customHeight="false" outlineLevel="0" collapsed="false">
      <c r="A133" s="133"/>
      <c r="B133" s="133"/>
      <c r="C133" s="133"/>
      <c r="D133" s="133"/>
      <c r="E133" s="133"/>
      <c r="F133" s="134"/>
      <c r="G133" s="135"/>
      <c r="H133" s="135"/>
      <c r="I133" s="135"/>
      <c r="J133" s="133"/>
      <c r="K133" s="133"/>
      <c r="L133" s="134"/>
    </row>
    <row r="134" customFormat="false" ht="15" hidden="false" customHeight="false" outlineLevel="0" collapsed="false">
      <c r="A134" s="133"/>
      <c r="B134" s="133"/>
      <c r="C134" s="133"/>
      <c r="D134" s="133"/>
      <c r="E134" s="133"/>
      <c r="F134" s="134"/>
      <c r="G134" s="135"/>
      <c r="H134" s="135"/>
      <c r="I134" s="135"/>
      <c r="J134" s="133"/>
      <c r="K134" s="133"/>
      <c r="L134" s="134"/>
    </row>
    <row r="135" customFormat="false" ht="15" hidden="false" customHeight="false" outlineLevel="0" collapsed="false">
      <c r="A135" s="133"/>
      <c r="B135" s="133"/>
      <c r="C135" s="133"/>
      <c r="D135" s="133"/>
      <c r="E135" s="133"/>
      <c r="F135" s="134"/>
      <c r="G135" s="135"/>
      <c r="H135" s="135"/>
      <c r="I135" s="135"/>
      <c r="J135" s="133"/>
      <c r="K135" s="133"/>
      <c r="L135" s="134"/>
    </row>
    <row r="136" customFormat="false" ht="15" hidden="false" customHeight="false" outlineLevel="0" collapsed="false">
      <c r="A136" s="133"/>
      <c r="B136" s="133"/>
      <c r="C136" s="133"/>
      <c r="D136" s="133"/>
      <c r="E136" s="133"/>
      <c r="F136" s="134"/>
      <c r="G136" s="135"/>
      <c r="H136" s="135"/>
      <c r="I136" s="135"/>
      <c r="J136" s="133"/>
      <c r="K136" s="133"/>
      <c r="L136" s="134"/>
    </row>
    <row r="137" customFormat="false" ht="15" hidden="false" customHeight="false" outlineLevel="0" collapsed="false">
      <c r="A137" s="133"/>
      <c r="B137" s="133"/>
      <c r="C137" s="133"/>
      <c r="D137" s="133"/>
      <c r="E137" s="133"/>
      <c r="F137" s="134"/>
      <c r="G137" s="135"/>
      <c r="H137" s="135"/>
      <c r="I137" s="135"/>
      <c r="J137" s="133"/>
      <c r="K137" s="133"/>
      <c r="L137" s="134"/>
    </row>
    <row r="138" customFormat="false" ht="15" hidden="false" customHeight="false" outlineLevel="0" collapsed="false">
      <c r="A138" s="133"/>
      <c r="B138" s="133"/>
      <c r="C138" s="133"/>
      <c r="D138" s="133"/>
      <c r="E138" s="133"/>
      <c r="F138" s="134"/>
      <c r="G138" s="135"/>
      <c r="H138" s="135"/>
      <c r="I138" s="135"/>
      <c r="J138" s="133"/>
      <c r="K138" s="133"/>
      <c r="L138" s="134"/>
    </row>
    <row r="139" customFormat="false" ht="15" hidden="false" customHeight="false" outlineLevel="0" collapsed="false">
      <c r="A139" s="133"/>
      <c r="B139" s="133"/>
      <c r="C139" s="133"/>
      <c r="D139" s="133"/>
      <c r="E139" s="133"/>
      <c r="F139" s="134"/>
      <c r="G139" s="135"/>
      <c r="H139" s="135"/>
      <c r="I139" s="135"/>
      <c r="J139" s="133"/>
      <c r="K139" s="133"/>
      <c r="L139" s="134"/>
    </row>
    <row r="140" customFormat="false" ht="15" hidden="false" customHeight="false" outlineLevel="0" collapsed="false">
      <c r="A140" s="133"/>
      <c r="B140" s="133"/>
      <c r="C140" s="133"/>
      <c r="D140" s="133"/>
      <c r="E140" s="133"/>
      <c r="F140" s="134"/>
      <c r="G140" s="135"/>
      <c r="H140" s="135"/>
      <c r="I140" s="135"/>
      <c r="J140" s="133"/>
      <c r="K140" s="133"/>
      <c r="L140" s="134"/>
    </row>
    <row r="141" customFormat="false" ht="15" hidden="false" customHeight="false" outlineLevel="0" collapsed="false">
      <c r="A141" s="133"/>
      <c r="B141" s="133"/>
      <c r="C141" s="133"/>
      <c r="D141" s="133"/>
      <c r="E141" s="133"/>
      <c r="F141" s="134"/>
      <c r="G141" s="135"/>
      <c r="H141" s="135"/>
      <c r="I141" s="135"/>
      <c r="J141" s="133"/>
      <c r="K141" s="133"/>
      <c r="L141" s="134"/>
    </row>
    <row r="142" customFormat="false" ht="15" hidden="false" customHeight="false" outlineLevel="0" collapsed="false">
      <c r="A142" s="133"/>
      <c r="B142" s="133"/>
      <c r="C142" s="133"/>
      <c r="D142" s="133"/>
      <c r="E142" s="133"/>
      <c r="F142" s="134"/>
      <c r="G142" s="135"/>
      <c r="H142" s="135"/>
      <c r="I142" s="135"/>
      <c r="J142" s="133"/>
      <c r="K142" s="133"/>
      <c r="L142" s="134"/>
    </row>
    <row r="143" customFormat="false" ht="15" hidden="false" customHeight="false" outlineLevel="0" collapsed="false">
      <c r="A143" s="133"/>
      <c r="B143" s="133"/>
      <c r="C143" s="133"/>
      <c r="D143" s="133"/>
      <c r="E143" s="133"/>
      <c r="F143" s="134"/>
      <c r="G143" s="135"/>
      <c r="H143" s="135"/>
      <c r="I143" s="135"/>
      <c r="J143" s="133"/>
      <c r="K143" s="133"/>
      <c r="L143" s="134"/>
    </row>
    <row r="144" customFormat="false" ht="15" hidden="false" customHeight="false" outlineLevel="0" collapsed="false">
      <c r="A144" s="133"/>
      <c r="B144" s="133"/>
      <c r="C144" s="133"/>
      <c r="D144" s="133"/>
      <c r="E144" s="133"/>
      <c r="F144" s="134"/>
      <c r="G144" s="135"/>
      <c r="H144" s="135"/>
      <c r="I144" s="135"/>
      <c r="J144" s="133"/>
      <c r="K144" s="133"/>
      <c r="L144" s="134"/>
    </row>
    <row r="145" customFormat="false" ht="15" hidden="false" customHeight="false" outlineLevel="0" collapsed="false">
      <c r="A145" s="133"/>
      <c r="B145" s="133"/>
      <c r="C145" s="133"/>
      <c r="D145" s="133"/>
      <c r="E145" s="133"/>
      <c r="F145" s="134"/>
      <c r="G145" s="135"/>
      <c r="H145" s="135"/>
      <c r="I145" s="135"/>
      <c r="J145" s="133"/>
      <c r="K145" s="133"/>
      <c r="L145" s="134"/>
    </row>
    <row r="146" customFormat="false" ht="15" hidden="false" customHeight="false" outlineLevel="0" collapsed="false">
      <c r="A146" s="133"/>
      <c r="B146" s="133"/>
      <c r="C146" s="133"/>
      <c r="D146" s="133"/>
      <c r="E146" s="133"/>
      <c r="F146" s="134"/>
      <c r="G146" s="135"/>
      <c r="H146" s="135"/>
      <c r="I146" s="135"/>
      <c r="J146" s="133"/>
      <c r="K146" s="133"/>
      <c r="L146" s="134"/>
    </row>
    <row r="147" customFormat="false" ht="15" hidden="false" customHeight="false" outlineLevel="0" collapsed="false">
      <c r="A147" s="133"/>
      <c r="B147" s="133"/>
      <c r="C147" s="133"/>
      <c r="D147" s="133"/>
      <c r="E147" s="133"/>
      <c r="F147" s="134"/>
      <c r="G147" s="135"/>
      <c r="H147" s="135"/>
      <c r="I147" s="135"/>
      <c r="J147" s="133"/>
      <c r="K147" s="133"/>
      <c r="L147" s="134"/>
    </row>
    <row r="148" customFormat="false" ht="15" hidden="false" customHeight="false" outlineLevel="0" collapsed="false">
      <c r="A148" s="133"/>
      <c r="B148" s="133"/>
      <c r="C148" s="133"/>
      <c r="D148" s="133"/>
      <c r="E148" s="133"/>
      <c r="F148" s="134"/>
      <c r="G148" s="135"/>
      <c r="H148" s="135"/>
      <c r="I148" s="135"/>
      <c r="J148" s="133"/>
      <c r="K148" s="133"/>
      <c r="L148" s="134"/>
    </row>
    <row r="149" customFormat="false" ht="15" hidden="false" customHeight="false" outlineLevel="0" collapsed="false">
      <c r="A149" s="133"/>
      <c r="B149" s="133"/>
      <c r="C149" s="133"/>
      <c r="D149" s="133"/>
      <c r="E149" s="133"/>
      <c r="F149" s="134"/>
      <c r="G149" s="135"/>
      <c r="H149" s="135"/>
      <c r="I149" s="135"/>
      <c r="J149" s="133"/>
      <c r="K149" s="133"/>
      <c r="L149" s="134"/>
    </row>
    <row r="150" customFormat="false" ht="15" hidden="false" customHeight="false" outlineLevel="0" collapsed="false">
      <c r="A150" s="133"/>
      <c r="B150" s="133"/>
      <c r="C150" s="133"/>
      <c r="D150" s="133"/>
      <c r="E150" s="133"/>
      <c r="F150" s="134"/>
      <c r="G150" s="135"/>
      <c r="H150" s="135"/>
      <c r="I150" s="135"/>
      <c r="J150" s="133"/>
      <c r="K150" s="133"/>
      <c r="L150" s="134"/>
    </row>
    <row r="151" customFormat="false" ht="15" hidden="false" customHeight="false" outlineLevel="0" collapsed="false">
      <c r="A151" s="133"/>
      <c r="B151" s="133"/>
      <c r="C151" s="133"/>
      <c r="D151" s="133"/>
      <c r="E151" s="133"/>
      <c r="F151" s="134"/>
      <c r="G151" s="135"/>
      <c r="H151" s="135"/>
      <c r="I151" s="135"/>
      <c r="J151" s="133"/>
      <c r="K151" s="133"/>
      <c r="L151" s="134"/>
    </row>
    <row r="152" customFormat="false" ht="15" hidden="false" customHeight="false" outlineLevel="0" collapsed="false">
      <c r="A152" s="133"/>
      <c r="B152" s="133"/>
      <c r="C152" s="133"/>
      <c r="D152" s="133"/>
      <c r="E152" s="133"/>
      <c r="F152" s="134"/>
      <c r="G152" s="135"/>
      <c r="H152" s="135"/>
      <c r="I152" s="135"/>
      <c r="J152" s="133"/>
      <c r="K152" s="133"/>
      <c r="L152" s="134"/>
    </row>
    <row r="153" customFormat="false" ht="15" hidden="false" customHeight="false" outlineLevel="0" collapsed="false">
      <c r="A153" s="133"/>
      <c r="B153" s="133"/>
      <c r="C153" s="133"/>
      <c r="D153" s="133"/>
      <c r="E153" s="133"/>
      <c r="F153" s="134"/>
      <c r="G153" s="135"/>
      <c r="H153" s="135"/>
      <c r="I153" s="135"/>
      <c r="J153" s="133"/>
      <c r="K153" s="133"/>
      <c r="L153" s="134"/>
    </row>
    <row r="154" customFormat="false" ht="15" hidden="false" customHeight="false" outlineLevel="0" collapsed="false">
      <c r="A154" s="133"/>
      <c r="B154" s="133"/>
      <c r="C154" s="133"/>
      <c r="D154" s="133"/>
      <c r="E154" s="133"/>
      <c r="F154" s="134"/>
      <c r="G154" s="135"/>
      <c r="H154" s="135"/>
      <c r="I154" s="135"/>
      <c r="J154" s="133"/>
      <c r="K154" s="133"/>
      <c r="L154" s="134"/>
    </row>
    <row r="155" customFormat="false" ht="15" hidden="false" customHeight="false" outlineLevel="0" collapsed="false">
      <c r="A155" s="133"/>
      <c r="B155" s="133"/>
      <c r="C155" s="133"/>
      <c r="D155" s="133"/>
      <c r="E155" s="133"/>
      <c r="F155" s="134"/>
      <c r="G155" s="135"/>
      <c r="H155" s="135"/>
      <c r="I155" s="135"/>
      <c r="J155" s="133"/>
      <c r="K155" s="133"/>
      <c r="L155" s="134"/>
    </row>
    <row r="156" customFormat="false" ht="15" hidden="false" customHeight="false" outlineLevel="0" collapsed="false">
      <c r="A156" s="133"/>
      <c r="B156" s="133"/>
      <c r="C156" s="133"/>
      <c r="D156" s="133"/>
      <c r="E156" s="133"/>
      <c r="F156" s="134"/>
      <c r="G156" s="135"/>
      <c r="H156" s="135"/>
      <c r="I156" s="135"/>
      <c r="J156" s="133"/>
      <c r="K156" s="133"/>
      <c r="L156" s="134"/>
    </row>
    <row r="157" customFormat="false" ht="15" hidden="false" customHeight="false" outlineLevel="0" collapsed="false">
      <c r="A157" s="133"/>
      <c r="B157" s="133"/>
      <c r="C157" s="133"/>
      <c r="D157" s="133"/>
      <c r="E157" s="133"/>
      <c r="F157" s="134"/>
      <c r="G157" s="135"/>
      <c r="H157" s="135"/>
      <c r="I157" s="135"/>
      <c r="J157" s="133"/>
      <c r="K157" s="133"/>
      <c r="L157" s="134"/>
    </row>
    <row r="158" customFormat="false" ht="15" hidden="false" customHeight="false" outlineLevel="0" collapsed="false">
      <c r="A158" s="133"/>
      <c r="B158" s="133"/>
      <c r="C158" s="133"/>
      <c r="D158" s="133"/>
      <c r="E158" s="133"/>
      <c r="F158" s="134"/>
      <c r="G158" s="135"/>
      <c r="H158" s="135"/>
      <c r="I158" s="135"/>
      <c r="J158" s="133"/>
      <c r="K158" s="133"/>
      <c r="L158" s="134"/>
    </row>
    <row r="159" customFormat="false" ht="15" hidden="false" customHeight="false" outlineLevel="0" collapsed="false">
      <c r="A159" s="133"/>
      <c r="B159" s="133"/>
      <c r="C159" s="133"/>
      <c r="D159" s="133"/>
      <c r="E159" s="133"/>
      <c r="F159" s="134"/>
      <c r="G159" s="135"/>
      <c r="H159" s="135"/>
      <c r="I159" s="135"/>
      <c r="J159" s="133"/>
      <c r="K159" s="133"/>
      <c r="L159" s="134"/>
    </row>
    <row r="160" customFormat="false" ht="15" hidden="false" customHeight="false" outlineLevel="0" collapsed="false">
      <c r="A160" s="133"/>
      <c r="B160" s="133"/>
      <c r="C160" s="133"/>
      <c r="D160" s="133"/>
      <c r="E160" s="133"/>
      <c r="F160" s="134"/>
      <c r="G160" s="135"/>
      <c r="H160" s="135"/>
      <c r="I160" s="135"/>
      <c r="J160" s="133"/>
      <c r="K160" s="133"/>
      <c r="L160" s="134"/>
    </row>
    <row r="161" customFormat="false" ht="15" hidden="false" customHeight="false" outlineLevel="0" collapsed="false">
      <c r="A161" s="133"/>
      <c r="B161" s="133"/>
      <c r="C161" s="133"/>
      <c r="D161" s="133"/>
      <c r="E161" s="133"/>
      <c r="F161" s="134"/>
      <c r="G161" s="135"/>
      <c r="H161" s="135"/>
      <c r="I161" s="135"/>
      <c r="J161" s="133"/>
      <c r="K161" s="133"/>
      <c r="L161" s="134"/>
    </row>
    <row r="162" customFormat="false" ht="15" hidden="false" customHeight="false" outlineLevel="0" collapsed="false">
      <c r="A162" s="133"/>
      <c r="B162" s="133"/>
      <c r="C162" s="133"/>
      <c r="D162" s="133"/>
      <c r="E162" s="133"/>
      <c r="F162" s="134"/>
      <c r="G162" s="135"/>
      <c r="H162" s="135"/>
      <c r="I162" s="135"/>
      <c r="J162" s="133"/>
      <c r="K162" s="133"/>
      <c r="L162" s="134"/>
    </row>
    <row r="163" customFormat="false" ht="15" hidden="false" customHeight="false" outlineLevel="0" collapsed="false">
      <c r="A163" s="133"/>
      <c r="B163" s="133"/>
      <c r="C163" s="133"/>
      <c r="D163" s="133"/>
      <c r="E163" s="133"/>
      <c r="F163" s="134"/>
      <c r="G163" s="135"/>
      <c r="H163" s="135"/>
      <c r="I163" s="135"/>
      <c r="J163" s="133"/>
      <c r="K163" s="133"/>
      <c r="L163" s="134"/>
    </row>
    <row r="164" customFormat="false" ht="15" hidden="false" customHeight="false" outlineLevel="0" collapsed="false">
      <c r="A164" s="133"/>
      <c r="B164" s="133"/>
      <c r="C164" s="133"/>
      <c r="D164" s="133"/>
      <c r="E164" s="133"/>
      <c r="F164" s="134"/>
      <c r="G164" s="135"/>
      <c r="H164" s="135"/>
      <c r="I164" s="135"/>
      <c r="J164" s="133"/>
      <c r="K164" s="133"/>
      <c r="L164" s="134"/>
    </row>
    <row r="165" customFormat="false" ht="15" hidden="false" customHeight="false" outlineLevel="0" collapsed="false">
      <c r="A165" s="133"/>
      <c r="B165" s="133"/>
      <c r="C165" s="133"/>
      <c r="D165" s="133"/>
      <c r="E165" s="133"/>
      <c r="F165" s="134"/>
      <c r="G165" s="135"/>
      <c r="H165" s="135"/>
      <c r="I165" s="135"/>
      <c r="J165" s="133"/>
      <c r="K165" s="133"/>
      <c r="L165" s="134"/>
    </row>
    <row r="166" customFormat="false" ht="15" hidden="false" customHeight="false" outlineLevel="0" collapsed="false">
      <c r="A166" s="133"/>
      <c r="B166" s="133"/>
      <c r="C166" s="133"/>
      <c r="D166" s="133"/>
      <c r="E166" s="133"/>
      <c r="F166" s="134"/>
      <c r="G166" s="135"/>
      <c r="H166" s="135"/>
      <c r="I166" s="135"/>
      <c r="J166" s="133"/>
      <c r="K166" s="133"/>
      <c r="L166" s="134"/>
    </row>
    <row r="167" customFormat="false" ht="15" hidden="false" customHeight="false" outlineLevel="0" collapsed="false">
      <c r="A167" s="133"/>
      <c r="B167" s="133"/>
      <c r="C167" s="133"/>
      <c r="D167" s="133"/>
      <c r="E167" s="133"/>
      <c r="F167" s="134"/>
      <c r="G167" s="135"/>
      <c r="H167" s="135"/>
      <c r="I167" s="135"/>
      <c r="J167" s="133"/>
      <c r="K167" s="133"/>
      <c r="L167" s="134"/>
    </row>
    <row r="168" customFormat="false" ht="15" hidden="false" customHeight="false" outlineLevel="0" collapsed="false">
      <c r="A168" s="133"/>
      <c r="B168" s="133"/>
      <c r="C168" s="133"/>
      <c r="D168" s="133"/>
      <c r="E168" s="133"/>
      <c r="F168" s="134"/>
      <c r="G168" s="135"/>
      <c r="H168" s="135"/>
      <c r="I168" s="135"/>
      <c r="J168" s="133"/>
      <c r="K168" s="133"/>
      <c r="L168" s="134"/>
    </row>
    <row r="169" customFormat="false" ht="15" hidden="false" customHeight="false" outlineLevel="0" collapsed="false">
      <c r="A169" s="133"/>
      <c r="B169" s="133"/>
      <c r="C169" s="133"/>
      <c r="D169" s="133"/>
      <c r="E169" s="133"/>
      <c r="F169" s="134"/>
      <c r="G169" s="135"/>
      <c r="H169" s="135"/>
      <c r="I169" s="135"/>
      <c r="J169" s="133"/>
      <c r="K169" s="133"/>
      <c r="L169" s="134"/>
    </row>
    <row r="170" customFormat="false" ht="15" hidden="false" customHeight="false" outlineLevel="0" collapsed="false">
      <c r="A170" s="133"/>
      <c r="B170" s="133"/>
      <c r="C170" s="133"/>
      <c r="D170" s="133"/>
      <c r="E170" s="133"/>
      <c r="F170" s="134"/>
      <c r="G170" s="135"/>
      <c r="H170" s="135"/>
      <c r="I170" s="135"/>
      <c r="J170" s="133"/>
      <c r="K170" s="133"/>
      <c r="L170" s="134"/>
    </row>
    <row r="171" customFormat="false" ht="15" hidden="false" customHeight="false" outlineLevel="0" collapsed="false">
      <c r="A171" s="133"/>
      <c r="B171" s="133"/>
      <c r="C171" s="133"/>
      <c r="D171" s="133"/>
      <c r="E171" s="133"/>
      <c r="F171" s="134"/>
      <c r="G171" s="135"/>
      <c r="H171" s="135"/>
      <c r="I171" s="135"/>
      <c r="J171" s="133"/>
      <c r="K171" s="133"/>
      <c r="L171" s="134"/>
    </row>
    <row r="172" customFormat="false" ht="15" hidden="false" customHeight="false" outlineLevel="0" collapsed="false">
      <c r="A172" s="133"/>
      <c r="B172" s="133"/>
      <c r="C172" s="133"/>
      <c r="D172" s="133"/>
      <c r="E172" s="133"/>
      <c r="F172" s="134"/>
      <c r="G172" s="135"/>
      <c r="H172" s="135"/>
      <c r="I172" s="135"/>
      <c r="J172" s="133"/>
      <c r="K172" s="133"/>
      <c r="L172" s="134"/>
    </row>
    <row r="173" customFormat="false" ht="15" hidden="false" customHeight="false" outlineLevel="0" collapsed="false">
      <c r="A173" s="133"/>
      <c r="B173" s="133"/>
      <c r="C173" s="133"/>
      <c r="D173" s="133"/>
      <c r="E173" s="133"/>
      <c r="F173" s="134"/>
      <c r="G173" s="135"/>
      <c r="H173" s="135"/>
      <c r="I173" s="135"/>
      <c r="J173" s="133"/>
      <c r="K173" s="133"/>
      <c r="L173" s="134"/>
    </row>
    <row r="174" customFormat="false" ht="15" hidden="false" customHeight="false" outlineLevel="0" collapsed="false">
      <c r="A174" s="133"/>
      <c r="B174" s="133"/>
      <c r="C174" s="133"/>
      <c r="D174" s="133"/>
      <c r="E174" s="133"/>
      <c r="F174" s="134"/>
      <c r="G174" s="135"/>
      <c r="H174" s="135"/>
      <c r="I174" s="135"/>
      <c r="J174" s="133"/>
      <c r="K174" s="133"/>
      <c r="L174" s="134"/>
    </row>
    <row r="175" customFormat="false" ht="15" hidden="false" customHeight="false" outlineLevel="0" collapsed="false">
      <c r="A175" s="133"/>
      <c r="B175" s="133"/>
      <c r="C175" s="133"/>
      <c r="D175" s="133"/>
      <c r="E175" s="133"/>
      <c r="F175" s="134"/>
      <c r="G175" s="135"/>
      <c r="H175" s="135"/>
      <c r="I175" s="135"/>
      <c r="J175" s="133"/>
      <c r="K175" s="133"/>
      <c r="L175" s="134"/>
    </row>
    <row r="176" customFormat="false" ht="15" hidden="false" customHeight="false" outlineLevel="0" collapsed="false">
      <c r="A176" s="133"/>
      <c r="B176" s="133"/>
      <c r="C176" s="133"/>
      <c r="D176" s="133"/>
      <c r="E176" s="133"/>
      <c r="F176" s="134"/>
      <c r="G176" s="135"/>
      <c r="H176" s="135"/>
      <c r="I176" s="135"/>
      <c r="J176" s="133"/>
      <c r="K176" s="133"/>
      <c r="L176" s="134"/>
    </row>
    <row r="177" customFormat="false" ht="15" hidden="false" customHeight="false" outlineLevel="0" collapsed="false">
      <c r="A177" s="133"/>
      <c r="B177" s="133"/>
      <c r="C177" s="133"/>
      <c r="D177" s="133"/>
      <c r="E177" s="133"/>
      <c r="F177" s="134"/>
      <c r="G177" s="135"/>
      <c r="H177" s="135"/>
      <c r="I177" s="135"/>
      <c r="J177" s="133"/>
      <c r="K177" s="133"/>
      <c r="L177" s="134"/>
    </row>
    <row r="178" customFormat="false" ht="15" hidden="false" customHeight="false" outlineLevel="0" collapsed="false">
      <c r="A178" s="133"/>
      <c r="B178" s="133"/>
      <c r="C178" s="133"/>
      <c r="D178" s="133"/>
      <c r="E178" s="133"/>
      <c r="F178" s="134"/>
      <c r="G178" s="135"/>
      <c r="H178" s="135"/>
      <c r="I178" s="135"/>
      <c r="J178" s="133"/>
      <c r="K178" s="133"/>
      <c r="L178" s="134"/>
    </row>
    <row r="179" customFormat="false" ht="15" hidden="false" customHeight="false" outlineLevel="0" collapsed="false">
      <c r="A179" s="133"/>
      <c r="B179" s="133"/>
      <c r="C179" s="133"/>
      <c r="D179" s="133"/>
      <c r="E179" s="133"/>
      <c r="F179" s="134"/>
      <c r="G179" s="135"/>
      <c r="H179" s="135"/>
      <c r="I179" s="135"/>
      <c r="J179" s="133"/>
      <c r="K179" s="133"/>
      <c r="L179" s="134"/>
    </row>
    <row r="180" customFormat="false" ht="15" hidden="false" customHeight="false" outlineLevel="0" collapsed="false">
      <c r="A180" s="133"/>
      <c r="B180" s="133"/>
      <c r="C180" s="133"/>
      <c r="D180" s="133"/>
      <c r="E180" s="133"/>
      <c r="F180" s="134"/>
      <c r="G180" s="135"/>
      <c r="H180" s="135"/>
      <c r="I180" s="135"/>
      <c r="J180" s="133"/>
      <c r="K180" s="133"/>
      <c r="L180" s="134"/>
    </row>
    <row r="181" customFormat="false" ht="15" hidden="false" customHeight="false" outlineLevel="0" collapsed="false">
      <c r="A181" s="133"/>
      <c r="B181" s="133"/>
      <c r="C181" s="133"/>
      <c r="D181" s="133"/>
      <c r="E181" s="133"/>
      <c r="F181" s="134"/>
      <c r="G181" s="135"/>
      <c r="H181" s="135"/>
      <c r="I181" s="135"/>
      <c r="J181" s="133"/>
      <c r="K181" s="133"/>
      <c r="L181" s="134"/>
    </row>
    <row r="182" customFormat="false" ht="15" hidden="false" customHeight="false" outlineLevel="0" collapsed="false">
      <c r="A182" s="133"/>
      <c r="B182" s="133"/>
      <c r="C182" s="133"/>
      <c r="D182" s="133"/>
      <c r="E182" s="133"/>
      <c r="F182" s="134"/>
      <c r="G182" s="135"/>
      <c r="H182" s="135"/>
      <c r="I182" s="135"/>
      <c r="J182" s="133"/>
      <c r="K182" s="133"/>
      <c r="L182" s="134"/>
    </row>
    <row r="183" customFormat="false" ht="15" hidden="false" customHeight="false" outlineLevel="0" collapsed="false">
      <c r="A183" s="133"/>
      <c r="B183" s="133"/>
      <c r="C183" s="133"/>
      <c r="D183" s="133"/>
      <c r="E183" s="133"/>
      <c r="F183" s="134"/>
      <c r="G183" s="135"/>
      <c r="H183" s="135"/>
      <c r="I183" s="135"/>
      <c r="J183" s="133"/>
      <c r="K183" s="133"/>
      <c r="L183" s="134"/>
    </row>
    <row r="184" customFormat="false" ht="15" hidden="false" customHeight="false" outlineLevel="0" collapsed="false">
      <c r="A184" s="133"/>
      <c r="B184" s="133"/>
      <c r="C184" s="133"/>
      <c r="D184" s="133"/>
      <c r="E184" s="133"/>
      <c r="F184" s="134"/>
      <c r="G184" s="135"/>
      <c r="H184" s="135"/>
      <c r="I184" s="135"/>
      <c r="J184" s="133"/>
      <c r="K184" s="133"/>
      <c r="L184" s="134"/>
    </row>
    <row r="185" customFormat="false" ht="15" hidden="false" customHeight="false" outlineLevel="0" collapsed="false">
      <c r="A185" s="133"/>
      <c r="B185" s="133"/>
      <c r="C185" s="133"/>
      <c r="D185" s="133"/>
      <c r="E185" s="133"/>
      <c r="F185" s="134"/>
      <c r="G185" s="135"/>
      <c r="H185" s="135"/>
      <c r="I185" s="135"/>
      <c r="J185" s="133"/>
      <c r="K185" s="133"/>
      <c r="L185" s="134"/>
    </row>
    <row r="186" customFormat="false" ht="15" hidden="false" customHeight="false" outlineLevel="0" collapsed="false">
      <c r="A186" s="133"/>
      <c r="B186" s="133"/>
      <c r="C186" s="133"/>
      <c r="D186" s="133"/>
      <c r="E186" s="133"/>
      <c r="F186" s="134"/>
      <c r="G186" s="135"/>
      <c r="H186" s="135"/>
      <c r="I186" s="135"/>
      <c r="J186" s="133"/>
      <c r="K186" s="133"/>
      <c r="L186" s="134"/>
    </row>
    <row r="187" customFormat="false" ht="15" hidden="false" customHeight="false" outlineLevel="0" collapsed="false">
      <c r="A187" s="133"/>
      <c r="B187" s="133"/>
      <c r="C187" s="133"/>
      <c r="D187" s="133"/>
      <c r="E187" s="133"/>
      <c r="F187" s="134"/>
      <c r="G187" s="135"/>
      <c r="H187" s="135"/>
      <c r="I187" s="135"/>
      <c r="J187" s="133"/>
      <c r="K187" s="133"/>
      <c r="L187" s="134"/>
    </row>
    <row r="188" customFormat="false" ht="15" hidden="false" customHeight="false" outlineLevel="0" collapsed="false">
      <c r="A188" s="133"/>
      <c r="B188" s="133"/>
      <c r="C188" s="133"/>
      <c r="D188" s="133"/>
      <c r="E188" s="133"/>
      <c r="F188" s="134"/>
      <c r="G188" s="135"/>
      <c r="H188" s="135"/>
      <c r="I188" s="135"/>
      <c r="J188" s="133"/>
      <c r="K188" s="133"/>
      <c r="L188" s="134"/>
    </row>
    <row r="189" customFormat="false" ht="15" hidden="false" customHeight="false" outlineLevel="0" collapsed="false">
      <c r="A189" s="133"/>
      <c r="B189" s="133"/>
      <c r="C189" s="133"/>
      <c r="D189" s="133"/>
      <c r="E189" s="133"/>
      <c r="F189" s="134"/>
      <c r="G189" s="135"/>
      <c r="H189" s="135"/>
      <c r="I189" s="135"/>
      <c r="J189" s="133"/>
      <c r="K189" s="133"/>
      <c r="L189" s="134"/>
    </row>
    <row r="190" customFormat="false" ht="15" hidden="false" customHeight="false" outlineLevel="0" collapsed="false">
      <c r="A190" s="133"/>
      <c r="B190" s="133"/>
      <c r="C190" s="133"/>
      <c r="D190" s="133"/>
      <c r="E190" s="133"/>
      <c r="F190" s="134"/>
      <c r="G190" s="135"/>
      <c r="H190" s="135"/>
      <c r="I190" s="135"/>
      <c r="J190" s="133"/>
      <c r="K190" s="133"/>
      <c r="L190" s="134"/>
    </row>
    <row r="191" customFormat="false" ht="15" hidden="false" customHeight="false" outlineLevel="0" collapsed="false">
      <c r="A191" s="133"/>
      <c r="B191" s="133"/>
      <c r="C191" s="133"/>
      <c r="D191" s="133"/>
      <c r="E191" s="133"/>
      <c r="F191" s="134"/>
      <c r="G191" s="135"/>
      <c r="H191" s="135"/>
      <c r="I191" s="135"/>
      <c r="J191" s="133"/>
      <c r="K191" s="133"/>
      <c r="L191" s="134"/>
    </row>
    <row r="192" customFormat="false" ht="15" hidden="false" customHeight="false" outlineLevel="0" collapsed="false">
      <c r="A192" s="133"/>
      <c r="B192" s="133"/>
      <c r="C192" s="133"/>
      <c r="D192" s="133"/>
      <c r="E192" s="133"/>
      <c r="F192" s="134"/>
      <c r="G192" s="135"/>
      <c r="H192" s="135"/>
      <c r="I192" s="135"/>
      <c r="J192" s="133"/>
      <c r="K192" s="133"/>
      <c r="L192" s="134"/>
    </row>
    <row r="193" customFormat="false" ht="15" hidden="false" customHeight="false" outlineLevel="0" collapsed="false">
      <c r="A193" s="133"/>
      <c r="B193" s="133"/>
      <c r="C193" s="133"/>
      <c r="D193" s="133"/>
      <c r="E193" s="133"/>
      <c r="F193" s="134"/>
      <c r="G193" s="135"/>
      <c r="H193" s="135"/>
      <c r="I193" s="135"/>
      <c r="J193" s="133"/>
      <c r="K193" s="133"/>
      <c r="L193" s="134"/>
    </row>
    <row r="194" customFormat="false" ht="15" hidden="false" customHeight="false" outlineLevel="0" collapsed="false">
      <c r="A194" s="133"/>
      <c r="B194" s="133"/>
      <c r="C194" s="133"/>
      <c r="D194" s="133"/>
      <c r="E194" s="133"/>
      <c r="F194" s="134"/>
      <c r="G194" s="135"/>
      <c r="H194" s="135"/>
      <c r="I194" s="135"/>
      <c r="J194" s="133"/>
      <c r="K194" s="133"/>
      <c r="L194" s="134"/>
    </row>
    <row r="195" customFormat="false" ht="15" hidden="false" customHeight="false" outlineLevel="0" collapsed="false">
      <c r="A195" s="133"/>
      <c r="B195" s="133"/>
      <c r="C195" s="133"/>
      <c r="D195" s="133"/>
      <c r="E195" s="133"/>
      <c r="F195" s="134"/>
      <c r="G195" s="135"/>
      <c r="H195" s="135"/>
      <c r="I195" s="135"/>
      <c r="J195" s="133"/>
      <c r="K195" s="133"/>
      <c r="L195" s="134"/>
    </row>
    <row r="196" customFormat="false" ht="15" hidden="false" customHeight="false" outlineLevel="0" collapsed="false">
      <c r="A196" s="133"/>
      <c r="B196" s="133"/>
      <c r="C196" s="133"/>
      <c r="D196" s="133"/>
      <c r="E196" s="133"/>
      <c r="F196" s="134"/>
      <c r="G196" s="135"/>
      <c r="H196" s="135"/>
      <c r="I196" s="135"/>
      <c r="J196" s="133"/>
      <c r="K196" s="133"/>
      <c r="L196" s="134"/>
    </row>
    <row r="197" customFormat="false" ht="15" hidden="false" customHeight="false" outlineLevel="0" collapsed="false">
      <c r="A197" s="133"/>
      <c r="B197" s="133"/>
      <c r="C197" s="133"/>
      <c r="D197" s="133"/>
      <c r="E197" s="133"/>
      <c r="F197" s="134"/>
      <c r="G197" s="135"/>
      <c r="H197" s="135"/>
      <c r="I197" s="135"/>
      <c r="J197" s="133"/>
      <c r="K197" s="133"/>
      <c r="L197" s="134"/>
    </row>
    <row r="198" customFormat="false" ht="15" hidden="false" customHeight="false" outlineLevel="0" collapsed="false">
      <c r="A198" s="133"/>
      <c r="B198" s="133"/>
      <c r="C198" s="133"/>
      <c r="D198" s="133"/>
      <c r="E198" s="133"/>
      <c r="F198" s="134"/>
      <c r="G198" s="135"/>
      <c r="H198" s="135"/>
      <c r="I198" s="135"/>
      <c r="J198" s="133"/>
      <c r="K198" s="133"/>
      <c r="L198" s="134"/>
    </row>
    <row r="199" customFormat="false" ht="15" hidden="false" customHeight="false" outlineLevel="0" collapsed="false">
      <c r="A199" s="133"/>
      <c r="B199" s="133"/>
      <c r="C199" s="133"/>
      <c r="D199" s="133"/>
      <c r="E199" s="133"/>
      <c r="F199" s="134"/>
      <c r="G199" s="135"/>
      <c r="H199" s="135"/>
      <c r="I199" s="135"/>
      <c r="J199" s="133"/>
      <c r="K199" s="133"/>
      <c r="L199" s="134"/>
    </row>
    <row r="200" customFormat="false" ht="15" hidden="false" customHeight="false" outlineLevel="0" collapsed="false">
      <c r="A200" s="133"/>
      <c r="B200" s="133"/>
      <c r="C200" s="133"/>
      <c r="D200" s="133"/>
      <c r="E200" s="133"/>
      <c r="F200" s="134"/>
      <c r="G200" s="135"/>
      <c r="H200" s="135"/>
      <c r="I200" s="135"/>
      <c r="J200" s="133"/>
      <c r="K200" s="133"/>
      <c r="L200" s="134"/>
    </row>
    <row r="201" customFormat="false" ht="15" hidden="false" customHeight="false" outlineLevel="0" collapsed="false">
      <c r="A201" s="133"/>
      <c r="B201" s="133"/>
      <c r="C201" s="133"/>
      <c r="D201" s="133"/>
      <c r="E201" s="133"/>
      <c r="F201" s="134"/>
      <c r="G201" s="135"/>
      <c r="H201" s="135"/>
      <c r="I201" s="135"/>
      <c r="J201" s="133"/>
      <c r="K201" s="133"/>
      <c r="L201" s="134"/>
    </row>
    <row r="202" customFormat="false" ht="15" hidden="false" customHeight="false" outlineLevel="0" collapsed="false">
      <c r="A202" s="133"/>
      <c r="B202" s="133"/>
      <c r="C202" s="133"/>
      <c r="D202" s="133"/>
      <c r="E202" s="133"/>
      <c r="F202" s="134"/>
      <c r="G202" s="135"/>
      <c r="H202" s="135"/>
      <c r="I202" s="135"/>
      <c r="J202" s="133"/>
      <c r="K202" s="133"/>
      <c r="L202" s="134"/>
    </row>
    <row r="203" customFormat="false" ht="15" hidden="false" customHeight="false" outlineLevel="0" collapsed="false">
      <c r="A203" s="133"/>
      <c r="B203" s="133"/>
      <c r="C203" s="133"/>
      <c r="D203" s="133"/>
      <c r="E203" s="133"/>
      <c r="F203" s="134"/>
      <c r="G203" s="135"/>
      <c r="H203" s="135"/>
      <c r="I203" s="135"/>
      <c r="J203" s="133"/>
      <c r="K203" s="133"/>
      <c r="L203" s="134"/>
    </row>
    <row r="204" customFormat="false" ht="15" hidden="false" customHeight="false" outlineLevel="0" collapsed="false">
      <c r="A204" s="133"/>
      <c r="B204" s="133"/>
      <c r="C204" s="133"/>
      <c r="D204" s="133"/>
      <c r="E204" s="133"/>
      <c r="F204" s="134"/>
      <c r="G204" s="135"/>
      <c r="H204" s="135"/>
      <c r="I204" s="135"/>
      <c r="J204" s="133"/>
      <c r="K204" s="133"/>
      <c r="L204" s="134"/>
    </row>
    <row r="205" customFormat="false" ht="15" hidden="false" customHeight="false" outlineLevel="0" collapsed="false">
      <c r="A205" s="133"/>
      <c r="B205" s="133"/>
      <c r="C205" s="133"/>
      <c r="D205" s="133"/>
      <c r="E205" s="133"/>
      <c r="F205" s="134"/>
      <c r="G205" s="135"/>
      <c r="H205" s="135"/>
      <c r="I205" s="135"/>
      <c r="J205" s="133"/>
      <c r="K205" s="133"/>
      <c r="L205" s="134"/>
    </row>
    <row r="206" customFormat="false" ht="15" hidden="false" customHeight="false" outlineLevel="0" collapsed="false">
      <c r="A206" s="133"/>
      <c r="B206" s="133"/>
      <c r="C206" s="133"/>
      <c r="D206" s="133"/>
      <c r="E206" s="133"/>
      <c r="F206" s="134"/>
      <c r="G206" s="135"/>
      <c r="H206" s="135"/>
      <c r="I206" s="135"/>
      <c r="J206" s="133"/>
      <c r="K206" s="133"/>
      <c r="L206" s="134"/>
    </row>
    <row r="207" customFormat="false" ht="15" hidden="false" customHeight="false" outlineLevel="0" collapsed="false">
      <c r="A207" s="133"/>
      <c r="B207" s="133"/>
      <c r="C207" s="133"/>
      <c r="D207" s="133"/>
      <c r="E207" s="133"/>
      <c r="F207" s="134"/>
      <c r="G207" s="135"/>
      <c r="H207" s="135"/>
      <c r="I207" s="135"/>
      <c r="J207" s="133"/>
      <c r="K207" s="133"/>
      <c r="L207" s="134"/>
    </row>
    <row r="208" customFormat="false" ht="15" hidden="false" customHeight="false" outlineLevel="0" collapsed="false">
      <c r="A208" s="133"/>
      <c r="B208" s="133"/>
      <c r="C208" s="133"/>
      <c r="D208" s="133"/>
      <c r="E208" s="133"/>
      <c r="F208" s="134"/>
      <c r="G208" s="135"/>
      <c r="H208" s="135"/>
      <c r="I208" s="135"/>
      <c r="J208" s="133"/>
      <c r="K208" s="133"/>
      <c r="L208" s="134"/>
    </row>
    <row r="209" customFormat="false" ht="15" hidden="false" customHeight="false" outlineLevel="0" collapsed="false">
      <c r="A209" s="133"/>
      <c r="B209" s="133"/>
      <c r="C209" s="133"/>
      <c r="D209" s="133"/>
      <c r="E209" s="133"/>
      <c r="F209" s="134"/>
      <c r="G209" s="135"/>
      <c r="H209" s="135"/>
      <c r="I209" s="135"/>
      <c r="J209" s="133"/>
      <c r="K209" s="133"/>
      <c r="L209" s="134"/>
    </row>
    <row r="210" customFormat="false" ht="15" hidden="false" customHeight="false" outlineLevel="0" collapsed="false">
      <c r="A210" s="133"/>
      <c r="B210" s="133"/>
      <c r="C210" s="133"/>
      <c r="D210" s="133"/>
      <c r="E210" s="133"/>
      <c r="F210" s="134"/>
      <c r="G210" s="135"/>
      <c r="H210" s="135"/>
      <c r="I210" s="135"/>
      <c r="J210" s="133"/>
      <c r="K210" s="133"/>
      <c r="L210" s="134"/>
    </row>
    <row r="211" customFormat="false" ht="15" hidden="false" customHeight="false" outlineLevel="0" collapsed="false">
      <c r="A211" s="133"/>
      <c r="B211" s="133"/>
      <c r="C211" s="133"/>
      <c r="D211" s="133"/>
      <c r="E211" s="133"/>
      <c r="F211" s="134"/>
      <c r="G211" s="135"/>
      <c r="H211" s="135"/>
      <c r="I211" s="135"/>
      <c r="J211" s="133"/>
      <c r="K211" s="133"/>
      <c r="L211" s="134"/>
    </row>
    <row r="212" customFormat="false" ht="15" hidden="false" customHeight="false" outlineLevel="0" collapsed="false">
      <c r="A212" s="133"/>
      <c r="B212" s="133"/>
      <c r="C212" s="133"/>
      <c r="D212" s="133"/>
      <c r="E212" s="133"/>
      <c r="F212" s="134"/>
      <c r="G212" s="135"/>
      <c r="H212" s="135"/>
      <c r="I212" s="135"/>
      <c r="J212" s="133"/>
      <c r="K212" s="133"/>
      <c r="L212" s="134"/>
    </row>
    <row r="213" customFormat="false" ht="15" hidden="false" customHeight="false" outlineLevel="0" collapsed="false">
      <c r="A213" s="133"/>
      <c r="B213" s="133"/>
      <c r="C213" s="133"/>
      <c r="D213" s="133"/>
      <c r="E213" s="133"/>
      <c r="F213" s="134"/>
      <c r="G213" s="135"/>
      <c r="H213" s="135"/>
      <c r="I213" s="135"/>
      <c r="J213" s="133"/>
      <c r="K213" s="133"/>
      <c r="L213" s="134"/>
    </row>
    <row r="214" customFormat="false" ht="15" hidden="false" customHeight="false" outlineLevel="0" collapsed="false">
      <c r="A214" s="133"/>
      <c r="B214" s="133"/>
      <c r="C214" s="133"/>
      <c r="D214" s="133"/>
      <c r="E214" s="133"/>
      <c r="F214" s="134"/>
      <c r="G214" s="135"/>
      <c r="H214" s="135"/>
      <c r="I214" s="135"/>
      <c r="J214" s="133"/>
      <c r="K214" s="133"/>
      <c r="L214" s="134"/>
    </row>
    <row r="215" customFormat="false" ht="15" hidden="false" customHeight="false" outlineLevel="0" collapsed="false">
      <c r="A215" s="133"/>
      <c r="B215" s="133"/>
      <c r="C215" s="133"/>
      <c r="D215" s="133"/>
      <c r="E215" s="133"/>
      <c r="F215" s="134"/>
      <c r="G215" s="135"/>
      <c r="H215" s="135"/>
      <c r="I215" s="135"/>
      <c r="J215" s="133"/>
      <c r="K215" s="133"/>
      <c r="L215" s="134"/>
    </row>
    <row r="216" customFormat="false" ht="15" hidden="false" customHeight="false" outlineLevel="0" collapsed="false">
      <c r="A216" s="133"/>
      <c r="B216" s="133"/>
      <c r="C216" s="133"/>
      <c r="D216" s="133"/>
      <c r="E216" s="133"/>
      <c r="F216" s="134"/>
      <c r="G216" s="135"/>
      <c r="H216" s="135"/>
      <c r="I216" s="135"/>
      <c r="J216" s="133"/>
      <c r="K216" s="133"/>
      <c r="L216" s="134"/>
    </row>
    <row r="217" customFormat="false" ht="15" hidden="false" customHeight="false" outlineLevel="0" collapsed="false">
      <c r="A217" s="133"/>
      <c r="B217" s="133"/>
      <c r="C217" s="133"/>
      <c r="D217" s="133"/>
      <c r="E217" s="133"/>
      <c r="F217" s="134"/>
      <c r="G217" s="135"/>
      <c r="H217" s="135"/>
      <c r="I217" s="135"/>
      <c r="J217" s="133"/>
      <c r="K217" s="133"/>
      <c r="L217" s="134"/>
    </row>
    <row r="218" customFormat="false" ht="15" hidden="false" customHeight="false" outlineLevel="0" collapsed="false">
      <c r="A218" s="133"/>
      <c r="B218" s="133"/>
      <c r="C218" s="133"/>
      <c r="D218" s="133"/>
      <c r="E218" s="133"/>
      <c r="F218" s="134"/>
      <c r="G218" s="135"/>
      <c r="H218" s="135"/>
      <c r="I218" s="135"/>
      <c r="J218" s="133"/>
      <c r="K218" s="133"/>
      <c r="L218" s="134"/>
    </row>
    <row r="219" customFormat="false" ht="15" hidden="false" customHeight="false" outlineLevel="0" collapsed="false">
      <c r="A219" s="133"/>
      <c r="B219" s="133"/>
      <c r="C219" s="133"/>
      <c r="D219" s="133"/>
      <c r="E219" s="133"/>
      <c r="F219" s="134"/>
      <c r="G219" s="135"/>
      <c r="H219" s="135"/>
      <c r="I219" s="135"/>
      <c r="J219" s="133"/>
      <c r="K219" s="133"/>
      <c r="L219" s="134"/>
    </row>
    <row r="220" customFormat="false" ht="15" hidden="false" customHeight="false" outlineLevel="0" collapsed="false">
      <c r="A220" s="133"/>
      <c r="B220" s="133"/>
      <c r="C220" s="133"/>
      <c r="D220" s="133"/>
      <c r="E220" s="133"/>
      <c r="F220" s="134"/>
      <c r="G220" s="135"/>
      <c r="H220" s="135"/>
      <c r="I220" s="135"/>
      <c r="J220" s="133"/>
      <c r="K220" s="133"/>
      <c r="L220" s="134"/>
    </row>
    <row r="221" customFormat="false" ht="15" hidden="false" customHeight="false" outlineLevel="0" collapsed="false">
      <c r="A221" s="133"/>
      <c r="B221" s="133"/>
      <c r="C221" s="133"/>
      <c r="D221" s="133"/>
      <c r="E221" s="133"/>
      <c r="F221" s="134"/>
      <c r="G221" s="135"/>
      <c r="H221" s="135"/>
      <c r="I221" s="135"/>
      <c r="J221" s="133"/>
      <c r="K221" s="133"/>
      <c r="L221" s="134"/>
    </row>
    <row r="222" customFormat="false" ht="15" hidden="false" customHeight="false" outlineLevel="0" collapsed="false">
      <c r="A222" s="133"/>
      <c r="B222" s="133"/>
      <c r="C222" s="133"/>
      <c r="D222" s="133"/>
      <c r="E222" s="133"/>
      <c r="F222" s="134"/>
      <c r="G222" s="135"/>
      <c r="H222" s="135"/>
      <c r="I222" s="135"/>
      <c r="J222" s="133"/>
      <c r="K222" s="133"/>
      <c r="L222" s="134"/>
    </row>
    <row r="223" customFormat="false" ht="15" hidden="false" customHeight="false" outlineLevel="0" collapsed="false">
      <c r="A223" s="133"/>
      <c r="B223" s="133"/>
      <c r="C223" s="133"/>
      <c r="D223" s="133"/>
      <c r="E223" s="133"/>
      <c r="F223" s="134"/>
      <c r="G223" s="135"/>
      <c r="H223" s="135"/>
      <c r="I223" s="135"/>
      <c r="J223" s="133"/>
      <c r="K223" s="133"/>
      <c r="L223" s="134"/>
    </row>
    <row r="224" customFormat="false" ht="15" hidden="false" customHeight="false" outlineLevel="0" collapsed="false">
      <c r="A224" s="133"/>
      <c r="B224" s="133"/>
      <c r="C224" s="133"/>
      <c r="D224" s="133"/>
      <c r="E224" s="133"/>
      <c r="F224" s="134"/>
      <c r="G224" s="135"/>
      <c r="H224" s="135"/>
      <c r="I224" s="135"/>
      <c r="J224" s="133"/>
      <c r="K224" s="133"/>
      <c r="L224" s="134"/>
    </row>
    <row r="225" customFormat="false" ht="15" hidden="false" customHeight="false" outlineLevel="0" collapsed="false">
      <c r="A225" s="133"/>
      <c r="B225" s="133"/>
      <c r="C225" s="133"/>
      <c r="D225" s="133"/>
      <c r="E225" s="133"/>
      <c r="F225" s="134"/>
      <c r="G225" s="135"/>
      <c r="H225" s="135"/>
      <c r="I225" s="135"/>
      <c r="J225" s="133"/>
      <c r="K225" s="133"/>
      <c r="L225" s="134"/>
    </row>
    <row r="226" customFormat="false" ht="15" hidden="false" customHeight="false" outlineLevel="0" collapsed="false">
      <c r="A226" s="133"/>
      <c r="B226" s="133"/>
      <c r="C226" s="133"/>
      <c r="D226" s="133"/>
      <c r="E226" s="133"/>
      <c r="F226" s="134"/>
      <c r="G226" s="135"/>
      <c r="H226" s="135"/>
      <c r="I226" s="135"/>
      <c r="J226" s="133"/>
      <c r="K226" s="133"/>
      <c r="L226" s="134"/>
    </row>
    <row r="227" customFormat="false" ht="15" hidden="false" customHeight="false" outlineLevel="0" collapsed="false">
      <c r="A227" s="133"/>
      <c r="B227" s="133"/>
      <c r="C227" s="133"/>
      <c r="D227" s="133"/>
      <c r="E227" s="133"/>
      <c r="F227" s="134"/>
      <c r="G227" s="135"/>
      <c r="H227" s="135"/>
      <c r="I227" s="135"/>
      <c r="J227" s="133"/>
      <c r="K227" s="133"/>
      <c r="L227" s="134"/>
    </row>
    <row r="228" customFormat="false" ht="15" hidden="false" customHeight="false" outlineLevel="0" collapsed="false">
      <c r="A228" s="133"/>
      <c r="B228" s="133"/>
      <c r="C228" s="133"/>
      <c r="D228" s="133"/>
      <c r="E228" s="133"/>
      <c r="F228" s="134"/>
      <c r="G228" s="135"/>
      <c r="H228" s="135"/>
      <c r="I228" s="135"/>
      <c r="J228" s="133"/>
      <c r="K228" s="133"/>
      <c r="L228" s="134"/>
    </row>
    <row r="229" customFormat="false" ht="15" hidden="false" customHeight="false" outlineLevel="0" collapsed="false">
      <c r="A229" s="133"/>
      <c r="B229" s="133"/>
      <c r="C229" s="133"/>
      <c r="D229" s="133"/>
      <c r="E229" s="133"/>
      <c r="F229" s="134"/>
      <c r="G229" s="135"/>
      <c r="H229" s="135"/>
      <c r="I229" s="135"/>
      <c r="J229" s="133"/>
      <c r="K229" s="133"/>
      <c r="L229" s="134"/>
    </row>
    <row r="230" customFormat="false" ht="15" hidden="false" customHeight="false" outlineLevel="0" collapsed="false">
      <c r="A230" s="133"/>
      <c r="B230" s="133"/>
      <c r="C230" s="133"/>
      <c r="D230" s="133"/>
      <c r="E230" s="133"/>
      <c r="F230" s="134"/>
      <c r="G230" s="135"/>
      <c r="H230" s="135"/>
      <c r="I230" s="135"/>
      <c r="J230" s="133"/>
      <c r="K230" s="133"/>
      <c r="L230" s="134"/>
    </row>
    <row r="231" customFormat="false" ht="15" hidden="false" customHeight="false" outlineLevel="0" collapsed="false">
      <c r="A231" s="133"/>
      <c r="B231" s="133"/>
      <c r="C231" s="133"/>
      <c r="D231" s="133"/>
      <c r="E231" s="133"/>
      <c r="F231" s="134"/>
      <c r="G231" s="135"/>
      <c r="H231" s="135"/>
      <c r="I231" s="135"/>
      <c r="J231" s="133"/>
      <c r="K231" s="133"/>
      <c r="L231" s="134"/>
    </row>
    <row r="232" customFormat="false" ht="15" hidden="false" customHeight="false" outlineLevel="0" collapsed="false">
      <c r="A232" s="133"/>
      <c r="B232" s="133"/>
      <c r="C232" s="133"/>
      <c r="D232" s="133"/>
      <c r="E232" s="133"/>
      <c r="F232" s="134"/>
      <c r="G232" s="135"/>
      <c r="H232" s="135"/>
      <c r="I232" s="135"/>
      <c r="J232" s="133"/>
      <c r="K232" s="133"/>
      <c r="L232" s="134"/>
    </row>
    <row r="233" customFormat="false" ht="15" hidden="false" customHeight="false" outlineLevel="0" collapsed="false">
      <c r="A233" s="133"/>
      <c r="B233" s="133"/>
      <c r="C233" s="133"/>
      <c r="D233" s="133"/>
      <c r="E233" s="133"/>
      <c r="F233" s="134"/>
      <c r="G233" s="135"/>
      <c r="H233" s="135"/>
      <c r="I233" s="135"/>
      <c r="J233" s="133"/>
      <c r="K233" s="133"/>
      <c r="L233" s="134"/>
    </row>
    <row r="234" customFormat="false" ht="15" hidden="false" customHeight="false" outlineLevel="0" collapsed="false">
      <c r="A234" s="133"/>
      <c r="B234" s="133"/>
      <c r="C234" s="133"/>
      <c r="D234" s="133"/>
      <c r="E234" s="133"/>
      <c r="F234" s="134"/>
      <c r="G234" s="135"/>
      <c r="H234" s="135"/>
      <c r="I234" s="135"/>
      <c r="J234" s="133"/>
      <c r="K234" s="133"/>
      <c r="L234" s="134"/>
    </row>
    <row r="235" customFormat="false" ht="15" hidden="false" customHeight="false" outlineLevel="0" collapsed="false">
      <c r="A235" s="133"/>
      <c r="B235" s="133"/>
      <c r="C235" s="133"/>
      <c r="D235" s="133"/>
      <c r="E235" s="133"/>
      <c r="F235" s="134"/>
      <c r="G235" s="135"/>
      <c r="H235" s="135"/>
      <c r="I235" s="135"/>
      <c r="J235" s="133"/>
      <c r="K235" s="133"/>
      <c r="L235" s="134"/>
    </row>
    <row r="236" customFormat="false" ht="15" hidden="false" customHeight="false" outlineLevel="0" collapsed="false">
      <c r="A236" s="133"/>
      <c r="B236" s="133"/>
      <c r="C236" s="133"/>
      <c r="D236" s="133"/>
      <c r="E236" s="133"/>
      <c r="F236" s="134"/>
      <c r="G236" s="135"/>
      <c r="H236" s="135"/>
      <c r="I236" s="135"/>
      <c r="J236" s="133"/>
      <c r="K236" s="133"/>
      <c r="L236" s="134"/>
    </row>
    <row r="237" customFormat="false" ht="15" hidden="false" customHeight="false" outlineLevel="0" collapsed="false">
      <c r="A237" s="133"/>
      <c r="B237" s="133"/>
      <c r="C237" s="133"/>
      <c r="D237" s="133"/>
      <c r="E237" s="133"/>
      <c r="F237" s="134"/>
      <c r="G237" s="135"/>
      <c r="H237" s="135"/>
      <c r="I237" s="135"/>
      <c r="J237" s="133"/>
      <c r="K237" s="133"/>
      <c r="L237" s="134"/>
    </row>
    <row r="238" customFormat="false" ht="15" hidden="false" customHeight="false" outlineLevel="0" collapsed="false">
      <c r="A238" s="133"/>
      <c r="B238" s="133"/>
      <c r="C238" s="133"/>
      <c r="D238" s="133"/>
      <c r="E238" s="133"/>
      <c r="F238" s="134"/>
      <c r="G238" s="135"/>
      <c r="H238" s="135"/>
      <c r="I238" s="135"/>
      <c r="J238" s="133"/>
      <c r="K238" s="133"/>
      <c r="L238" s="134"/>
    </row>
    <row r="239" customFormat="false" ht="15" hidden="false" customHeight="false" outlineLevel="0" collapsed="false">
      <c r="A239" s="133"/>
      <c r="B239" s="133"/>
      <c r="C239" s="133"/>
      <c r="D239" s="133"/>
      <c r="E239" s="133"/>
      <c r="F239" s="134"/>
      <c r="G239" s="135"/>
      <c r="H239" s="135"/>
      <c r="I239" s="135"/>
      <c r="J239" s="133"/>
      <c r="K239" s="133"/>
      <c r="L239" s="134"/>
    </row>
    <row r="240" customFormat="false" ht="15" hidden="false" customHeight="false" outlineLevel="0" collapsed="false">
      <c r="A240" s="133"/>
      <c r="B240" s="133"/>
      <c r="C240" s="133"/>
      <c r="D240" s="133"/>
      <c r="E240" s="133"/>
      <c r="F240" s="134"/>
      <c r="G240" s="135"/>
      <c r="H240" s="135"/>
      <c r="I240" s="135"/>
      <c r="J240" s="133"/>
      <c r="K240" s="133"/>
      <c r="L240" s="134"/>
    </row>
    <row r="241" customFormat="false" ht="15" hidden="false" customHeight="false" outlineLevel="0" collapsed="false">
      <c r="A241" s="133"/>
      <c r="B241" s="133"/>
      <c r="C241" s="133"/>
      <c r="D241" s="133"/>
      <c r="E241" s="133"/>
      <c r="F241" s="134"/>
      <c r="G241" s="135"/>
      <c r="H241" s="135"/>
      <c r="I241" s="135"/>
      <c r="J241" s="133"/>
      <c r="K241" s="133"/>
      <c r="L241" s="134"/>
    </row>
    <row r="242" customFormat="false" ht="15" hidden="false" customHeight="false" outlineLevel="0" collapsed="false">
      <c r="A242" s="133"/>
      <c r="B242" s="133"/>
      <c r="C242" s="133"/>
      <c r="D242" s="133"/>
      <c r="E242" s="133"/>
      <c r="F242" s="134"/>
      <c r="G242" s="135"/>
      <c r="H242" s="135"/>
      <c r="I242" s="135"/>
      <c r="J242" s="133"/>
      <c r="K242" s="133"/>
      <c r="L242" s="134"/>
    </row>
    <row r="243" customFormat="false" ht="15" hidden="false" customHeight="false" outlineLevel="0" collapsed="false">
      <c r="A243" s="133"/>
      <c r="B243" s="133"/>
      <c r="C243" s="133"/>
      <c r="D243" s="133"/>
      <c r="E243" s="133"/>
      <c r="F243" s="134"/>
      <c r="G243" s="135"/>
      <c r="H243" s="135"/>
      <c r="I243" s="135"/>
      <c r="J243" s="133"/>
      <c r="K243" s="133"/>
      <c r="L243" s="134"/>
    </row>
    <row r="244" customFormat="false" ht="15" hidden="false" customHeight="false" outlineLevel="0" collapsed="false">
      <c r="A244" s="133"/>
      <c r="B244" s="133"/>
      <c r="C244" s="133"/>
      <c r="D244" s="133"/>
      <c r="E244" s="133"/>
      <c r="F244" s="134"/>
      <c r="G244" s="135"/>
      <c r="H244" s="135"/>
      <c r="I244" s="135"/>
      <c r="J244" s="133"/>
      <c r="K244" s="133"/>
      <c r="L244" s="134"/>
    </row>
    <row r="245" customFormat="false" ht="15" hidden="false" customHeight="false" outlineLevel="0" collapsed="false">
      <c r="A245" s="133"/>
      <c r="B245" s="133"/>
      <c r="C245" s="133"/>
      <c r="D245" s="133"/>
      <c r="E245" s="133"/>
      <c r="F245" s="134"/>
      <c r="G245" s="135"/>
      <c r="H245" s="135"/>
      <c r="I245" s="135"/>
      <c r="J245" s="133"/>
      <c r="K245" s="133"/>
      <c r="L245" s="134"/>
    </row>
    <row r="246" customFormat="false" ht="15" hidden="false" customHeight="false" outlineLevel="0" collapsed="false">
      <c r="A246" s="133"/>
      <c r="B246" s="133"/>
      <c r="C246" s="133"/>
      <c r="D246" s="133"/>
      <c r="E246" s="133"/>
      <c r="F246" s="134"/>
      <c r="G246" s="135"/>
      <c r="H246" s="135"/>
      <c r="I246" s="135"/>
      <c r="J246" s="133"/>
      <c r="K246" s="133"/>
      <c r="L246" s="134"/>
    </row>
    <row r="247" customFormat="false" ht="15" hidden="false" customHeight="false" outlineLevel="0" collapsed="false">
      <c r="A247" s="133"/>
      <c r="B247" s="133"/>
      <c r="C247" s="133"/>
      <c r="D247" s="133"/>
      <c r="E247" s="133"/>
      <c r="F247" s="134"/>
      <c r="G247" s="135"/>
      <c r="H247" s="135"/>
      <c r="I247" s="135"/>
      <c r="J247" s="133"/>
      <c r="K247" s="133"/>
      <c r="L247" s="134"/>
    </row>
    <row r="248" customFormat="false" ht="15" hidden="false" customHeight="false" outlineLevel="0" collapsed="false">
      <c r="A248" s="133"/>
      <c r="B248" s="133"/>
      <c r="C248" s="133"/>
      <c r="D248" s="133"/>
      <c r="E248" s="133"/>
      <c r="F248" s="134"/>
      <c r="G248" s="135"/>
      <c r="H248" s="135"/>
      <c r="I248" s="135"/>
      <c r="J248" s="133"/>
      <c r="K248" s="133"/>
      <c r="L248" s="134"/>
    </row>
    <row r="249" customFormat="false" ht="15" hidden="false" customHeight="false" outlineLevel="0" collapsed="false">
      <c r="A249" s="133"/>
      <c r="B249" s="133"/>
      <c r="C249" s="133"/>
      <c r="D249" s="133"/>
      <c r="E249" s="133"/>
      <c r="F249" s="134"/>
      <c r="G249" s="135"/>
      <c r="H249" s="135"/>
      <c r="I249" s="135"/>
      <c r="J249" s="133"/>
      <c r="K249" s="133"/>
      <c r="L249" s="134"/>
    </row>
    <row r="250" customFormat="false" ht="15" hidden="false" customHeight="false" outlineLevel="0" collapsed="false">
      <c r="A250" s="133"/>
      <c r="B250" s="133"/>
      <c r="C250" s="133"/>
      <c r="D250" s="133"/>
      <c r="E250" s="133"/>
      <c r="F250" s="134"/>
      <c r="G250" s="135"/>
      <c r="H250" s="135"/>
      <c r="I250" s="135"/>
      <c r="J250" s="133"/>
      <c r="K250" s="133"/>
      <c r="L250" s="134"/>
    </row>
    <row r="251" customFormat="false" ht="15" hidden="false" customHeight="false" outlineLevel="0" collapsed="false">
      <c r="A251" s="133"/>
      <c r="B251" s="133"/>
      <c r="C251" s="133"/>
      <c r="D251" s="133"/>
      <c r="E251" s="133"/>
      <c r="F251" s="134"/>
      <c r="G251" s="135"/>
      <c r="H251" s="135"/>
      <c r="I251" s="135"/>
      <c r="J251" s="133"/>
      <c r="K251" s="133"/>
      <c r="L251" s="134"/>
    </row>
    <row r="252" customFormat="false" ht="15" hidden="false" customHeight="false" outlineLevel="0" collapsed="false">
      <c r="A252" s="133"/>
      <c r="B252" s="133"/>
      <c r="C252" s="133"/>
      <c r="D252" s="133"/>
      <c r="E252" s="133"/>
      <c r="F252" s="134"/>
      <c r="G252" s="135"/>
      <c r="H252" s="135"/>
      <c r="I252" s="135"/>
      <c r="J252" s="133"/>
      <c r="K252" s="133"/>
      <c r="L252" s="134"/>
    </row>
    <row r="253" customFormat="false" ht="15" hidden="false" customHeight="false" outlineLevel="0" collapsed="false">
      <c r="A253" s="133"/>
      <c r="B253" s="133"/>
      <c r="C253" s="133"/>
      <c r="D253" s="133"/>
      <c r="E253" s="133"/>
      <c r="F253" s="134"/>
      <c r="G253" s="135"/>
      <c r="H253" s="135"/>
      <c r="I253" s="135"/>
      <c r="J253" s="133"/>
      <c r="K253" s="133"/>
      <c r="L253" s="134"/>
    </row>
    <row r="254" customFormat="false" ht="15" hidden="false" customHeight="false" outlineLevel="0" collapsed="false">
      <c r="A254" s="133"/>
      <c r="B254" s="133"/>
      <c r="C254" s="133"/>
      <c r="D254" s="133"/>
      <c r="E254" s="133"/>
      <c r="F254" s="134"/>
      <c r="G254" s="135"/>
      <c r="H254" s="135"/>
      <c r="I254" s="135"/>
      <c r="J254" s="133"/>
      <c r="K254" s="133"/>
      <c r="L254" s="134"/>
    </row>
    <row r="255" customFormat="false" ht="15" hidden="false" customHeight="false" outlineLevel="0" collapsed="false">
      <c r="A255" s="133"/>
      <c r="B255" s="133"/>
      <c r="C255" s="133"/>
      <c r="D255" s="133"/>
      <c r="E255" s="133"/>
      <c r="F255" s="134"/>
      <c r="G255" s="135"/>
      <c r="H255" s="135"/>
      <c r="I255" s="135"/>
      <c r="J255" s="133"/>
      <c r="K255" s="133"/>
      <c r="L255" s="134"/>
    </row>
    <row r="256" customFormat="false" ht="15" hidden="false" customHeight="false" outlineLevel="0" collapsed="false">
      <c r="A256" s="133"/>
      <c r="B256" s="133"/>
      <c r="C256" s="133"/>
      <c r="D256" s="133"/>
      <c r="E256" s="133"/>
      <c r="F256" s="134"/>
      <c r="G256" s="135"/>
      <c r="H256" s="135"/>
      <c r="I256" s="135"/>
      <c r="J256" s="133"/>
      <c r="K256" s="133"/>
      <c r="L256" s="134"/>
    </row>
    <row r="257" customFormat="false" ht="15" hidden="false" customHeight="false" outlineLevel="0" collapsed="false">
      <c r="A257" s="133"/>
      <c r="B257" s="133"/>
      <c r="C257" s="133"/>
      <c r="D257" s="133"/>
      <c r="E257" s="133"/>
      <c r="F257" s="134"/>
      <c r="G257" s="135"/>
      <c r="H257" s="135"/>
      <c r="I257" s="135"/>
      <c r="J257" s="133"/>
      <c r="K257" s="133"/>
      <c r="L257" s="134"/>
    </row>
    <row r="258" customFormat="false" ht="15" hidden="false" customHeight="false" outlineLevel="0" collapsed="false">
      <c r="A258" s="133"/>
      <c r="B258" s="133"/>
      <c r="C258" s="133"/>
      <c r="D258" s="133"/>
      <c r="E258" s="133"/>
      <c r="F258" s="134"/>
      <c r="G258" s="135"/>
      <c r="H258" s="135"/>
      <c r="I258" s="135"/>
      <c r="J258" s="133"/>
      <c r="K258" s="133"/>
      <c r="L258" s="134"/>
    </row>
    <row r="259" customFormat="false" ht="15" hidden="false" customHeight="false" outlineLevel="0" collapsed="false">
      <c r="A259" s="133"/>
      <c r="B259" s="133"/>
      <c r="C259" s="133"/>
      <c r="D259" s="133"/>
      <c r="E259" s="133"/>
      <c r="F259" s="134"/>
      <c r="G259" s="135"/>
      <c r="H259" s="135"/>
      <c r="I259" s="135"/>
      <c r="J259" s="133"/>
      <c r="K259" s="133"/>
      <c r="L259" s="134"/>
    </row>
    <row r="260" customFormat="false" ht="15" hidden="false" customHeight="false" outlineLevel="0" collapsed="false">
      <c r="A260" s="133"/>
      <c r="B260" s="133"/>
      <c r="C260" s="133"/>
      <c r="D260" s="133"/>
      <c r="E260" s="133"/>
      <c r="F260" s="134"/>
      <c r="G260" s="135"/>
      <c r="H260" s="135"/>
      <c r="I260" s="135"/>
      <c r="J260" s="133"/>
      <c r="K260" s="133"/>
      <c r="L260" s="134"/>
    </row>
    <row r="261" customFormat="false" ht="15" hidden="false" customHeight="false" outlineLevel="0" collapsed="false">
      <c r="A261" s="133"/>
      <c r="B261" s="133"/>
      <c r="C261" s="133"/>
      <c r="D261" s="133"/>
      <c r="E261" s="133"/>
      <c r="F261" s="134"/>
      <c r="G261" s="135"/>
      <c r="H261" s="135"/>
      <c r="I261" s="135"/>
      <c r="J261" s="133"/>
      <c r="K261" s="133"/>
      <c r="L261" s="134"/>
    </row>
    <row r="262" customFormat="false" ht="15" hidden="false" customHeight="false" outlineLevel="0" collapsed="false">
      <c r="A262" s="133"/>
      <c r="B262" s="133"/>
      <c r="C262" s="133"/>
      <c r="D262" s="133"/>
      <c r="E262" s="133"/>
      <c r="F262" s="134"/>
      <c r="G262" s="135"/>
      <c r="H262" s="135"/>
      <c r="I262" s="135"/>
      <c r="J262" s="133"/>
      <c r="K262" s="133"/>
      <c r="L262" s="134"/>
    </row>
    <row r="263" customFormat="false" ht="15" hidden="false" customHeight="false" outlineLevel="0" collapsed="false">
      <c r="A263" s="133"/>
      <c r="B263" s="133"/>
      <c r="C263" s="133"/>
      <c r="D263" s="133"/>
      <c r="E263" s="133"/>
      <c r="F263" s="134"/>
      <c r="G263" s="135"/>
      <c r="H263" s="135"/>
      <c r="I263" s="135"/>
      <c r="J263" s="133"/>
      <c r="K263" s="133"/>
      <c r="L263" s="134"/>
    </row>
    <row r="264" customFormat="false" ht="15" hidden="false" customHeight="false" outlineLevel="0" collapsed="false">
      <c r="A264" s="133"/>
      <c r="B264" s="133"/>
      <c r="C264" s="133"/>
      <c r="D264" s="133"/>
      <c r="E264" s="133"/>
      <c r="F264" s="134"/>
      <c r="G264" s="135"/>
      <c r="H264" s="135"/>
      <c r="I264" s="135"/>
      <c r="J264" s="133"/>
      <c r="K264" s="133"/>
      <c r="L264" s="134"/>
    </row>
    <row r="265" customFormat="false" ht="15" hidden="false" customHeight="false" outlineLevel="0" collapsed="false">
      <c r="A265" s="133"/>
      <c r="B265" s="133"/>
      <c r="C265" s="133"/>
      <c r="D265" s="133"/>
      <c r="E265" s="133"/>
      <c r="F265" s="134"/>
      <c r="G265" s="135"/>
      <c r="H265" s="135"/>
      <c r="I265" s="135"/>
      <c r="J265" s="133"/>
      <c r="K265" s="133"/>
      <c r="L265" s="134"/>
    </row>
    <row r="266" customFormat="false" ht="15" hidden="false" customHeight="false" outlineLevel="0" collapsed="false">
      <c r="A266" s="133"/>
      <c r="B266" s="133"/>
      <c r="C266" s="133"/>
      <c r="D266" s="133"/>
      <c r="E266" s="133"/>
      <c r="F266" s="134"/>
      <c r="G266" s="135"/>
      <c r="H266" s="135"/>
      <c r="I266" s="135"/>
      <c r="J266" s="133"/>
      <c r="K266" s="133"/>
      <c r="L266" s="134"/>
    </row>
    <row r="267" customFormat="false" ht="15" hidden="false" customHeight="false" outlineLevel="0" collapsed="false">
      <c r="A267" s="133"/>
      <c r="B267" s="133"/>
      <c r="C267" s="133"/>
      <c r="D267" s="133"/>
      <c r="E267" s="133"/>
      <c r="F267" s="134"/>
      <c r="G267" s="135"/>
      <c r="H267" s="135"/>
      <c r="I267" s="135"/>
      <c r="J267" s="133"/>
      <c r="K267" s="133"/>
      <c r="L267" s="134"/>
    </row>
    <row r="268" customFormat="false" ht="15" hidden="false" customHeight="false" outlineLevel="0" collapsed="false">
      <c r="A268" s="133"/>
      <c r="B268" s="133"/>
      <c r="C268" s="133"/>
      <c r="D268" s="133"/>
      <c r="E268" s="133"/>
      <c r="F268" s="134"/>
      <c r="G268" s="135"/>
      <c r="H268" s="135"/>
      <c r="I268" s="135"/>
      <c r="J268" s="133"/>
      <c r="K268" s="133"/>
      <c r="L268" s="134"/>
    </row>
    <row r="269" customFormat="false" ht="15" hidden="false" customHeight="false" outlineLevel="0" collapsed="false">
      <c r="A269" s="133"/>
      <c r="B269" s="133"/>
      <c r="C269" s="133"/>
      <c r="D269" s="133"/>
      <c r="E269" s="133"/>
      <c r="F269" s="134"/>
      <c r="G269" s="135"/>
      <c r="H269" s="135"/>
      <c r="I269" s="135"/>
      <c r="J269" s="133"/>
      <c r="K269" s="133"/>
      <c r="L269" s="134"/>
    </row>
    <row r="270" customFormat="false" ht="15" hidden="false" customHeight="false" outlineLevel="0" collapsed="false">
      <c r="A270" s="133"/>
      <c r="B270" s="133"/>
      <c r="C270" s="133"/>
      <c r="D270" s="133"/>
      <c r="E270" s="133"/>
      <c r="F270" s="134"/>
      <c r="G270" s="135"/>
      <c r="H270" s="135"/>
      <c r="I270" s="135"/>
      <c r="J270" s="133"/>
      <c r="K270" s="133"/>
      <c r="L270" s="134"/>
    </row>
    <row r="271" customFormat="false" ht="15" hidden="false" customHeight="false" outlineLevel="0" collapsed="false">
      <c r="A271" s="133"/>
      <c r="B271" s="133"/>
      <c r="C271" s="133"/>
      <c r="D271" s="133"/>
      <c r="E271" s="133"/>
      <c r="F271" s="134"/>
      <c r="G271" s="135"/>
      <c r="H271" s="135"/>
      <c r="I271" s="135"/>
      <c r="J271" s="133"/>
      <c r="K271" s="133"/>
      <c r="L271" s="134"/>
    </row>
    <row r="272" customFormat="false" ht="15" hidden="false" customHeight="false" outlineLevel="0" collapsed="false">
      <c r="A272" s="133"/>
      <c r="B272" s="133"/>
      <c r="C272" s="133"/>
      <c r="D272" s="133"/>
      <c r="E272" s="133"/>
      <c r="F272" s="134"/>
      <c r="G272" s="135"/>
      <c r="H272" s="135"/>
      <c r="I272" s="135"/>
      <c r="J272" s="133"/>
      <c r="K272" s="133"/>
      <c r="L272" s="134"/>
    </row>
    <row r="273" customFormat="false" ht="15" hidden="false" customHeight="false" outlineLevel="0" collapsed="false">
      <c r="A273" s="133"/>
      <c r="B273" s="133"/>
      <c r="C273" s="133"/>
      <c r="D273" s="133"/>
      <c r="E273" s="133"/>
      <c r="F273" s="134"/>
      <c r="G273" s="135"/>
      <c r="H273" s="135"/>
      <c r="I273" s="135"/>
      <c r="J273" s="133"/>
      <c r="K273" s="133"/>
      <c r="L273" s="134"/>
    </row>
    <row r="274" customFormat="false" ht="15" hidden="false" customHeight="false" outlineLevel="0" collapsed="false">
      <c r="A274" s="133"/>
      <c r="B274" s="133"/>
      <c r="C274" s="133"/>
      <c r="D274" s="133"/>
      <c r="E274" s="133"/>
      <c r="F274" s="134"/>
      <c r="G274" s="135"/>
      <c r="H274" s="135"/>
      <c r="I274" s="135"/>
      <c r="J274" s="133"/>
      <c r="K274" s="133"/>
      <c r="L274" s="134"/>
    </row>
    <row r="275" customFormat="false" ht="15" hidden="false" customHeight="false" outlineLevel="0" collapsed="false">
      <c r="A275" s="133"/>
      <c r="B275" s="133"/>
      <c r="C275" s="133"/>
      <c r="D275" s="133"/>
      <c r="E275" s="133"/>
      <c r="F275" s="134"/>
      <c r="G275" s="135"/>
      <c r="H275" s="135"/>
      <c r="I275" s="135"/>
      <c r="J275" s="133"/>
      <c r="K275" s="133"/>
      <c r="L275" s="134"/>
    </row>
    <row r="276" customFormat="false" ht="15" hidden="false" customHeight="false" outlineLevel="0" collapsed="false">
      <c r="A276" s="133"/>
      <c r="B276" s="133"/>
      <c r="C276" s="133"/>
      <c r="D276" s="133"/>
      <c r="E276" s="133"/>
      <c r="F276" s="134"/>
      <c r="G276" s="135"/>
      <c r="H276" s="135"/>
      <c r="I276" s="135"/>
      <c r="J276" s="133"/>
      <c r="K276" s="133"/>
      <c r="L276" s="134"/>
    </row>
    <row r="277" customFormat="false" ht="15" hidden="false" customHeight="false" outlineLevel="0" collapsed="false">
      <c r="A277" s="133"/>
      <c r="B277" s="133"/>
      <c r="C277" s="133"/>
      <c r="D277" s="133"/>
      <c r="E277" s="133"/>
      <c r="F277" s="134"/>
      <c r="G277" s="135"/>
      <c r="H277" s="135"/>
      <c r="I277" s="135"/>
      <c r="J277" s="133"/>
      <c r="K277" s="133"/>
      <c r="L277" s="134"/>
    </row>
    <row r="278" customFormat="false" ht="15" hidden="false" customHeight="false" outlineLevel="0" collapsed="false">
      <c r="A278" s="133"/>
      <c r="B278" s="133"/>
      <c r="C278" s="133"/>
      <c r="D278" s="133"/>
      <c r="E278" s="133"/>
      <c r="F278" s="134"/>
      <c r="G278" s="135"/>
      <c r="H278" s="135"/>
      <c r="I278" s="135"/>
      <c r="J278" s="133"/>
      <c r="K278" s="133"/>
      <c r="L278" s="134"/>
    </row>
    <row r="279" customFormat="false" ht="15" hidden="false" customHeight="false" outlineLevel="0" collapsed="false">
      <c r="A279" s="133"/>
      <c r="B279" s="133"/>
      <c r="C279" s="133"/>
      <c r="D279" s="133"/>
      <c r="E279" s="133"/>
      <c r="F279" s="134"/>
      <c r="G279" s="135"/>
      <c r="H279" s="135"/>
      <c r="I279" s="135"/>
      <c r="J279" s="133"/>
      <c r="K279" s="133"/>
      <c r="L279" s="134"/>
    </row>
    <row r="280" customFormat="false" ht="15" hidden="false" customHeight="false" outlineLevel="0" collapsed="false">
      <c r="A280" s="133"/>
      <c r="B280" s="133"/>
      <c r="C280" s="133"/>
      <c r="D280" s="133"/>
      <c r="E280" s="133"/>
      <c r="F280" s="134"/>
      <c r="G280" s="135"/>
      <c r="H280" s="135"/>
      <c r="I280" s="135"/>
      <c r="J280" s="133"/>
      <c r="K280" s="133"/>
      <c r="L280" s="134"/>
    </row>
    <row r="281" customFormat="false" ht="15" hidden="false" customHeight="false" outlineLevel="0" collapsed="false">
      <c r="A281" s="133"/>
      <c r="B281" s="133"/>
      <c r="C281" s="133"/>
      <c r="D281" s="133"/>
      <c r="E281" s="133"/>
      <c r="F281" s="134"/>
      <c r="G281" s="135"/>
      <c r="H281" s="135"/>
      <c r="I281" s="135"/>
      <c r="J281" s="133"/>
      <c r="K281" s="133"/>
      <c r="L281" s="134"/>
    </row>
    <row r="282" customFormat="false" ht="15" hidden="false" customHeight="false" outlineLevel="0" collapsed="false">
      <c r="A282" s="133"/>
      <c r="B282" s="133"/>
      <c r="C282" s="133"/>
      <c r="D282" s="133"/>
      <c r="E282" s="133"/>
      <c r="F282" s="134"/>
      <c r="G282" s="135"/>
      <c r="H282" s="135"/>
      <c r="I282" s="135"/>
      <c r="J282" s="133"/>
      <c r="K282" s="133"/>
      <c r="L282" s="134"/>
    </row>
    <row r="283" customFormat="false" ht="15" hidden="false" customHeight="false" outlineLevel="0" collapsed="false">
      <c r="A283" s="133"/>
      <c r="B283" s="133"/>
      <c r="C283" s="133"/>
      <c r="D283" s="133"/>
      <c r="E283" s="133"/>
      <c r="F283" s="134"/>
      <c r="G283" s="135"/>
      <c r="H283" s="135"/>
      <c r="I283" s="135"/>
      <c r="J283" s="133"/>
      <c r="K283" s="133"/>
      <c r="L283" s="134"/>
    </row>
    <row r="284" customFormat="false" ht="15" hidden="false" customHeight="false" outlineLevel="0" collapsed="false">
      <c r="A284" s="133"/>
      <c r="B284" s="133"/>
      <c r="C284" s="133"/>
      <c r="D284" s="133"/>
      <c r="E284" s="133"/>
      <c r="F284" s="134"/>
      <c r="G284" s="135"/>
      <c r="H284" s="135"/>
      <c r="I284" s="135"/>
      <c r="J284" s="133"/>
      <c r="K284" s="133"/>
      <c r="L284" s="134"/>
    </row>
    <row r="285" customFormat="false" ht="15" hidden="false" customHeight="false" outlineLevel="0" collapsed="false">
      <c r="A285" s="133"/>
      <c r="B285" s="133"/>
      <c r="C285" s="133"/>
      <c r="D285" s="133"/>
      <c r="E285" s="133"/>
      <c r="F285" s="134"/>
      <c r="G285" s="135"/>
      <c r="H285" s="135"/>
      <c r="I285" s="135"/>
      <c r="J285" s="133"/>
      <c r="K285" s="133"/>
      <c r="L285" s="134"/>
    </row>
    <row r="286" customFormat="false" ht="15" hidden="false" customHeight="false" outlineLevel="0" collapsed="false">
      <c r="A286" s="133"/>
      <c r="B286" s="133"/>
      <c r="C286" s="133"/>
      <c r="D286" s="133"/>
      <c r="E286" s="133"/>
      <c r="F286" s="134"/>
      <c r="G286" s="135"/>
      <c r="H286" s="135"/>
      <c r="I286" s="135"/>
      <c r="J286" s="133"/>
      <c r="K286" s="133"/>
      <c r="L286" s="134"/>
    </row>
    <row r="287" customFormat="false" ht="15" hidden="false" customHeight="false" outlineLevel="0" collapsed="false">
      <c r="A287" s="133"/>
      <c r="B287" s="133"/>
      <c r="C287" s="133"/>
      <c r="D287" s="133"/>
      <c r="E287" s="133"/>
      <c r="F287" s="134"/>
      <c r="G287" s="135"/>
      <c r="H287" s="135"/>
      <c r="I287" s="135"/>
      <c r="J287" s="133"/>
      <c r="K287" s="133"/>
      <c r="L287" s="134"/>
    </row>
    <row r="288" customFormat="false" ht="15" hidden="false" customHeight="false" outlineLevel="0" collapsed="false">
      <c r="A288" s="133"/>
      <c r="B288" s="133"/>
      <c r="C288" s="133"/>
      <c r="D288" s="133"/>
      <c r="E288" s="133"/>
      <c r="F288" s="134"/>
      <c r="G288" s="135"/>
      <c r="H288" s="135"/>
      <c r="I288" s="135"/>
      <c r="J288" s="133"/>
      <c r="K288" s="133"/>
      <c r="L288" s="134"/>
    </row>
    <row r="289" customFormat="false" ht="15" hidden="false" customHeight="false" outlineLevel="0" collapsed="false">
      <c r="A289" s="133"/>
      <c r="B289" s="133"/>
      <c r="C289" s="133"/>
      <c r="D289" s="133"/>
      <c r="E289" s="133"/>
      <c r="F289" s="134"/>
      <c r="G289" s="135"/>
      <c r="H289" s="135"/>
      <c r="I289" s="135"/>
      <c r="J289" s="133"/>
      <c r="K289" s="133"/>
      <c r="L289" s="134"/>
    </row>
    <row r="290" customFormat="false" ht="15" hidden="false" customHeight="false" outlineLevel="0" collapsed="false">
      <c r="A290" s="133"/>
      <c r="B290" s="133"/>
      <c r="C290" s="133"/>
      <c r="D290" s="133"/>
      <c r="E290" s="133"/>
      <c r="F290" s="134"/>
      <c r="G290" s="135"/>
      <c r="H290" s="135"/>
      <c r="I290" s="135"/>
      <c r="J290" s="133"/>
      <c r="K290" s="133"/>
      <c r="L290" s="134"/>
    </row>
    <row r="291" customFormat="false" ht="15" hidden="false" customHeight="false" outlineLevel="0" collapsed="false">
      <c r="A291" s="133"/>
      <c r="B291" s="133"/>
      <c r="C291" s="133"/>
      <c r="D291" s="133"/>
      <c r="E291" s="133"/>
      <c r="F291" s="134"/>
      <c r="G291" s="135"/>
      <c r="H291" s="135"/>
      <c r="I291" s="135"/>
      <c r="J291" s="133"/>
      <c r="K291" s="133"/>
      <c r="L291" s="134"/>
    </row>
    <row r="292" customFormat="false" ht="15" hidden="false" customHeight="false" outlineLevel="0" collapsed="false">
      <c r="A292" s="133"/>
      <c r="B292" s="133"/>
      <c r="C292" s="133"/>
      <c r="D292" s="133"/>
      <c r="E292" s="133"/>
      <c r="F292" s="134"/>
      <c r="G292" s="135"/>
      <c r="H292" s="135"/>
      <c r="I292" s="135"/>
      <c r="J292" s="133"/>
      <c r="K292" s="133"/>
      <c r="L292" s="134"/>
    </row>
    <row r="293" customFormat="false" ht="15" hidden="false" customHeight="false" outlineLevel="0" collapsed="false">
      <c r="A293" s="133"/>
      <c r="B293" s="133"/>
      <c r="C293" s="133"/>
      <c r="D293" s="133"/>
      <c r="E293" s="133"/>
      <c r="F293" s="134"/>
      <c r="G293" s="135"/>
      <c r="H293" s="135"/>
      <c r="I293" s="135"/>
      <c r="J293" s="133"/>
      <c r="K293" s="133"/>
      <c r="L293" s="134"/>
    </row>
    <row r="294" customFormat="false" ht="15" hidden="false" customHeight="false" outlineLevel="0" collapsed="false">
      <c r="A294" s="133"/>
      <c r="B294" s="133"/>
      <c r="C294" s="133"/>
      <c r="D294" s="133"/>
      <c r="E294" s="133"/>
      <c r="F294" s="134"/>
      <c r="G294" s="135"/>
      <c r="H294" s="135"/>
      <c r="I294" s="135"/>
      <c r="J294" s="133"/>
      <c r="K294" s="133"/>
      <c r="L294" s="134"/>
    </row>
    <row r="295" customFormat="false" ht="15" hidden="false" customHeight="false" outlineLevel="0" collapsed="false">
      <c r="A295" s="133"/>
      <c r="B295" s="133"/>
      <c r="C295" s="133"/>
      <c r="D295" s="133"/>
      <c r="E295" s="133"/>
      <c r="F295" s="134"/>
      <c r="G295" s="135"/>
      <c r="H295" s="135"/>
      <c r="I295" s="135"/>
      <c r="J295" s="133"/>
      <c r="K295" s="133"/>
      <c r="L295" s="134"/>
    </row>
    <row r="296" customFormat="false" ht="15" hidden="false" customHeight="false" outlineLevel="0" collapsed="false">
      <c r="A296" s="133"/>
      <c r="B296" s="133"/>
      <c r="C296" s="133"/>
      <c r="D296" s="133"/>
      <c r="E296" s="133"/>
      <c r="F296" s="134"/>
      <c r="G296" s="135"/>
      <c r="H296" s="135"/>
      <c r="I296" s="135"/>
      <c r="J296" s="133"/>
      <c r="K296" s="133"/>
      <c r="L296" s="134"/>
    </row>
    <row r="297" customFormat="false" ht="15" hidden="false" customHeight="false" outlineLevel="0" collapsed="false">
      <c r="A297" s="133"/>
      <c r="B297" s="133"/>
      <c r="C297" s="133"/>
      <c r="D297" s="133"/>
      <c r="E297" s="133"/>
      <c r="F297" s="134"/>
      <c r="G297" s="135"/>
      <c r="H297" s="135"/>
      <c r="I297" s="135"/>
      <c r="J297" s="133"/>
      <c r="K297" s="133"/>
      <c r="L297" s="134"/>
    </row>
    <row r="298" customFormat="false" ht="15" hidden="false" customHeight="false" outlineLevel="0" collapsed="false">
      <c r="A298" s="133"/>
      <c r="B298" s="133"/>
      <c r="C298" s="133"/>
      <c r="D298" s="133"/>
      <c r="E298" s="133"/>
      <c r="F298" s="134"/>
      <c r="G298" s="135"/>
      <c r="H298" s="135"/>
      <c r="I298" s="135"/>
      <c r="J298" s="133"/>
      <c r="K298" s="133"/>
      <c r="L298" s="134"/>
    </row>
    <row r="299" customFormat="false" ht="15" hidden="false" customHeight="false" outlineLevel="0" collapsed="false">
      <c r="A299" s="133"/>
      <c r="B299" s="133"/>
      <c r="C299" s="133"/>
      <c r="D299" s="133"/>
      <c r="E299" s="133"/>
      <c r="F299" s="134"/>
      <c r="G299" s="135"/>
      <c r="H299" s="135"/>
      <c r="I299" s="135"/>
      <c r="J299" s="133"/>
      <c r="K299" s="133"/>
      <c r="L299" s="134"/>
    </row>
    <row r="300" customFormat="false" ht="15" hidden="false" customHeight="false" outlineLevel="0" collapsed="false">
      <c r="A300" s="133"/>
      <c r="B300" s="133"/>
      <c r="C300" s="133"/>
      <c r="D300" s="133"/>
      <c r="E300" s="133"/>
      <c r="F300" s="134"/>
      <c r="G300" s="135"/>
      <c r="H300" s="135"/>
      <c r="I300" s="135"/>
      <c r="J300" s="133"/>
      <c r="K300" s="133"/>
      <c r="L300" s="134"/>
    </row>
    <row r="301" customFormat="false" ht="15" hidden="false" customHeight="false" outlineLevel="0" collapsed="false">
      <c r="A301" s="133"/>
      <c r="B301" s="133"/>
      <c r="C301" s="133"/>
      <c r="D301" s="133"/>
      <c r="E301" s="133"/>
      <c r="F301" s="134"/>
      <c r="G301" s="135"/>
      <c r="H301" s="135"/>
      <c r="I301" s="135"/>
      <c r="J301" s="133"/>
      <c r="K301" s="133"/>
      <c r="L301" s="134"/>
    </row>
    <row r="302" customFormat="false" ht="15" hidden="false" customHeight="false" outlineLevel="0" collapsed="false">
      <c r="A302" s="133"/>
      <c r="B302" s="133"/>
      <c r="C302" s="133"/>
      <c r="D302" s="133"/>
      <c r="E302" s="133"/>
      <c r="F302" s="134"/>
      <c r="G302" s="135"/>
      <c r="H302" s="135"/>
      <c r="I302" s="135"/>
      <c r="J302" s="133"/>
      <c r="K302" s="133"/>
      <c r="L302" s="134"/>
    </row>
    <row r="303" customFormat="false" ht="15" hidden="false" customHeight="false" outlineLevel="0" collapsed="false">
      <c r="A303" s="133"/>
      <c r="B303" s="133"/>
      <c r="C303" s="133"/>
      <c r="D303" s="133"/>
      <c r="E303" s="133"/>
      <c r="F303" s="134"/>
      <c r="G303" s="135"/>
      <c r="H303" s="135"/>
      <c r="I303" s="135"/>
      <c r="J303" s="133"/>
      <c r="K303" s="133"/>
      <c r="L303" s="134"/>
    </row>
    <row r="304" customFormat="false" ht="15" hidden="false" customHeight="false" outlineLevel="0" collapsed="false">
      <c r="A304" s="133"/>
      <c r="B304" s="133"/>
      <c r="C304" s="133"/>
      <c r="D304" s="133"/>
      <c r="E304" s="133"/>
      <c r="F304" s="134"/>
      <c r="G304" s="135"/>
      <c r="H304" s="135"/>
      <c r="I304" s="135"/>
      <c r="J304" s="133"/>
      <c r="K304" s="133"/>
      <c r="L304" s="134"/>
    </row>
    <row r="305" customFormat="false" ht="15" hidden="false" customHeight="false" outlineLevel="0" collapsed="false">
      <c r="A305" s="133"/>
      <c r="B305" s="133"/>
      <c r="C305" s="133"/>
      <c r="D305" s="133"/>
      <c r="E305" s="133"/>
      <c r="F305" s="134"/>
      <c r="G305" s="135"/>
      <c r="H305" s="135"/>
      <c r="I305" s="135"/>
      <c r="J305" s="133"/>
      <c r="K305" s="133"/>
      <c r="L305" s="134"/>
    </row>
    <row r="306" customFormat="false" ht="15" hidden="false" customHeight="false" outlineLevel="0" collapsed="false">
      <c r="A306" s="133"/>
      <c r="B306" s="133"/>
      <c r="C306" s="133"/>
      <c r="D306" s="133"/>
      <c r="E306" s="133"/>
      <c r="F306" s="134"/>
      <c r="G306" s="135"/>
      <c r="H306" s="135"/>
      <c r="I306" s="135"/>
      <c r="J306" s="133"/>
      <c r="K306" s="133"/>
      <c r="L306" s="134"/>
    </row>
    <row r="307" customFormat="false" ht="15" hidden="false" customHeight="false" outlineLevel="0" collapsed="false">
      <c r="A307" s="133"/>
      <c r="B307" s="133"/>
      <c r="C307" s="133"/>
      <c r="D307" s="133"/>
      <c r="E307" s="133"/>
      <c r="F307" s="134"/>
      <c r="G307" s="135"/>
      <c r="H307" s="135"/>
      <c r="I307" s="135"/>
      <c r="J307" s="133"/>
      <c r="K307" s="133"/>
      <c r="L307" s="134"/>
    </row>
    <row r="308" customFormat="false" ht="15" hidden="false" customHeight="false" outlineLevel="0" collapsed="false">
      <c r="A308" s="133"/>
      <c r="B308" s="133"/>
      <c r="C308" s="133"/>
      <c r="D308" s="133"/>
      <c r="E308" s="133"/>
      <c r="F308" s="134"/>
      <c r="G308" s="135"/>
      <c r="H308" s="135"/>
      <c r="I308" s="135"/>
      <c r="J308" s="133"/>
      <c r="K308" s="133"/>
      <c r="L308" s="134"/>
    </row>
    <row r="309" customFormat="false" ht="15" hidden="false" customHeight="false" outlineLevel="0" collapsed="false">
      <c r="A309" s="133"/>
      <c r="B309" s="133"/>
      <c r="C309" s="133"/>
      <c r="D309" s="133"/>
      <c r="E309" s="133"/>
      <c r="F309" s="134"/>
      <c r="G309" s="135"/>
      <c r="H309" s="135"/>
      <c r="I309" s="135"/>
      <c r="J309" s="133"/>
      <c r="K309" s="133"/>
      <c r="L309" s="134"/>
    </row>
    <row r="310" customFormat="false" ht="15" hidden="false" customHeight="false" outlineLevel="0" collapsed="false">
      <c r="A310" s="133"/>
      <c r="B310" s="133"/>
      <c r="C310" s="133"/>
      <c r="D310" s="133"/>
      <c r="E310" s="133"/>
      <c r="F310" s="134"/>
      <c r="G310" s="135"/>
      <c r="H310" s="135"/>
      <c r="I310" s="135"/>
      <c r="J310" s="133"/>
      <c r="K310" s="133"/>
      <c r="L310" s="134"/>
    </row>
    <row r="311" customFormat="false" ht="15" hidden="false" customHeight="false" outlineLevel="0" collapsed="false">
      <c r="A311" s="133"/>
      <c r="B311" s="133"/>
      <c r="C311" s="133"/>
      <c r="D311" s="133"/>
      <c r="E311" s="133"/>
      <c r="F311" s="134"/>
      <c r="G311" s="135"/>
      <c r="H311" s="135"/>
      <c r="I311" s="135"/>
      <c r="J311" s="133"/>
      <c r="K311" s="133"/>
      <c r="L311" s="134"/>
    </row>
    <row r="312" customFormat="false" ht="15" hidden="false" customHeight="false" outlineLevel="0" collapsed="false">
      <c r="A312" s="133"/>
      <c r="B312" s="133"/>
      <c r="C312" s="133"/>
      <c r="D312" s="133"/>
      <c r="E312" s="133"/>
      <c r="F312" s="134"/>
      <c r="G312" s="135"/>
      <c r="H312" s="135"/>
      <c r="I312" s="135"/>
      <c r="J312" s="133"/>
      <c r="K312" s="133"/>
      <c r="L312" s="134"/>
    </row>
    <row r="313" customFormat="false" ht="15" hidden="false" customHeight="false" outlineLevel="0" collapsed="false">
      <c r="A313" s="133"/>
      <c r="B313" s="133"/>
      <c r="C313" s="133"/>
      <c r="D313" s="133"/>
      <c r="E313" s="133"/>
      <c r="F313" s="134"/>
      <c r="G313" s="135"/>
      <c r="H313" s="135"/>
      <c r="I313" s="135"/>
      <c r="J313" s="133"/>
      <c r="K313" s="133"/>
      <c r="L313" s="134"/>
    </row>
    <row r="314" customFormat="false" ht="15" hidden="false" customHeight="false" outlineLevel="0" collapsed="false">
      <c r="A314" s="133"/>
      <c r="B314" s="133"/>
      <c r="C314" s="133"/>
      <c r="D314" s="133"/>
      <c r="E314" s="133"/>
      <c r="F314" s="134"/>
      <c r="G314" s="135"/>
      <c r="H314" s="135"/>
      <c r="I314" s="135"/>
      <c r="J314" s="133"/>
      <c r="K314" s="133"/>
      <c r="L314" s="134"/>
    </row>
    <row r="315" customFormat="false" ht="15" hidden="false" customHeight="false" outlineLevel="0" collapsed="false">
      <c r="A315" s="133"/>
      <c r="B315" s="133"/>
      <c r="C315" s="133"/>
      <c r="D315" s="133"/>
      <c r="E315" s="133"/>
      <c r="F315" s="134"/>
      <c r="G315" s="135"/>
      <c r="H315" s="135"/>
      <c r="I315" s="135"/>
      <c r="J315" s="133"/>
      <c r="K315" s="133"/>
      <c r="L315" s="134"/>
    </row>
    <row r="316" customFormat="false" ht="15" hidden="false" customHeight="false" outlineLevel="0" collapsed="false">
      <c r="A316" s="133"/>
      <c r="B316" s="133"/>
      <c r="C316" s="133"/>
      <c r="D316" s="133"/>
      <c r="E316" s="133"/>
      <c r="F316" s="134"/>
      <c r="G316" s="135"/>
      <c r="H316" s="135"/>
      <c r="I316" s="135"/>
      <c r="J316" s="133"/>
      <c r="K316" s="133"/>
      <c r="L316" s="134"/>
    </row>
    <row r="317" customFormat="false" ht="15" hidden="false" customHeight="false" outlineLevel="0" collapsed="false">
      <c r="A317" s="133"/>
      <c r="B317" s="133"/>
      <c r="C317" s="133"/>
      <c r="D317" s="133"/>
      <c r="E317" s="133"/>
      <c r="F317" s="134"/>
      <c r="G317" s="135"/>
      <c r="H317" s="135"/>
      <c r="I317" s="135"/>
      <c r="J317" s="133"/>
      <c r="K317" s="133"/>
      <c r="L317" s="134"/>
    </row>
    <row r="318" customFormat="false" ht="15" hidden="false" customHeight="false" outlineLevel="0" collapsed="false">
      <c r="A318" s="133"/>
      <c r="B318" s="133"/>
      <c r="C318" s="133"/>
      <c r="D318" s="133"/>
      <c r="E318" s="133"/>
      <c r="F318" s="134"/>
      <c r="G318" s="135"/>
      <c r="H318" s="135"/>
      <c r="I318" s="135"/>
      <c r="J318" s="133"/>
      <c r="K318" s="133"/>
      <c r="L318" s="134"/>
    </row>
    <row r="319" customFormat="false" ht="15" hidden="false" customHeight="false" outlineLevel="0" collapsed="false">
      <c r="A319" s="133"/>
      <c r="B319" s="133"/>
      <c r="C319" s="133"/>
      <c r="D319" s="133"/>
      <c r="E319" s="133"/>
      <c r="F319" s="134"/>
      <c r="G319" s="135"/>
      <c r="H319" s="135"/>
      <c r="I319" s="135"/>
      <c r="J319" s="133"/>
      <c r="K319" s="133"/>
      <c r="L319" s="134"/>
    </row>
    <row r="320" customFormat="false" ht="15" hidden="false" customHeight="false" outlineLevel="0" collapsed="false">
      <c r="A320" s="133"/>
      <c r="B320" s="133"/>
      <c r="C320" s="133"/>
      <c r="D320" s="133"/>
      <c r="E320" s="133"/>
      <c r="F320" s="134"/>
      <c r="G320" s="135"/>
      <c r="H320" s="135"/>
      <c r="I320" s="135"/>
      <c r="J320" s="133"/>
      <c r="K320" s="133"/>
      <c r="L320" s="134"/>
    </row>
    <row r="321" customFormat="false" ht="15" hidden="false" customHeight="false" outlineLevel="0" collapsed="false">
      <c r="A321" s="133"/>
      <c r="B321" s="133"/>
      <c r="C321" s="133"/>
      <c r="D321" s="133"/>
      <c r="E321" s="133"/>
      <c r="F321" s="134"/>
      <c r="G321" s="135"/>
      <c r="H321" s="135"/>
      <c r="I321" s="135"/>
      <c r="J321" s="133"/>
      <c r="K321" s="133"/>
      <c r="L321" s="134"/>
    </row>
    <row r="322" customFormat="false" ht="15" hidden="false" customHeight="false" outlineLevel="0" collapsed="false">
      <c r="A322" s="133"/>
      <c r="B322" s="133"/>
      <c r="C322" s="133"/>
      <c r="D322" s="133"/>
      <c r="E322" s="133"/>
      <c r="F322" s="134"/>
      <c r="G322" s="135"/>
      <c r="H322" s="135"/>
      <c r="I322" s="135"/>
      <c r="J322" s="133"/>
      <c r="K322" s="133"/>
      <c r="L322" s="134"/>
    </row>
    <row r="323" customFormat="false" ht="15" hidden="false" customHeight="false" outlineLevel="0" collapsed="false">
      <c r="A323" s="133"/>
      <c r="B323" s="133"/>
      <c r="C323" s="133"/>
      <c r="D323" s="133"/>
      <c r="E323" s="133"/>
      <c r="F323" s="134"/>
      <c r="G323" s="135"/>
      <c r="H323" s="135"/>
      <c r="I323" s="135"/>
      <c r="J323" s="133"/>
      <c r="K323" s="133"/>
      <c r="L323" s="134"/>
    </row>
    <row r="324" customFormat="false" ht="15" hidden="false" customHeight="false" outlineLevel="0" collapsed="false">
      <c r="A324" s="133"/>
      <c r="B324" s="133"/>
      <c r="C324" s="133"/>
      <c r="D324" s="133"/>
      <c r="E324" s="133"/>
      <c r="F324" s="134"/>
      <c r="G324" s="135"/>
      <c r="H324" s="135"/>
      <c r="I324" s="135"/>
      <c r="J324" s="133"/>
      <c r="K324" s="133"/>
      <c r="L324" s="134"/>
    </row>
    <row r="325" customFormat="false" ht="15" hidden="false" customHeight="false" outlineLevel="0" collapsed="false">
      <c r="A325" s="133"/>
      <c r="B325" s="133"/>
      <c r="C325" s="133"/>
      <c r="D325" s="133"/>
      <c r="E325" s="133"/>
      <c r="F325" s="134"/>
      <c r="G325" s="135"/>
      <c r="H325" s="135"/>
      <c r="I325" s="135"/>
      <c r="J325" s="133"/>
      <c r="K325" s="133"/>
      <c r="L325" s="134"/>
    </row>
    <row r="326" customFormat="false" ht="15" hidden="false" customHeight="false" outlineLevel="0" collapsed="false">
      <c r="A326" s="133"/>
      <c r="B326" s="133"/>
      <c r="C326" s="133"/>
      <c r="D326" s="133"/>
      <c r="E326" s="133"/>
      <c r="F326" s="134"/>
      <c r="G326" s="135"/>
      <c r="H326" s="135"/>
      <c r="I326" s="135"/>
      <c r="J326" s="133"/>
      <c r="K326" s="133"/>
      <c r="L326" s="134"/>
    </row>
    <row r="327" customFormat="false" ht="15" hidden="false" customHeight="false" outlineLevel="0" collapsed="false">
      <c r="A327" s="133"/>
      <c r="B327" s="133"/>
      <c r="C327" s="133"/>
      <c r="D327" s="133"/>
      <c r="E327" s="133"/>
      <c r="F327" s="134"/>
      <c r="G327" s="135"/>
      <c r="H327" s="135"/>
      <c r="I327" s="135"/>
      <c r="J327" s="133"/>
      <c r="K327" s="133"/>
      <c r="L327" s="134"/>
    </row>
    <row r="328" customFormat="false" ht="15" hidden="false" customHeight="false" outlineLevel="0" collapsed="false">
      <c r="A328" s="133"/>
      <c r="B328" s="133"/>
      <c r="C328" s="133"/>
      <c r="D328" s="133"/>
      <c r="E328" s="133"/>
      <c r="F328" s="134"/>
      <c r="G328" s="135"/>
      <c r="H328" s="135"/>
      <c r="I328" s="135"/>
      <c r="J328" s="133"/>
      <c r="K328" s="133"/>
      <c r="L328" s="134"/>
    </row>
    <row r="329" customFormat="false" ht="15" hidden="false" customHeight="false" outlineLevel="0" collapsed="false">
      <c r="A329" s="133"/>
      <c r="B329" s="133"/>
      <c r="C329" s="133"/>
      <c r="D329" s="133"/>
      <c r="E329" s="133"/>
      <c r="F329" s="134"/>
      <c r="G329" s="135"/>
      <c r="H329" s="135"/>
      <c r="I329" s="135"/>
      <c r="J329" s="133"/>
      <c r="K329" s="133"/>
      <c r="L329" s="134"/>
    </row>
    <row r="330" customFormat="false" ht="15" hidden="false" customHeight="false" outlineLevel="0" collapsed="false">
      <c r="A330" s="133"/>
      <c r="B330" s="133"/>
      <c r="C330" s="133"/>
      <c r="D330" s="133"/>
      <c r="E330" s="133"/>
      <c r="F330" s="134"/>
      <c r="G330" s="135"/>
      <c r="H330" s="135"/>
      <c r="I330" s="135"/>
      <c r="J330" s="133"/>
      <c r="K330" s="133"/>
      <c r="L330" s="134"/>
    </row>
    <row r="331" customFormat="false" ht="15" hidden="false" customHeight="false" outlineLevel="0" collapsed="false">
      <c r="A331" s="133"/>
      <c r="B331" s="133"/>
      <c r="C331" s="133"/>
      <c r="D331" s="133"/>
      <c r="E331" s="133"/>
      <c r="F331" s="134"/>
      <c r="G331" s="135"/>
      <c r="H331" s="135"/>
      <c r="I331" s="135"/>
      <c r="J331" s="133"/>
      <c r="K331" s="133"/>
      <c r="L331" s="134"/>
    </row>
    <row r="332" customFormat="false" ht="15" hidden="false" customHeight="false" outlineLevel="0" collapsed="false">
      <c r="A332" s="133"/>
      <c r="B332" s="133"/>
      <c r="C332" s="133"/>
      <c r="D332" s="133"/>
      <c r="E332" s="133"/>
      <c r="F332" s="134"/>
      <c r="G332" s="135"/>
      <c r="H332" s="135"/>
      <c r="I332" s="135"/>
      <c r="J332" s="133"/>
      <c r="K332" s="133"/>
      <c r="L332" s="134"/>
    </row>
    <row r="333" customFormat="false" ht="15" hidden="false" customHeight="false" outlineLevel="0" collapsed="false">
      <c r="A333" s="133"/>
      <c r="B333" s="133"/>
      <c r="C333" s="133"/>
      <c r="D333" s="133"/>
      <c r="E333" s="133"/>
      <c r="F333" s="134"/>
      <c r="G333" s="135"/>
      <c r="H333" s="135"/>
      <c r="I333" s="135"/>
      <c r="J333" s="133"/>
      <c r="K333" s="133"/>
      <c r="L333" s="134"/>
    </row>
    <row r="334" customFormat="false" ht="15" hidden="false" customHeight="false" outlineLevel="0" collapsed="false">
      <c r="A334" s="133"/>
      <c r="B334" s="133"/>
      <c r="C334" s="133"/>
      <c r="D334" s="133"/>
      <c r="E334" s="133"/>
      <c r="F334" s="134"/>
      <c r="G334" s="135"/>
      <c r="H334" s="135"/>
      <c r="I334" s="135"/>
      <c r="J334" s="133"/>
      <c r="K334" s="133"/>
      <c r="L334" s="134"/>
    </row>
    <row r="335" customFormat="false" ht="15" hidden="false" customHeight="false" outlineLevel="0" collapsed="false">
      <c r="A335" s="133"/>
      <c r="B335" s="133"/>
      <c r="C335" s="133"/>
      <c r="D335" s="133"/>
      <c r="E335" s="133"/>
      <c r="F335" s="134"/>
      <c r="G335" s="135"/>
      <c r="H335" s="135"/>
      <c r="I335" s="135"/>
      <c r="J335" s="133"/>
      <c r="K335" s="133"/>
      <c r="L335" s="134"/>
    </row>
    <row r="336" customFormat="false" ht="15" hidden="false" customHeight="false" outlineLevel="0" collapsed="false">
      <c r="A336" s="133"/>
      <c r="B336" s="133"/>
      <c r="C336" s="133"/>
      <c r="D336" s="133"/>
      <c r="E336" s="133"/>
      <c r="F336" s="134"/>
      <c r="G336" s="135"/>
      <c r="H336" s="135"/>
      <c r="I336" s="135"/>
      <c r="J336" s="133"/>
      <c r="K336" s="133"/>
      <c r="L336" s="134"/>
    </row>
    <row r="337" customFormat="false" ht="15" hidden="false" customHeight="false" outlineLevel="0" collapsed="false">
      <c r="A337" s="133"/>
      <c r="B337" s="133"/>
      <c r="C337" s="133"/>
      <c r="D337" s="133"/>
      <c r="E337" s="133"/>
      <c r="F337" s="134"/>
      <c r="G337" s="135"/>
      <c r="H337" s="135"/>
      <c r="I337" s="135"/>
      <c r="J337" s="133"/>
      <c r="K337" s="133"/>
      <c r="L337" s="134"/>
    </row>
    <row r="338" customFormat="false" ht="15" hidden="false" customHeight="false" outlineLevel="0" collapsed="false">
      <c r="A338" s="133"/>
      <c r="B338" s="133"/>
      <c r="C338" s="133"/>
      <c r="D338" s="133"/>
      <c r="E338" s="133"/>
      <c r="F338" s="134"/>
      <c r="G338" s="135"/>
      <c r="H338" s="135"/>
      <c r="I338" s="135"/>
      <c r="J338" s="133"/>
      <c r="K338" s="133"/>
      <c r="L338" s="134"/>
    </row>
    <row r="339" customFormat="false" ht="15" hidden="false" customHeight="false" outlineLevel="0" collapsed="false">
      <c r="A339" s="133"/>
      <c r="B339" s="133"/>
      <c r="C339" s="133"/>
      <c r="D339" s="133"/>
      <c r="E339" s="133"/>
      <c r="F339" s="134"/>
      <c r="G339" s="135"/>
      <c r="H339" s="135"/>
      <c r="I339" s="135"/>
      <c r="J339" s="133"/>
      <c r="K339" s="133"/>
      <c r="L339" s="134"/>
    </row>
    <row r="340" customFormat="false" ht="15" hidden="false" customHeight="false" outlineLevel="0" collapsed="false">
      <c r="A340" s="133"/>
      <c r="B340" s="133"/>
      <c r="C340" s="133"/>
      <c r="D340" s="133"/>
      <c r="E340" s="133"/>
      <c r="F340" s="134"/>
      <c r="G340" s="135"/>
      <c r="H340" s="135"/>
      <c r="I340" s="135"/>
      <c r="J340" s="133"/>
      <c r="K340" s="133"/>
      <c r="L340" s="134"/>
    </row>
    <row r="341" customFormat="false" ht="15" hidden="false" customHeight="false" outlineLevel="0" collapsed="false">
      <c r="A341" s="133"/>
      <c r="B341" s="133"/>
      <c r="C341" s="133"/>
      <c r="D341" s="133"/>
      <c r="E341" s="133"/>
      <c r="F341" s="134"/>
      <c r="G341" s="135"/>
      <c r="H341" s="135"/>
      <c r="I341" s="135"/>
      <c r="J341" s="133"/>
      <c r="K341" s="133"/>
      <c r="L341" s="134"/>
    </row>
    <row r="342" customFormat="false" ht="15" hidden="false" customHeight="false" outlineLevel="0" collapsed="false">
      <c r="A342" s="133"/>
      <c r="B342" s="133"/>
      <c r="C342" s="133"/>
      <c r="D342" s="133"/>
      <c r="E342" s="133"/>
      <c r="F342" s="134"/>
      <c r="G342" s="135"/>
      <c r="H342" s="135"/>
      <c r="I342" s="135"/>
      <c r="J342" s="133"/>
      <c r="K342" s="133"/>
      <c r="L342" s="134"/>
    </row>
    <row r="343" customFormat="false" ht="15" hidden="false" customHeight="false" outlineLevel="0" collapsed="false">
      <c r="A343" s="133"/>
      <c r="B343" s="133"/>
      <c r="C343" s="133"/>
      <c r="D343" s="133"/>
      <c r="E343" s="133"/>
      <c r="F343" s="134"/>
      <c r="G343" s="135"/>
      <c r="H343" s="135"/>
      <c r="I343" s="135"/>
      <c r="J343" s="133"/>
      <c r="K343" s="133"/>
      <c r="L343" s="134"/>
    </row>
    <row r="344" customFormat="false" ht="15" hidden="false" customHeight="false" outlineLevel="0" collapsed="false">
      <c r="A344" s="133"/>
      <c r="B344" s="133"/>
      <c r="C344" s="133"/>
      <c r="D344" s="133"/>
      <c r="E344" s="133"/>
      <c r="F344" s="134"/>
      <c r="G344" s="135"/>
      <c r="H344" s="135"/>
      <c r="I344" s="135"/>
      <c r="J344" s="133"/>
      <c r="K344" s="133"/>
      <c r="L344" s="134"/>
    </row>
    <row r="345" customFormat="false" ht="15" hidden="false" customHeight="false" outlineLevel="0" collapsed="false">
      <c r="A345" s="133"/>
      <c r="B345" s="133"/>
      <c r="C345" s="133"/>
      <c r="D345" s="133"/>
      <c r="E345" s="133"/>
      <c r="F345" s="134"/>
      <c r="G345" s="135"/>
      <c r="H345" s="135"/>
      <c r="I345" s="135"/>
      <c r="J345" s="133"/>
      <c r="K345" s="133"/>
      <c r="L345" s="134"/>
    </row>
    <row r="346" customFormat="false" ht="15" hidden="false" customHeight="false" outlineLevel="0" collapsed="false">
      <c r="A346" s="133"/>
      <c r="B346" s="133"/>
      <c r="C346" s="133"/>
      <c r="D346" s="133"/>
      <c r="E346" s="133"/>
      <c r="F346" s="134"/>
      <c r="G346" s="135"/>
      <c r="H346" s="135"/>
      <c r="I346" s="135"/>
      <c r="J346" s="133"/>
      <c r="K346" s="133"/>
      <c r="L346" s="134"/>
    </row>
    <row r="347" customFormat="false" ht="15" hidden="false" customHeight="false" outlineLevel="0" collapsed="false">
      <c r="A347" s="133"/>
      <c r="B347" s="133"/>
      <c r="C347" s="133"/>
      <c r="D347" s="133"/>
      <c r="E347" s="133"/>
      <c r="F347" s="134"/>
      <c r="G347" s="135"/>
      <c r="H347" s="135"/>
      <c r="I347" s="135"/>
      <c r="J347" s="133"/>
      <c r="K347" s="133"/>
      <c r="L347" s="134"/>
    </row>
    <row r="348" customFormat="false" ht="15" hidden="false" customHeight="false" outlineLevel="0" collapsed="false">
      <c r="A348" s="133"/>
      <c r="B348" s="133"/>
      <c r="C348" s="133"/>
      <c r="D348" s="133"/>
      <c r="E348" s="133"/>
      <c r="F348" s="134"/>
      <c r="G348" s="135"/>
      <c r="H348" s="135"/>
      <c r="I348" s="135"/>
      <c r="J348" s="133"/>
      <c r="K348" s="133"/>
      <c r="L348" s="134"/>
    </row>
    <row r="349" customFormat="false" ht="15" hidden="false" customHeight="false" outlineLevel="0" collapsed="false">
      <c r="A349" s="133"/>
      <c r="B349" s="133"/>
      <c r="C349" s="133"/>
      <c r="D349" s="133"/>
      <c r="E349" s="133"/>
      <c r="F349" s="134"/>
      <c r="G349" s="135"/>
      <c r="H349" s="135"/>
      <c r="I349" s="135"/>
      <c r="J349" s="133"/>
      <c r="K349" s="133"/>
      <c r="L349" s="134"/>
    </row>
    <row r="350" customFormat="false" ht="15" hidden="false" customHeight="false" outlineLevel="0" collapsed="false">
      <c r="A350" s="133"/>
      <c r="B350" s="133"/>
      <c r="C350" s="133"/>
      <c r="D350" s="133"/>
      <c r="E350" s="133"/>
      <c r="F350" s="134"/>
      <c r="G350" s="135"/>
      <c r="H350" s="135"/>
      <c r="I350" s="135"/>
      <c r="J350" s="133"/>
      <c r="K350" s="133"/>
      <c r="L350" s="134"/>
    </row>
    <row r="351" customFormat="false" ht="15" hidden="false" customHeight="false" outlineLevel="0" collapsed="false">
      <c r="A351" s="133"/>
      <c r="B351" s="133"/>
      <c r="C351" s="133"/>
      <c r="D351" s="133"/>
      <c r="E351" s="133"/>
      <c r="F351" s="134"/>
      <c r="G351" s="135"/>
      <c r="H351" s="135"/>
      <c r="I351" s="135"/>
      <c r="J351" s="133"/>
      <c r="K351" s="133"/>
      <c r="L351" s="134"/>
    </row>
    <row r="352" customFormat="false" ht="15" hidden="false" customHeight="false" outlineLevel="0" collapsed="false">
      <c r="A352" s="133"/>
      <c r="B352" s="133"/>
      <c r="C352" s="133"/>
      <c r="D352" s="133"/>
      <c r="E352" s="133"/>
      <c r="F352" s="134"/>
      <c r="G352" s="135"/>
      <c r="H352" s="135"/>
      <c r="I352" s="135"/>
      <c r="J352" s="133"/>
      <c r="K352" s="133"/>
      <c r="L352" s="134"/>
    </row>
    <row r="353" customFormat="false" ht="15" hidden="false" customHeight="false" outlineLevel="0" collapsed="false">
      <c r="A353" s="133"/>
      <c r="B353" s="133"/>
      <c r="C353" s="133"/>
      <c r="D353" s="133"/>
      <c r="E353" s="133"/>
      <c r="F353" s="134"/>
      <c r="G353" s="135"/>
      <c r="H353" s="135"/>
      <c r="I353" s="135"/>
      <c r="J353" s="133"/>
      <c r="K353" s="133"/>
      <c r="L353" s="134"/>
    </row>
    <row r="354" customFormat="false" ht="15" hidden="false" customHeight="false" outlineLevel="0" collapsed="false">
      <c r="A354" s="133"/>
      <c r="B354" s="133"/>
      <c r="C354" s="133"/>
      <c r="D354" s="133"/>
      <c r="E354" s="133"/>
      <c r="F354" s="134"/>
      <c r="G354" s="135"/>
      <c r="H354" s="135"/>
      <c r="I354" s="135"/>
      <c r="J354" s="133"/>
      <c r="K354" s="133"/>
      <c r="L354" s="134"/>
    </row>
    <row r="355" customFormat="false" ht="15" hidden="false" customHeight="false" outlineLevel="0" collapsed="false">
      <c r="A355" s="133"/>
      <c r="B355" s="133"/>
      <c r="C355" s="133"/>
      <c r="D355" s="133"/>
      <c r="E355" s="133"/>
      <c r="F355" s="134"/>
      <c r="G355" s="135"/>
      <c r="H355" s="135"/>
      <c r="I355" s="135"/>
      <c r="J355" s="133"/>
      <c r="K355" s="133"/>
      <c r="L355" s="134"/>
    </row>
    <row r="356" customFormat="false" ht="15" hidden="false" customHeight="false" outlineLevel="0" collapsed="false">
      <c r="A356" s="133"/>
      <c r="B356" s="133"/>
      <c r="C356" s="133"/>
      <c r="D356" s="133"/>
      <c r="E356" s="133"/>
      <c r="F356" s="134"/>
      <c r="G356" s="135"/>
      <c r="H356" s="135"/>
      <c r="I356" s="135"/>
      <c r="J356" s="133"/>
      <c r="K356" s="133"/>
      <c r="L356" s="134"/>
    </row>
    <row r="357" customFormat="false" ht="15" hidden="false" customHeight="false" outlineLevel="0" collapsed="false">
      <c r="A357" s="133"/>
      <c r="B357" s="133"/>
      <c r="C357" s="133"/>
      <c r="D357" s="133"/>
      <c r="E357" s="133"/>
      <c r="F357" s="134"/>
      <c r="G357" s="135"/>
      <c r="H357" s="135"/>
      <c r="I357" s="135"/>
      <c r="J357" s="133"/>
      <c r="K357" s="133"/>
      <c r="L357" s="134"/>
    </row>
    <row r="358" customFormat="false" ht="15" hidden="false" customHeight="false" outlineLevel="0" collapsed="false">
      <c r="A358" s="133"/>
      <c r="B358" s="133"/>
      <c r="C358" s="133"/>
      <c r="D358" s="133"/>
      <c r="E358" s="133"/>
      <c r="F358" s="134"/>
      <c r="G358" s="135"/>
      <c r="H358" s="135"/>
      <c r="I358" s="135"/>
      <c r="J358" s="133"/>
      <c r="K358" s="133"/>
      <c r="L358" s="134"/>
    </row>
    <row r="359" customFormat="false" ht="15" hidden="false" customHeight="false" outlineLevel="0" collapsed="false">
      <c r="A359" s="133"/>
      <c r="B359" s="133"/>
      <c r="C359" s="133"/>
      <c r="D359" s="133"/>
      <c r="E359" s="133"/>
      <c r="F359" s="134"/>
      <c r="G359" s="135"/>
      <c r="H359" s="135"/>
      <c r="I359" s="135"/>
      <c r="J359" s="133"/>
      <c r="K359" s="133"/>
      <c r="L359" s="134"/>
    </row>
    <row r="360" customFormat="false" ht="15" hidden="false" customHeight="false" outlineLevel="0" collapsed="false">
      <c r="A360" s="133"/>
      <c r="B360" s="133"/>
      <c r="C360" s="133"/>
      <c r="D360" s="133"/>
      <c r="E360" s="133"/>
      <c r="F360" s="134"/>
      <c r="G360" s="135"/>
      <c r="H360" s="135"/>
      <c r="I360" s="135"/>
      <c r="J360" s="133"/>
      <c r="K360" s="133"/>
      <c r="L360" s="134"/>
    </row>
    <row r="361" customFormat="false" ht="15" hidden="false" customHeight="false" outlineLevel="0" collapsed="false">
      <c r="A361" s="133"/>
      <c r="B361" s="133"/>
      <c r="C361" s="133"/>
      <c r="D361" s="133"/>
      <c r="E361" s="133"/>
      <c r="F361" s="134"/>
      <c r="G361" s="135"/>
      <c r="H361" s="135"/>
      <c r="I361" s="135"/>
      <c r="J361" s="133"/>
      <c r="K361" s="133"/>
      <c r="L361" s="134"/>
    </row>
    <row r="362" customFormat="false" ht="15" hidden="false" customHeight="false" outlineLevel="0" collapsed="false">
      <c r="A362" s="133"/>
      <c r="B362" s="133"/>
      <c r="C362" s="133"/>
      <c r="D362" s="133"/>
      <c r="E362" s="133"/>
      <c r="F362" s="134"/>
      <c r="G362" s="135"/>
      <c r="H362" s="135"/>
      <c r="I362" s="135"/>
      <c r="J362" s="133"/>
      <c r="K362" s="133"/>
      <c r="L362" s="134"/>
    </row>
    <row r="363" customFormat="false" ht="15" hidden="false" customHeight="false" outlineLevel="0" collapsed="false">
      <c r="A363" s="133"/>
      <c r="B363" s="133"/>
      <c r="C363" s="133"/>
      <c r="D363" s="133"/>
      <c r="E363" s="133"/>
      <c r="F363" s="134"/>
      <c r="G363" s="135"/>
      <c r="H363" s="135"/>
      <c r="I363" s="135"/>
      <c r="J363" s="133"/>
      <c r="K363" s="133"/>
      <c r="L363" s="134"/>
    </row>
    <row r="364" customFormat="false" ht="15" hidden="false" customHeight="false" outlineLevel="0" collapsed="false">
      <c r="A364" s="133"/>
      <c r="B364" s="133"/>
      <c r="C364" s="133"/>
      <c r="D364" s="133"/>
      <c r="E364" s="133"/>
      <c r="F364" s="134"/>
      <c r="G364" s="135"/>
      <c r="H364" s="135"/>
      <c r="I364" s="135"/>
      <c r="J364" s="133"/>
      <c r="K364" s="133"/>
      <c r="L364" s="134"/>
    </row>
    <row r="365" customFormat="false" ht="15" hidden="false" customHeight="false" outlineLevel="0" collapsed="false">
      <c r="A365" s="133"/>
      <c r="B365" s="133"/>
      <c r="C365" s="133"/>
      <c r="D365" s="133"/>
      <c r="E365" s="133"/>
      <c r="F365" s="134"/>
      <c r="G365" s="135"/>
      <c r="H365" s="135"/>
      <c r="I365" s="135"/>
      <c r="J365" s="133"/>
      <c r="K365" s="133"/>
      <c r="L365" s="134"/>
    </row>
    <row r="366" customFormat="false" ht="15" hidden="false" customHeight="false" outlineLevel="0" collapsed="false">
      <c r="A366" s="133"/>
      <c r="B366" s="133"/>
      <c r="C366" s="133"/>
      <c r="D366" s="133"/>
      <c r="E366" s="133"/>
      <c r="F366" s="134"/>
      <c r="G366" s="135"/>
      <c r="H366" s="135"/>
      <c r="I366" s="135"/>
      <c r="J366" s="133"/>
      <c r="K366" s="133"/>
      <c r="L366" s="134"/>
    </row>
    <row r="367" customFormat="false" ht="15" hidden="false" customHeight="false" outlineLevel="0" collapsed="false">
      <c r="A367" s="133"/>
      <c r="B367" s="133"/>
      <c r="C367" s="133"/>
      <c r="D367" s="133"/>
      <c r="E367" s="133"/>
      <c r="F367" s="134"/>
      <c r="G367" s="135"/>
      <c r="H367" s="135"/>
      <c r="I367" s="135"/>
      <c r="J367" s="133"/>
      <c r="K367" s="133"/>
      <c r="L367" s="134"/>
    </row>
    <row r="368" customFormat="false" ht="15" hidden="false" customHeight="false" outlineLevel="0" collapsed="false">
      <c r="A368" s="133"/>
      <c r="B368" s="133"/>
      <c r="C368" s="133"/>
      <c r="D368" s="133"/>
      <c r="E368" s="133"/>
      <c r="F368" s="134"/>
      <c r="G368" s="135"/>
      <c r="H368" s="135"/>
      <c r="I368" s="135"/>
      <c r="J368" s="133"/>
      <c r="K368" s="133"/>
      <c r="L368" s="134"/>
    </row>
    <row r="369" customFormat="false" ht="15" hidden="false" customHeight="false" outlineLevel="0" collapsed="false">
      <c r="A369" s="133"/>
      <c r="B369" s="133"/>
      <c r="C369" s="133"/>
      <c r="D369" s="133"/>
      <c r="E369" s="133"/>
      <c r="F369" s="134"/>
      <c r="G369" s="135"/>
      <c r="H369" s="135"/>
      <c r="I369" s="135"/>
      <c r="J369" s="133"/>
      <c r="K369" s="133"/>
      <c r="L369" s="134"/>
    </row>
    <row r="370" customFormat="false" ht="15" hidden="false" customHeight="false" outlineLevel="0" collapsed="false">
      <c r="A370" s="133"/>
      <c r="B370" s="133"/>
      <c r="C370" s="133"/>
      <c r="D370" s="133"/>
      <c r="E370" s="133"/>
      <c r="F370" s="134"/>
      <c r="G370" s="135"/>
      <c r="H370" s="135"/>
      <c r="I370" s="135"/>
      <c r="J370" s="133"/>
      <c r="K370" s="133"/>
      <c r="L370" s="134"/>
    </row>
    <row r="371" customFormat="false" ht="15" hidden="false" customHeight="false" outlineLevel="0" collapsed="false">
      <c r="A371" s="133"/>
      <c r="B371" s="133"/>
      <c r="C371" s="133"/>
      <c r="D371" s="133"/>
      <c r="E371" s="133"/>
      <c r="F371" s="134"/>
      <c r="G371" s="135"/>
      <c r="H371" s="135"/>
      <c r="I371" s="135"/>
      <c r="J371" s="133"/>
      <c r="K371" s="133"/>
      <c r="L371" s="134"/>
    </row>
    <row r="372" customFormat="false" ht="15" hidden="false" customHeight="false" outlineLevel="0" collapsed="false">
      <c r="A372" s="133"/>
      <c r="B372" s="133"/>
      <c r="C372" s="133"/>
      <c r="D372" s="133"/>
      <c r="E372" s="133"/>
      <c r="F372" s="134"/>
      <c r="G372" s="135"/>
      <c r="H372" s="135"/>
      <c r="I372" s="135"/>
      <c r="J372" s="133"/>
      <c r="K372" s="133"/>
      <c r="L372" s="134"/>
    </row>
    <row r="373" customFormat="false" ht="15" hidden="false" customHeight="false" outlineLevel="0" collapsed="false">
      <c r="A373" s="133"/>
      <c r="B373" s="133"/>
      <c r="C373" s="133"/>
      <c r="D373" s="133"/>
      <c r="E373" s="133"/>
      <c r="F373" s="134"/>
      <c r="G373" s="135"/>
      <c r="H373" s="135"/>
      <c r="I373" s="135"/>
      <c r="J373" s="133"/>
      <c r="K373" s="133"/>
      <c r="L373" s="134"/>
    </row>
    <row r="374" customFormat="false" ht="15" hidden="false" customHeight="false" outlineLevel="0" collapsed="false">
      <c r="A374" s="133"/>
      <c r="B374" s="133"/>
      <c r="C374" s="133"/>
      <c r="D374" s="133"/>
      <c r="E374" s="133"/>
      <c r="F374" s="134"/>
      <c r="G374" s="135"/>
      <c r="H374" s="135"/>
      <c r="I374" s="135"/>
      <c r="J374" s="133"/>
      <c r="K374" s="133"/>
      <c r="L374" s="134"/>
    </row>
    <row r="375" customFormat="false" ht="15" hidden="false" customHeight="false" outlineLevel="0" collapsed="false">
      <c r="A375" s="133"/>
      <c r="B375" s="133"/>
      <c r="C375" s="133"/>
      <c r="D375" s="133"/>
      <c r="E375" s="133"/>
      <c r="F375" s="134"/>
      <c r="G375" s="135"/>
      <c r="H375" s="135"/>
      <c r="I375" s="135"/>
      <c r="J375" s="133"/>
      <c r="K375" s="133"/>
      <c r="L375" s="134"/>
    </row>
    <row r="376" customFormat="false" ht="15" hidden="false" customHeight="false" outlineLevel="0" collapsed="false">
      <c r="A376" s="133"/>
      <c r="B376" s="133"/>
      <c r="C376" s="133"/>
      <c r="D376" s="133"/>
      <c r="E376" s="133"/>
      <c r="F376" s="134"/>
      <c r="G376" s="135"/>
      <c r="H376" s="135"/>
      <c r="I376" s="135"/>
      <c r="J376" s="133"/>
      <c r="K376" s="133"/>
      <c r="L376" s="134"/>
    </row>
    <row r="377" customFormat="false" ht="15" hidden="false" customHeight="false" outlineLevel="0" collapsed="false">
      <c r="A377" s="133"/>
      <c r="B377" s="133"/>
      <c r="C377" s="133"/>
      <c r="D377" s="133"/>
      <c r="E377" s="133"/>
      <c r="F377" s="134"/>
      <c r="G377" s="135"/>
      <c r="H377" s="135"/>
      <c r="I377" s="135"/>
      <c r="J377" s="133"/>
      <c r="K377" s="133"/>
      <c r="L377" s="134"/>
    </row>
    <row r="378" customFormat="false" ht="15" hidden="false" customHeight="false" outlineLevel="0" collapsed="false">
      <c r="A378" s="133"/>
      <c r="B378" s="133"/>
      <c r="C378" s="133"/>
      <c r="D378" s="133"/>
      <c r="E378" s="133"/>
      <c r="F378" s="134"/>
      <c r="G378" s="135"/>
      <c r="H378" s="135"/>
      <c r="I378" s="135"/>
      <c r="J378" s="133"/>
      <c r="K378" s="133"/>
      <c r="L378" s="134"/>
    </row>
    <row r="379" customFormat="false" ht="15" hidden="false" customHeight="false" outlineLevel="0" collapsed="false">
      <c r="A379" s="133"/>
      <c r="B379" s="133"/>
      <c r="C379" s="133"/>
      <c r="D379" s="133"/>
      <c r="E379" s="133"/>
      <c r="F379" s="134"/>
      <c r="G379" s="135"/>
      <c r="H379" s="135"/>
      <c r="I379" s="135"/>
      <c r="J379" s="133"/>
      <c r="K379" s="133"/>
      <c r="L379" s="134"/>
    </row>
    <row r="380" customFormat="false" ht="15" hidden="false" customHeight="false" outlineLevel="0" collapsed="false">
      <c r="A380" s="133"/>
      <c r="B380" s="133"/>
      <c r="C380" s="133"/>
      <c r="D380" s="133"/>
      <c r="E380" s="133"/>
      <c r="F380" s="134"/>
      <c r="G380" s="135"/>
      <c r="H380" s="135"/>
      <c r="I380" s="135"/>
      <c r="J380" s="133"/>
      <c r="K380" s="133"/>
      <c r="L380" s="134"/>
    </row>
    <row r="381" customFormat="false" ht="15" hidden="false" customHeight="false" outlineLevel="0" collapsed="false">
      <c r="A381" s="133"/>
      <c r="B381" s="133"/>
      <c r="C381" s="133"/>
      <c r="D381" s="133"/>
      <c r="E381" s="133"/>
      <c r="F381" s="134"/>
      <c r="G381" s="135"/>
      <c r="H381" s="135"/>
      <c r="I381" s="135"/>
      <c r="J381" s="133"/>
      <c r="K381" s="133"/>
      <c r="L381" s="134"/>
    </row>
    <row r="382" customFormat="false" ht="15" hidden="false" customHeight="false" outlineLevel="0" collapsed="false">
      <c r="A382" s="133"/>
      <c r="B382" s="133"/>
      <c r="C382" s="133"/>
      <c r="D382" s="133"/>
      <c r="E382" s="133"/>
      <c r="F382" s="134"/>
      <c r="G382" s="135"/>
      <c r="H382" s="135"/>
      <c r="I382" s="135"/>
      <c r="J382" s="133"/>
      <c r="K382" s="133"/>
      <c r="L382" s="134"/>
    </row>
    <row r="383" customFormat="false" ht="15" hidden="false" customHeight="false" outlineLevel="0" collapsed="false">
      <c r="A383" s="133"/>
      <c r="B383" s="133"/>
      <c r="C383" s="133"/>
      <c r="D383" s="133"/>
      <c r="E383" s="133"/>
      <c r="F383" s="134"/>
      <c r="G383" s="135"/>
      <c r="H383" s="135"/>
      <c r="I383" s="135"/>
      <c r="J383" s="133"/>
      <c r="K383" s="133"/>
      <c r="L383" s="134"/>
    </row>
    <row r="384" customFormat="false" ht="15" hidden="false" customHeight="false" outlineLevel="0" collapsed="false">
      <c r="A384" s="133"/>
      <c r="B384" s="133"/>
      <c r="C384" s="133"/>
      <c r="D384" s="133"/>
      <c r="E384" s="133"/>
      <c r="F384" s="134"/>
      <c r="G384" s="135"/>
      <c r="H384" s="135"/>
      <c r="I384" s="135"/>
      <c r="J384" s="133"/>
      <c r="K384" s="133"/>
      <c r="L384" s="134"/>
    </row>
    <row r="385" customFormat="false" ht="15" hidden="false" customHeight="false" outlineLevel="0" collapsed="false">
      <c r="A385" s="133"/>
      <c r="B385" s="133"/>
      <c r="C385" s="133"/>
      <c r="D385" s="133"/>
      <c r="E385" s="133"/>
      <c r="F385" s="134"/>
      <c r="G385" s="135"/>
      <c r="H385" s="135"/>
      <c r="I385" s="135"/>
      <c r="J385" s="133"/>
      <c r="K385" s="133"/>
      <c r="L385" s="134"/>
    </row>
    <row r="386" customFormat="false" ht="15" hidden="false" customHeight="false" outlineLevel="0" collapsed="false">
      <c r="A386" s="133"/>
      <c r="B386" s="133"/>
      <c r="C386" s="133"/>
      <c r="D386" s="133"/>
      <c r="E386" s="133"/>
      <c r="F386" s="134"/>
      <c r="G386" s="135"/>
      <c r="H386" s="135"/>
      <c r="I386" s="135"/>
      <c r="J386" s="133"/>
      <c r="K386" s="133"/>
      <c r="L386" s="134"/>
    </row>
    <row r="387" customFormat="false" ht="15" hidden="false" customHeight="false" outlineLevel="0" collapsed="false">
      <c r="A387" s="133"/>
      <c r="B387" s="133"/>
      <c r="C387" s="133"/>
      <c r="D387" s="133"/>
      <c r="E387" s="133"/>
      <c r="F387" s="134"/>
      <c r="G387" s="135"/>
      <c r="H387" s="135"/>
      <c r="I387" s="135"/>
      <c r="J387" s="133"/>
      <c r="K387" s="133"/>
      <c r="L387" s="134"/>
    </row>
    <row r="388" customFormat="false" ht="15" hidden="false" customHeight="false" outlineLevel="0" collapsed="false">
      <c r="A388" s="133"/>
      <c r="B388" s="133"/>
      <c r="C388" s="133"/>
      <c r="D388" s="133"/>
      <c r="E388" s="133"/>
      <c r="F388" s="134"/>
      <c r="G388" s="135"/>
      <c r="H388" s="135"/>
      <c r="I388" s="135"/>
      <c r="J388" s="133"/>
      <c r="K388" s="133"/>
      <c r="L388" s="134"/>
    </row>
    <row r="389" customFormat="false" ht="15" hidden="false" customHeight="false" outlineLevel="0" collapsed="false">
      <c r="A389" s="133"/>
      <c r="B389" s="133"/>
      <c r="C389" s="133"/>
      <c r="D389" s="133"/>
      <c r="E389" s="133"/>
      <c r="F389" s="134"/>
      <c r="G389" s="135"/>
      <c r="H389" s="135"/>
      <c r="I389" s="135"/>
      <c r="J389" s="133"/>
      <c r="K389" s="133"/>
      <c r="L389" s="134"/>
    </row>
    <row r="390" customFormat="false" ht="15" hidden="false" customHeight="false" outlineLevel="0" collapsed="false">
      <c r="A390" s="133"/>
      <c r="B390" s="133"/>
      <c r="C390" s="133"/>
      <c r="D390" s="133"/>
      <c r="E390" s="133"/>
      <c r="F390" s="134"/>
      <c r="G390" s="135"/>
      <c r="H390" s="135"/>
      <c r="I390" s="135"/>
      <c r="J390" s="133"/>
      <c r="K390" s="133"/>
      <c r="L390" s="134"/>
    </row>
    <row r="391" customFormat="false" ht="15" hidden="false" customHeight="false" outlineLevel="0" collapsed="false">
      <c r="A391" s="133"/>
      <c r="B391" s="133"/>
      <c r="C391" s="133"/>
      <c r="D391" s="133"/>
      <c r="E391" s="133"/>
      <c r="F391" s="134"/>
      <c r="G391" s="135"/>
      <c r="H391" s="135"/>
      <c r="I391" s="135"/>
      <c r="J391" s="133"/>
      <c r="K391" s="133"/>
      <c r="L391" s="134"/>
    </row>
    <row r="392" customFormat="false" ht="15" hidden="false" customHeight="false" outlineLevel="0" collapsed="false">
      <c r="A392" s="133"/>
      <c r="B392" s="133"/>
      <c r="C392" s="133"/>
      <c r="D392" s="133"/>
      <c r="E392" s="133"/>
      <c r="F392" s="134"/>
      <c r="G392" s="135"/>
      <c r="H392" s="135"/>
      <c r="I392" s="135"/>
      <c r="J392" s="133"/>
      <c r="K392" s="133"/>
      <c r="L392" s="134"/>
    </row>
    <row r="393" customFormat="false" ht="15" hidden="false" customHeight="false" outlineLevel="0" collapsed="false">
      <c r="A393" s="133"/>
      <c r="B393" s="133"/>
      <c r="C393" s="133"/>
      <c r="D393" s="133"/>
      <c r="E393" s="133"/>
      <c r="F393" s="134"/>
      <c r="G393" s="135"/>
      <c r="H393" s="135"/>
      <c r="I393" s="135"/>
      <c r="J393" s="133"/>
      <c r="K393" s="133"/>
      <c r="L393" s="134"/>
    </row>
    <row r="394" customFormat="false" ht="15" hidden="false" customHeight="false" outlineLevel="0" collapsed="false">
      <c r="A394" s="133"/>
      <c r="B394" s="133"/>
      <c r="C394" s="133"/>
      <c r="D394" s="133"/>
      <c r="E394" s="133"/>
      <c r="F394" s="134"/>
      <c r="G394" s="135"/>
      <c r="H394" s="135"/>
      <c r="I394" s="135"/>
      <c r="J394" s="133"/>
      <c r="K394" s="133"/>
      <c r="L394" s="134"/>
    </row>
    <row r="395" customFormat="false" ht="15" hidden="false" customHeight="false" outlineLevel="0" collapsed="false">
      <c r="A395" s="133"/>
      <c r="B395" s="133"/>
      <c r="C395" s="133"/>
      <c r="D395" s="133"/>
      <c r="E395" s="133"/>
      <c r="F395" s="134"/>
      <c r="G395" s="135"/>
      <c r="H395" s="135"/>
      <c r="I395" s="135"/>
      <c r="J395" s="133"/>
      <c r="K395" s="133"/>
      <c r="L395" s="134"/>
    </row>
    <row r="396" customFormat="false" ht="15" hidden="false" customHeight="false" outlineLevel="0" collapsed="false">
      <c r="A396" s="133"/>
      <c r="B396" s="133"/>
      <c r="C396" s="133"/>
      <c r="D396" s="133"/>
      <c r="E396" s="133"/>
      <c r="F396" s="134"/>
      <c r="G396" s="135"/>
      <c r="H396" s="135"/>
      <c r="I396" s="135"/>
      <c r="J396" s="133"/>
      <c r="K396" s="133"/>
      <c r="L396" s="134"/>
    </row>
    <row r="397" customFormat="false" ht="15" hidden="false" customHeight="false" outlineLevel="0" collapsed="false">
      <c r="A397" s="133"/>
      <c r="B397" s="133"/>
      <c r="C397" s="133"/>
      <c r="D397" s="133"/>
      <c r="E397" s="133"/>
      <c r="F397" s="134"/>
      <c r="G397" s="135"/>
      <c r="H397" s="135"/>
      <c r="I397" s="135"/>
      <c r="J397" s="133"/>
      <c r="K397" s="133"/>
      <c r="L397" s="134"/>
    </row>
    <row r="398" customFormat="false" ht="15" hidden="false" customHeight="false" outlineLevel="0" collapsed="false">
      <c r="A398" s="133"/>
      <c r="B398" s="133"/>
      <c r="C398" s="133"/>
      <c r="D398" s="133"/>
      <c r="E398" s="133"/>
      <c r="F398" s="134"/>
      <c r="G398" s="135"/>
      <c r="H398" s="135"/>
      <c r="I398" s="135"/>
      <c r="J398" s="133"/>
      <c r="K398" s="133"/>
      <c r="L398" s="134"/>
    </row>
    <row r="399" customFormat="false" ht="15" hidden="false" customHeight="false" outlineLevel="0" collapsed="false">
      <c r="A399" s="133"/>
      <c r="B399" s="133"/>
      <c r="C399" s="133"/>
      <c r="D399" s="133"/>
      <c r="E399" s="133"/>
      <c r="F399" s="134"/>
      <c r="G399" s="135"/>
      <c r="H399" s="135"/>
      <c r="I399" s="135"/>
      <c r="J399" s="133"/>
      <c r="K399" s="133"/>
      <c r="L399" s="134"/>
    </row>
    <row r="400" customFormat="false" ht="15" hidden="false" customHeight="false" outlineLevel="0" collapsed="false">
      <c r="A400" s="133"/>
      <c r="B400" s="133"/>
      <c r="C400" s="133"/>
      <c r="D400" s="133"/>
      <c r="E400" s="133"/>
      <c r="F400" s="134"/>
      <c r="G400" s="135"/>
      <c r="H400" s="135"/>
      <c r="I400" s="135"/>
      <c r="J400" s="133"/>
      <c r="K400" s="133"/>
      <c r="L400" s="134"/>
    </row>
  </sheetData>
  <sheetProtection sheet="true" formatCells="false" formatColumns="false" formatRows="false" sort="false" autoFilter="false"/>
  <autoFilter ref="A1:L40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2026-10-15T03:39:46Z</dcterms:created>
  <dc:creator>openpyxl</dc:creator>
  <dc:description/>
  <dc:language>en-US</dc:language>
  <cp:lastModifiedBy/>
  <dcterms:modified xsi:type="dcterms:W3CDTF">2026-10-15T09:39:53Z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